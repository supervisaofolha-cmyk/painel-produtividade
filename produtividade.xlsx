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3FC6EEB9-9CEF-49C2-854F-512C51144906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K4615" i="1" s="1"/>
  <c r="L4615" i="1" s="1"/>
  <c r="J4585" i="1"/>
  <c r="I4585" i="1"/>
  <c r="K4585" i="1" s="1"/>
  <c r="L4585" i="1" s="1"/>
  <c r="J3563" i="1"/>
  <c r="I3563" i="1"/>
  <c r="K3563" i="1" s="1"/>
  <c r="L3563" i="1" s="1"/>
  <c r="J4513" i="1"/>
  <c r="I4513" i="1"/>
  <c r="K4513" i="1" s="1"/>
  <c r="L4513" i="1" s="1"/>
  <c r="J4512" i="1"/>
  <c r="I4512" i="1"/>
  <c r="K4512" i="1" s="1"/>
  <c r="L4512" i="1" s="1"/>
  <c r="J4511" i="1"/>
  <c r="I4511" i="1"/>
  <c r="K4511" i="1" s="1"/>
  <c r="L4511" i="1" s="1"/>
  <c r="J4510" i="1"/>
  <c r="I4510" i="1"/>
  <c r="K4510" i="1" s="1"/>
  <c r="L4510" i="1" s="1"/>
  <c r="J4509" i="1"/>
  <c r="I4509" i="1"/>
  <c r="K4509" i="1" s="1"/>
  <c r="L4509" i="1" s="1"/>
  <c r="J4508" i="1"/>
  <c r="I4508" i="1"/>
  <c r="K4508" i="1" s="1"/>
  <c r="L4508" i="1" s="1"/>
  <c r="J4506" i="1"/>
  <c r="I4506" i="1"/>
  <c r="K4506" i="1" s="1"/>
  <c r="L4506" i="1" s="1"/>
  <c r="J4505" i="1"/>
  <c r="I4505" i="1"/>
  <c r="K4505" i="1" s="1"/>
  <c r="L4505" i="1" s="1"/>
  <c r="L4504" i="1"/>
  <c r="J4503" i="1"/>
  <c r="I4503" i="1"/>
  <c r="K4503" i="1" s="1"/>
  <c r="L4503" i="1" s="1"/>
  <c r="J4502" i="1"/>
  <c r="I4502" i="1"/>
  <c r="K4502" i="1" s="1"/>
  <c r="L4502" i="1" s="1"/>
  <c r="J4501" i="1"/>
  <c r="I4501" i="1"/>
  <c r="K4501" i="1" s="1"/>
  <c r="L4501" i="1" s="1"/>
  <c r="J4500" i="1"/>
  <c r="I4500" i="1"/>
  <c r="K4500" i="1" s="1"/>
  <c r="L4500" i="1" s="1"/>
  <c r="J4498" i="1"/>
  <c r="I4498" i="1"/>
  <c r="K4498" i="1" s="1"/>
  <c r="L4498" i="1" s="1"/>
  <c r="J4497" i="1"/>
  <c r="I4497" i="1"/>
  <c r="K4497" i="1" s="1"/>
  <c r="L4497" i="1" s="1"/>
  <c r="J4496" i="1"/>
  <c r="I4496" i="1"/>
  <c r="K4496" i="1" s="1"/>
  <c r="L4496" i="1" s="1"/>
  <c r="J4495" i="1"/>
  <c r="I4495" i="1"/>
  <c r="K4495" i="1" s="1"/>
  <c r="L4495" i="1" s="1"/>
  <c r="J4494" i="1"/>
  <c r="I4494" i="1"/>
  <c r="K4494" i="1" s="1"/>
  <c r="L4494" i="1" s="1"/>
  <c r="J4493" i="1"/>
  <c r="I4493" i="1"/>
  <c r="K4493" i="1" s="1"/>
  <c r="L4493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J4479" i="1"/>
  <c r="I4479" i="1"/>
  <c r="K4479" i="1" s="1"/>
  <c r="L4479" i="1" s="1"/>
  <c r="L4478" i="1"/>
  <c r="J4477" i="1"/>
  <c r="I4477" i="1"/>
  <c r="K4477" i="1" s="1"/>
  <c r="L4477" i="1" s="1"/>
  <c r="J4476" i="1"/>
  <c r="I4476" i="1"/>
  <c r="K4476" i="1" s="1"/>
  <c r="L4476" i="1" s="1"/>
  <c r="L4475" i="1"/>
  <c r="J4474" i="1"/>
  <c r="I4474" i="1"/>
  <c r="K4474" i="1" s="1"/>
  <c r="L4474" i="1" s="1"/>
  <c r="J4472" i="1"/>
  <c r="I4472" i="1"/>
  <c r="K4472" i="1" s="1"/>
  <c r="L4472" i="1" s="1"/>
  <c r="J4471" i="1"/>
  <c r="I4471" i="1"/>
  <c r="K4471" i="1" s="1"/>
  <c r="L4471" i="1" s="1"/>
  <c r="L4470" i="1"/>
  <c r="L4469" i="1"/>
  <c r="L4468" i="1"/>
  <c r="L4467" i="1"/>
  <c r="L4466" i="1"/>
  <c r="L4465" i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L4404" i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2" i="1"/>
  <c r="I4382" i="1"/>
  <c r="K4382" i="1" s="1"/>
  <c r="L4382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75" i="1"/>
  <c r="I4375" i="1"/>
  <c r="K4375" i="1" s="1"/>
  <c r="L4375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L4369" i="1"/>
  <c r="L4368" i="1"/>
  <c r="L4366" i="1"/>
  <c r="L4365" i="1"/>
  <c r="L4364" i="1"/>
  <c r="L4363" i="1"/>
  <c r="L4362" i="1"/>
  <c r="L4361" i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L4338" i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J4330" i="1"/>
  <c r="I4330" i="1"/>
  <c r="K4330" i="1" s="1"/>
  <c r="L4330" i="1" s="1"/>
  <c r="L4329" i="1"/>
  <c r="J4328" i="1"/>
  <c r="I4328" i="1"/>
  <c r="K4328" i="1" s="1"/>
  <c r="L4328" i="1" s="1"/>
  <c r="J4327" i="1"/>
  <c r="I4327" i="1"/>
  <c r="K4327" i="1" s="1"/>
  <c r="L4327" i="1" s="1"/>
  <c r="J4326" i="1"/>
  <c r="I4326" i="1"/>
  <c r="K4326" i="1" s="1"/>
  <c r="L4326" i="1" s="1"/>
  <c r="L4325" i="1"/>
  <c r="J4324" i="1"/>
  <c r="I4324" i="1"/>
  <c r="K4324" i="1" s="1"/>
  <c r="L4324" i="1" s="1"/>
  <c r="L4323" i="1"/>
  <c r="L4322" i="1"/>
  <c r="J4321" i="1"/>
  <c r="I4321" i="1"/>
  <c r="K4321" i="1" s="1"/>
  <c r="L4321" i="1" s="1"/>
  <c r="J4320" i="1"/>
  <c r="I4320" i="1"/>
  <c r="K4320" i="1" s="1"/>
  <c r="L4320" i="1" s="1"/>
  <c r="J4319" i="1"/>
  <c r="I4319" i="1"/>
  <c r="K4319" i="1" s="1"/>
  <c r="L4319" i="1" s="1"/>
  <c r="L4318" i="1"/>
  <c r="J4317" i="1"/>
  <c r="I4317" i="1"/>
  <c r="K4317" i="1" s="1"/>
  <c r="L4317" i="1" s="1"/>
  <c r="L4316" i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L4311" i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J4307" i="1"/>
  <c r="I4307" i="1"/>
  <c r="K4307" i="1" s="1"/>
  <c r="L4307" i="1" s="1"/>
  <c r="L4306" i="1"/>
  <c r="J4305" i="1"/>
  <c r="I4305" i="1"/>
  <c r="K4305" i="1" s="1"/>
  <c r="L4305" i="1" s="1"/>
  <c r="L4304" i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J4296" i="1"/>
  <c r="I4296" i="1"/>
  <c r="K4296" i="1" s="1"/>
  <c r="L4296" i="1" s="1"/>
  <c r="L4295" i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J4280" i="1"/>
  <c r="I4280" i="1"/>
  <c r="K4280" i="1" s="1"/>
  <c r="L4280" i="1" s="1"/>
  <c r="L4279" i="1"/>
  <c r="L4278" i="1"/>
  <c r="J4277" i="1"/>
  <c r="I4277" i="1"/>
  <c r="K4277" i="1" s="1"/>
  <c r="L4277" i="1" s="1"/>
  <c r="J4276" i="1"/>
  <c r="I4276" i="1"/>
  <c r="K4276" i="1" s="1"/>
  <c r="L4276" i="1" s="1"/>
  <c r="J4275" i="1"/>
  <c r="I4275" i="1"/>
  <c r="K4275" i="1" s="1"/>
  <c r="L4275" i="1" s="1"/>
  <c r="L4274" i="1"/>
  <c r="J4273" i="1"/>
  <c r="I4273" i="1"/>
  <c r="K4273" i="1" s="1"/>
  <c r="L4273" i="1" s="1"/>
  <c r="L4272" i="1"/>
  <c r="J4271" i="1"/>
  <c r="I4271" i="1"/>
  <c r="K4271" i="1" s="1"/>
  <c r="L4271" i="1" s="1"/>
  <c r="L4270" i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J4263" i="1"/>
  <c r="I4263" i="1"/>
  <c r="K4263" i="1" s="1"/>
  <c r="L4263" i="1" s="1"/>
  <c r="L4262" i="1"/>
  <c r="J4261" i="1"/>
  <c r="I4261" i="1"/>
  <c r="K4261" i="1" s="1"/>
  <c r="L4261" i="1" s="1"/>
  <c r="L4260" i="1"/>
  <c r="J4259" i="1"/>
  <c r="I4259" i="1"/>
  <c r="K4259" i="1" s="1"/>
  <c r="L4259" i="1" s="1"/>
  <c r="J4258" i="1"/>
  <c r="I4258" i="1"/>
  <c r="K4258" i="1" s="1"/>
  <c r="L4258" i="1" s="1"/>
  <c r="J4257" i="1"/>
  <c r="I4257" i="1"/>
  <c r="K4257" i="1" s="1"/>
  <c r="L4257" i="1" s="1"/>
  <c r="L4256" i="1"/>
  <c r="L4255" i="1"/>
  <c r="J4254" i="1"/>
  <c r="I4254" i="1"/>
  <c r="K4254" i="1" s="1"/>
  <c r="L4254" i="1" s="1"/>
  <c r="J4253" i="1"/>
  <c r="I4253" i="1"/>
  <c r="K4253" i="1" s="1"/>
  <c r="L4253" i="1" s="1"/>
  <c r="J4252" i="1"/>
  <c r="I4252" i="1"/>
  <c r="K4252" i="1" s="1"/>
  <c r="L4252" i="1" s="1"/>
  <c r="L4251" i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J4244" i="1"/>
  <c r="I4244" i="1"/>
  <c r="K4244" i="1" s="1"/>
  <c r="L4244" i="1" s="1"/>
  <c r="L4243" i="1"/>
  <c r="L4242" i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J4236" i="1"/>
  <c r="I4236" i="1"/>
  <c r="K4236" i="1" s="1"/>
  <c r="L4236" i="1" s="1"/>
  <c r="L4235" i="1"/>
  <c r="L4234" i="1"/>
  <c r="J4233" i="1"/>
  <c r="I4233" i="1"/>
  <c r="K4233" i="1" s="1"/>
  <c r="L4233" i="1" s="1"/>
  <c r="J4232" i="1"/>
  <c r="I4232" i="1"/>
  <c r="K4232" i="1" s="1"/>
  <c r="L4232" i="1" s="1"/>
  <c r="J4231" i="1"/>
  <c r="I4231" i="1"/>
  <c r="K4231" i="1" s="1"/>
  <c r="L4231" i="1" s="1"/>
  <c r="L4230" i="1"/>
  <c r="J4229" i="1"/>
  <c r="I4229" i="1"/>
  <c r="K4229" i="1" s="1"/>
  <c r="L4229" i="1" s="1"/>
  <c r="L4228" i="1"/>
  <c r="J4227" i="1"/>
  <c r="I4227" i="1"/>
  <c r="K4227" i="1" s="1"/>
  <c r="L4227" i="1" s="1"/>
  <c r="L4226" i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J4219" i="1"/>
  <c r="I4219" i="1"/>
  <c r="K4219" i="1" s="1"/>
  <c r="L4219" i="1" s="1"/>
  <c r="L4218" i="1"/>
  <c r="J4217" i="1"/>
  <c r="I4217" i="1"/>
  <c r="K4217" i="1" s="1"/>
  <c r="L4217" i="1" s="1"/>
  <c r="L4216" i="1"/>
  <c r="J4215" i="1"/>
  <c r="I4215" i="1"/>
  <c r="K4215" i="1" s="1"/>
  <c r="L4215" i="1" s="1"/>
  <c r="J4214" i="1"/>
  <c r="I4214" i="1"/>
  <c r="K4214" i="1" s="1"/>
  <c r="L4214" i="1" s="1"/>
  <c r="J4213" i="1"/>
  <c r="I4213" i="1"/>
  <c r="K4213" i="1" s="1"/>
  <c r="L4213" i="1" s="1"/>
  <c r="L4212" i="1"/>
  <c r="L4211" i="1"/>
  <c r="J4210" i="1"/>
  <c r="I4210" i="1"/>
  <c r="K4210" i="1" s="1"/>
  <c r="L4210" i="1" s="1"/>
  <c r="J4209" i="1"/>
  <c r="I4209" i="1"/>
  <c r="K4209" i="1" s="1"/>
  <c r="L4209" i="1" s="1"/>
  <c r="J4208" i="1"/>
  <c r="I4208" i="1"/>
  <c r="K4208" i="1" s="1"/>
  <c r="L4208" i="1" s="1"/>
  <c r="L4207" i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J4192" i="1"/>
  <c r="I4192" i="1"/>
  <c r="K4192" i="1" s="1"/>
  <c r="L4192" i="1" s="1"/>
  <c r="L4191" i="1"/>
  <c r="L4190" i="1"/>
  <c r="J4189" i="1"/>
  <c r="I4189" i="1"/>
  <c r="K4189" i="1" s="1"/>
  <c r="L4189" i="1" s="1"/>
  <c r="J4188" i="1"/>
  <c r="I4188" i="1"/>
  <c r="K4188" i="1" s="1"/>
  <c r="L4188" i="1" s="1"/>
  <c r="J4187" i="1"/>
  <c r="I4187" i="1"/>
  <c r="K4187" i="1" s="1"/>
  <c r="L4187" i="1" s="1"/>
  <c r="L4186" i="1"/>
  <c r="J4185" i="1"/>
  <c r="I4185" i="1"/>
  <c r="K4185" i="1" s="1"/>
  <c r="L4185" i="1" s="1"/>
  <c r="L4184" i="1"/>
  <c r="J4183" i="1"/>
  <c r="I4183" i="1"/>
  <c r="K4183" i="1" s="1"/>
  <c r="L4183" i="1" s="1"/>
  <c r="L4182" i="1"/>
  <c r="J4181" i="1"/>
  <c r="I4181" i="1"/>
  <c r="K4181" i="1" s="1"/>
  <c r="L4181" i="1" s="1"/>
  <c r="J4180" i="1"/>
  <c r="I4180" i="1"/>
  <c r="K4180" i="1" s="1"/>
  <c r="L4180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J4175" i="1"/>
  <c r="I4175" i="1"/>
  <c r="K4175" i="1" s="1"/>
  <c r="L4175" i="1" s="1"/>
  <c r="L4174" i="1"/>
  <c r="J4173" i="1"/>
  <c r="I4173" i="1"/>
  <c r="K4173" i="1" s="1"/>
  <c r="L4173" i="1" s="1"/>
  <c r="L4172" i="1"/>
  <c r="J4171" i="1"/>
  <c r="I4171" i="1"/>
  <c r="K4171" i="1" s="1"/>
  <c r="L4171" i="1" s="1"/>
  <c r="J4170" i="1"/>
  <c r="I4170" i="1"/>
  <c r="K4170" i="1" s="1"/>
  <c r="L4170" i="1" s="1"/>
  <c r="J4169" i="1"/>
  <c r="I4169" i="1"/>
  <c r="K4169" i="1" s="1"/>
  <c r="L4169" i="1" s="1"/>
  <c r="L4168" i="1"/>
  <c r="L4167" i="1"/>
  <c r="J4166" i="1"/>
  <c r="I4166" i="1"/>
  <c r="K4166" i="1" s="1"/>
  <c r="L4166" i="1" s="1"/>
  <c r="J4165" i="1"/>
  <c r="I4165" i="1"/>
  <c r="K4165" i="1" s="1"/>
  <c r="L4165" i="1" s="1"/>
  <c r="J4164" i="1"/>
  <c r="I4164" i="1"/>
  <c r="K4164" i="1" s="1"/>
  <c r="L4164" i="1" s="1"/>
  <c r="L4163" i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J4153" i="1"/>
  <c r="I4153" i="1"/>
  <c r="K4153" i="1" s="1"/>
  <c r="L4153" i="1" s="1"/>
  <c r="L4152" i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J4148" i="1"/>
  <c r="I4148" i="1"/>
  <c r="K4148" i="1" s="1"/>
  <c r="L4148" i="1" s="1"/>
  <c r="L4147" i="1"/>
  <c r="L4146" i="1"/>
  <c r="J4145" i="1"/>
  <c r="I4145" i="1"/>
  <c r="K4145" i="1" s="1"/>
  <c r="L4145" i="1" s="1"/>
  <c r="J4144" i="1"/>
  <c r="I4144" i="1"/>
  <c r="K4144" i="1" s="1"/>
  <c r="L4144" i="1" s="1"/>
  <c r="J4143" i="1"/>
  <c r="I4143" i="1"/>
  <c r="K4143" i="1" s="1"/>
  <c r="L4143" i="1" s="1"/>
  <c r="L4142" i="1"/>
  <c r="J4141" i="1"/>
  <c r="I4141" i="1"/>
  <c r="K4141" i="1" s="1"/>
  <c r="L4141" i="1" s="1"/>
  <c r="L4140" i="1"/>
  <c r="J4139" i="1"/>
  <c r="I4139" i="1"/>
  <c r="K4139" i="1" s="1"/>
  <c r="L4139" i="1" s="1"/>
  <c r="L4138" i="1"/>
  <c r="J4137" i="1"/>
  <c r="I4137" i="1"/>
  <c r="K4137" i="1" s="1"/>
  <c r="L4137" i="1" s="1"/>
  <c r="L4136" i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J4131" i="1"/>
  <c r="I4131" i="1"/>
  <c r="K4131" i="1" s="1"/>
  <c r="L4131" i="1" s="1"/>
  <c r="L4130" i="1"/>
  <c r="J4129" i="1"/>
  <c r="I4129" i="1"/>
  <c r="K4129" i="1" s="1"/>
  <c r="L4129" i="1" s="1"/>
  <c r="L4128" i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J4120" i="1"/>
  <c r="I4120" i="1"/>
  <c r="K4120" i="1" s="1"/>
  <c r="L4120" i="1" s="1"/>
  <c r="L4119" i="1"/>
  <c r="J4118" i="1"/>
  <c r="I4118" i="1"/>
  <c r="K4118" i="1" s="1"/>
  <c r="L4118" i="1" s="1"/>
  <c r="L4117" i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J4104" i="1"/>
  <c r="I4104" i="1"/>
  <c r="K4104" i="1" s="1"/>
  <c r="L4104" i="1" s="1"/>
  <c r="L4103" i="1"/>
  <c r="L4102" i="1"/>
  <c r="J4101" i="1"/>
  <c r="I4101" i="1"/>
  <c r="K4101" i="1" s="1"/>
  <c r="L4101" i="1" s="1"/>
  <c r="J4100" i="1"/>
  <c r="I4100" i="1"/>
  <c r="K4100" i="1" s="1"/>
  <c r="L4100" i="1" s="1"/>
  <c r="J4099" i="1"/>
  <c r="I4099" i="1"/>
  <c r="K4099" i="1" s="1"/>
  <c r="L4099" i="1" s="1"/>
  <c r="L4098" i="1"/>
  <c r="J4097" i="1"/>
  <c r="I4097" i="1"/>
  <c r="K4097" i="1" s="1"/>
  <c r="L4097" i="1" s="1"/>
  <c r="L4096" i="1"/>
  <c r="J4095" i="1"/>
  <c r="I4095" i="1"/>
  <c r="K4095" i="1" s="1"/>
  <c r="L4095" i="1" s="1"/>
  <c r="L4094" i="1"/>
  <c r="J4093" i="1"/>
  <c r="I4093" i="1"/>
  <c r="K4093" i="1" s="1"/>
  <c r="L4093" i="1" s="1"/>
  <c r="L4092" i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J4087" i="1"/>
  <c r="I4087" i="1"/>
  <c r="K4087" i="1" s="1"/>
  <c r="L4087" i="1" s="1"/>
  <c r="L4086" i="1"/>
  <c r="J4085" i="1"/>
  <c r="I4085" i="1"/>
  <c r="K4085" i="1" s="1"/>
  <c r="L4085" i="1" s="1"/>
  <c r="L4084" i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L4078" i="1"/>
  <c r="J4077" i="1"/>
  <c r="I4077" i="1"/>
  <c r="K4077" i="1" s="1"/>
  <c r="L4077" i="1" s="1"/>
  <c r="J4076" i="1"/>
  <c r="I4076" i="1"/>
  <c r="K4076" i="1" s="1"/>
  <c r="L4076" i="1" s="1"/>
  <c r="L4075" i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L4058" i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L4054" i="1"/>
  <c r="J4053" i="1"/>
  <c r="I4053" i="1"/>
  <c r="K4053" i="1" s="1"/>
  <c r="L4053" i="1" s="1"/>
  <c r="L4052" i="1"/>
  <c r="J4051" i="1"/>
  <c r="I4051" i="1"/>
  <c r="K4051" i="1" s="1"/>
  <c r="L4051" i="1" s="1"/>
  <c r="L4050" i="1"/>
  <c r="J4049" i="1"/>
  <c r="I4049" i="1"/>
  <c r="K4049" i="1" s="1"/>
  <c r="L4049" i="1" s="1"/>
  <c r="L4048" i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L4042" i="1"/>
  <c r="J4041" i="1"/>
  <c r="I4041" i="1"/>
  <c r="K4041" i="1" s="1"/>
  <c r="L4041" i="1" s="1"/>
  <c r="L4040" i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L4031" i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L4014" i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L4010" i="1"/>
  <c r="J4009" i="1"/>
  <c r="I4009" i="1"/>
  <c r="K4009" i="1" s="1"/>
  <c r="L4009" i="1" s="1"/>
  <c r="L4008" i="1"/>
  <c r="J4007" i="1"/>
  <c r="I4007" i="1"/>
  <c r="K4007" i="1" s="1"/>
  <c r="L4007" i="1" s="1"/>
  <c r="L4006" i="1"/>
  <c r="J4005" i="1"/>
  <c r="I4005" i="1"/>
  <c r="K4005" i="1" s="1"/>
  <c r="L4005" i="1" s="1"/>
  <c r="L4004" i="1"/>
  <c r="L4003" i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99" i="1"/>
  <c r="I3999" i="1"/>
  <c r="K3999" i="1" s="1"/>
  <c r="L3999" i="1" s="1"/>
  <c r="L3998" i="1"/>
  <c r="J3997" i="1"/>
  <c r="I3997" i="1"/>
  <c r="K3997" i="1" s="1"/>
  <c r="L3997" i="1" s="1"/>
  <c r="L3996" i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L3987" i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L3981" i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L3976" i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L3970" i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L3964" i="1"/>
  <c r="J3963" i="1"/>
  <c r="I3963" i="1"/>
  <c r="K3963" i="1" s="1"/>
  <c r="L3963" i="1" s="1"/>
  <c r="L3962" i="1"/>
  <c r="J3961" i="1"/>
  <c r="I3961" i="1"/>
  <c r="K3961" i="1" s="1"/>
  <c r="L3961" i="1" s="1"/>
  <c r="L3960" i="1"/>
  <c r="L3959" i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L3954" i="1"/>
  <c r="J3953" i="1"/>
  <c r="I3953" i="1"/>
  <c r="K3953" i="1" s="1"/>
  <c r="L3953" i="1" s="1"/>
  <c r="L3952" i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L3943" i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J3930" i="1"/>
  <c r="I3930" i="1"/>
  <c r="K3930" i="1" s="1"/>
  <c r="L3930" i="1" s="1"/>
  <c r="L3929" i="1"/>
  <c r="J3928" i="1"/>
  <c r="I3928" i="1"/>
  <c r="K3928" i="1" s="1"/>
  <c r="L3928" i="1" s="1"/>
  <c r="J3927" i="1"/>
  <c r="I3927" i="1"/>
  <c r="K3927" i="1" s="1"/>
  <c r="L3927" i="1" s="1"/>
  <c r="L3926" i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L3920" i="1"/>
  <c r="J3919" i="1"/>
  <c r="I3919" i="1"/>
  <c r="K3919" i="1" s="1"/>
  <c r="L3919" i="1" s="1"/>
  <c r="L3918" i="1"/>
  <c r="J3917" i="1"/>
  <c r="I3917" i="1"/>
  <c r="K3917" i="1" s="1"/>
  <c r="L3917" i="1" s="1"/>
  <c r="L3916" i="1"/>
  <c r="L3915" i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L3910" i="1"/>
  <c r="J3909" i="1"/>
  <c r="I3909" i="1"/>
  <c r="K3909" i="1" s="1"/>
  <c r="L3909" i="1" s="1"/>
  <c r="L3908" i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L3899" i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L3882" i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L3876" i="1"/>
  <c r="J3875" i="1"/>
  <c r="I3875" i="1"/>
  <c r="K3875" i="1" s="1"/>
  <c r="L3875" i="1" s="1"/>
  <c r="L3874" i="1"/>
  <c r="J3873" i="1"/>
  <c r="I3873" i="1"/>
  <c r="K3873" i="1" s="1"/>
  <c r="L3873" i="1" s="1"/>
  <c r="L3872" i="1"/>
  <c r="L3871" i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L3866" i="1"/>
  <c r="J3865" i="1"/>
  <c r="I3865" i="1"/>
  <c r="K3865" i="1" s="1"/>
  <c r="L3865" i="1" s="1"/>
  <c r="L3864" i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L3855" i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L3838" i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L3832" i="1"/>
  <c r="J3831" i="1"/>
  <c r="I3831" i="1"/>
  <c r="K3831" i="1" s="1"/>
  <c r="L3831" i="1" s="1"/>
  <c r="L3830" i="1"/>
  <c r="J3829" i="1"/>
  <c r="I3829" i="1"/>
  <c r="K3829" i="1" s="1"/>
  <c r="L3829" i="1" s="1"/>
  <c r="L3828" i="1"/>
  <c r="L3827" i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L3822" i="1"/>
  <c r="J3821" i="1"/>
  <c r="I3821" i="1"/>
  <c r="K3821" i="1" s="1"/>
  <c r="L3821" i="1" s="1"/>
  <c r="L3820" i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L3811" i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J3798" i="1"/>
  <c r="I3798" i="1"/>
  <c r="K3798" i="1" s="1"/>
  <c r="L3798" i="1" s="1"/>
  <c r="L3797" i="1"/>
  <c r="J3796" i="1"/>
  <c r="I3796" i="1"/>
  <c r="K3796" i="1" s="1"/>
  <c r="L3796" i="1" s="1"/>
  <c r="J3795" i="1"/>
  <c r="I3795" i="1"/>
  <c r="K3795" i="1" s="1"/>
  <c r="L3795" i="1" s="1"/>
  <c r="L3794" i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L3788" i="1"/>
  <c r="J3787" i="1"/>
  <c r="I3787" i="1"/>
  <c r="K3787" i="1" s="1"/>
  <c r="L3787" i="1" s="1"/>
  <c r="L3786" i="1"/>
  <c r="J3785" i="1"/>
  <c r="I3785" i="1"/>
  <c r="K3785" i="1" s="1"/>
  <c r="L3785" i="1" s="1"/>
  <c r="L3784" i="1"/>
  <c r="L3783" i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L3778" i="1"/>
  <c r="J3777" i="1"/>
  <c r="I3777" i="1"/>
  <c r="K3777" i="1" s="1"/>
  <c r="L3777" i="1" s="1"/>
  <c r="L3776" i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L3767" i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L3750" i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L3744" i="1"/>
  <c r="J3743" i="1"/>
  <c r="I3743" i="1"/>
  <c r="K3743" i="1" s="1"/>
  <c r="L3743" i="1" s="1"/>
  <c r="L3742" i="1"/>
  <c r="J3741" i="1"/>
  <c r="I3741" i="1"/>
  <c r="K3741" i="1" s="1"/>
  <c r="L3741" i="1" s="1"/>
  <c r="L3740" i="1"/>
  <c r="L3739" i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L3734" i="1"/>
  <c r="J3733" i="1"/>
  <c r="I3733" i="1"/>
  <c r="K3733" i="1" s="1"/>
  <c r="L3733" i="1" s="1"/>
  <c r="L3732" i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L3723" i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L3707" i="1"/>
  <c r="L3706" i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L3700" i="1"/>
  <c r="J3699" i="1"/>
  <c r="I3699" i="1"/>
  <c r="K3699" i="1" s="1"/>
  <c r="L3699" i="1" s="1"/>
  <c r="L3698" i="1"/>
  <c r="J3697" i="1"/>
  <c r="I3697" i="1"/>
  <c r="K3697" i="1" s="1"/>
  <c r="L3697" i="1" s="1"/>
  <c r="L3696" i="1"/>
  <c r="L3695" i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L3690" i="1"/>
  <c r="J3689" i="1"/>
  <c r="I3689" i="1"/>
  <c r="K3689" i="1" s="1"/>
  <c r="L3689" i="1" s="1"/>
  <c r="L3688" i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L3679" i="1"/>
  <c r="J3678" i="1"/>
  <c r="I3678" i="1"/>
  <c r="K3678" i="1" s="1"/>
  <c r="L3678" i="1" s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L3618" i="1"/>
  <c r="J3617" i="1"/>
  <c r="I3617" i="1"/>
  <c r="J3616" i="1"/>
  <c r="I3616" i="1"/>
  <c r="J3615" i="1"/>
  <c r="I3615" i="1"/>
  <c r="J3614" i="1"/>
  <c r="I3614" i="1"/>
  <c r="J3613" i="1"/>
  <c r="I3613" i="1"/>
  <c r="L3612" i="1"/>
  <c r="J3611" i="1"/>
  <c r="I3611" i="1"/>
  <c r="J3610" i="1"/>
  <c r="I3610" i="1"/>
  <c r="J3609" i="1"/>
  <c r="I3609" i="1"/>
  <c r="J3608" i="1"/>
  <c r="I3608" i="1"/>
  <c r="L3607" i="1"/>
  <c r="J3606" i="1"/>
  <c r="I3606" i="1"/>
  <c r="J3605" i="1"/>
  <c r="I3605" i="1"/>
  <c r="J3604" i="1"/>
  <c r="I3604" i="1"/>
  <c r="J3603" i="1"/>
  <c r="I3603" i="1"/>
  <c r="L3602" i="1"/>
  <c r="J3601" i="1"/>
  <c r="I3601" i="1"/>
  <c r="L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L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J3578" i="1"/>
  <c r="I3578" i="1"/>
  <c r="L3577" i="1"/>
  <c r="J3576" i="1"/>
  <c r="I3576" i="1"/>
  <c r="J3575" i="1"/>
  <c r="I3575" i="1"/>
  <c r="L3574" i="1"/>
  <c r="J3573" i="1"/>
  <c r="I3573" i="1"/>
  <c r="J3572" i="1"/>
  <c r="I3572" i="1"/>
  <c r="J3571" i="1"/>
  <c r="I3571" i="1"/>
  <c r="J3570" i="1"/>
  <c r="I3570" i="1"/>
  <c r="J3569" i="1"/>
  <c r="I3569" i="1"/>
  <c r="L3568" i="1"/>
  <c r="J3567" i="1"/>
  <c r="I3567" i="1"/>
  <c r="J3566" i="1"/>
  <c r="I3566" i="1"/>
  <c r="J3565" i="1"/>
  <c r="I3565" i="1"/>
  <c r="J3564" i="1"/>
  <c r="I3564" i="1"/>
  <c r="J3562" i="1"/>
  <c r="I3562" i="1"/>
  <c r="J3561" i="1"/>
  <c r="I3561" i="1"/>
  <c r="J3560" i="1"/>
  <c r="I3560" i="1"/>
  <c r="L3559" i="1"/>
  <c r="L3558" i="1"/>
  <c r="J3557" i="1"/>
  <c r="I3557" i="1"/>
  <c r="L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L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9" i="1"/>
  <c r="I3519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J3477" i="1"/>
  <c r="I3477" i="1"/>
  <c r="J3476" i="1"/>
  <c r="I3476" i="1"/>
  <c r="L3475" i="1"/>
  <c r="L3474" i="1"/>
  <c r="L3473" i="1"/>
  <c r="J3472" i="1"/>
  <c r="I3472" i="1"/>
  <c r="J3471" i="1"/>
  <c r="I3471" i="1"/>
  <c r="L3470" i="1"/>
  <c r="J3469" i="1"/>
  <c r="I3469" i="1"/>
  <c r="L3468" i="1"/>
  <c r="L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J3460" i="1"/>
  <c r="I3460" i="1"/>
  <c r="L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K3452" i="1" s="1"/>
  <c r="L3452" i="1" s="1"/>
  <c r="J3451" i="1"/>
  <c r="I3451" i="1"/>
  <c r="K3451" i="1" s="1"/>
  <c r="L3451" i="1" s="1"/>
  <c r="L3450" i="1"/>
  <c r="L3449" i="1"/>
  <c r="J3448" i="1"/>
  <c r="I3448" i="1"/>
  <c r="K3448" i="1" s="1"/>
  <c r="L3448" i="1" s="1"/>
  <c r="L3447" i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L3443" i="1"/>
  <c r="L3442" i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L3436" i="1"/>
  <c r="L3435" i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L3426" i="1"/>
  <c r="J3425" i="1"/>
  <c r="I3425" i="1"/>
  <c r="K3425" i="1" s="1"/>
  <c r="L3425" i="1" s="1"/>
  <c r="L3424" i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J3416" i="1"/>
  <c r="I3416" i="1"/>
  <c r="K3416" i="1" s="1"/>
  <c r="L3416" i="1" s="1"/>
  <c r="L3415" i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J3406" i="1"/>
  <c r="I3406" i="1"/>
  <c r="K3406" i="1" s="1"/>
  <c r="L3406" i="1" s="1"/>
  <c r="L3405" i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J3400" i="1"/>
  <c r="I3400" i="1"/>
  <c r="K3400" i="1" s="1"/>
  <c r="L3400" i="1" s="1"/>
  <c r="L3399" i="1"/>
  <c r="L3398" i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J3393" i="1"/>
  <c r="I3393" i="1"/>
  <c r="K3393" i="1" s="1"/>
  <c r="L3393" i="1" s="1"/>
  <c r="L3392" i="1"/>
  <c r="L3391" i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J3383" i="1"/>
  <c r="I3383" i="1"/>
  <c r="K3383" i="1" s="1"/>
  <c r="L3383" i="1" s="1"/>
  <c r="L3382" i="1"/>
  <c r="J3381" i="1"/>
  <c r="I3381" i="1"/>
  <c r="K3381" i="1" s="1"/>
  <c r="L3381" i="1" s="1"/>
  <c r="L3380" i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J3372" i="1"/>
  <c r="I3372" i="1"/>
  <c r="K3372" i="1" s="1"/>
  <c r="L3372" i="1" s="1"/>
  <c r="L3371" i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J3362" i="1"/>
  <c r="I3362" i="1"/>
  <c r="K3362" i="1" s="1"/>
  <c r="L3362" i="1" s="1"/>
  <c r="L3361" i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J3356" i="1"/>
  <c r="I3356" i="1"/>
  <c r="K3356" i="1" s="1"/>
  <c r="L3356" i="1" s="1"/>
  <c r="L3355" i="1"/>
  <c r="L3354" i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J3349" i="1"/>
  <c r="I3349" i="1"/>
  <c r="K3349" i="1" s="1"/>
  <c r="L3349" i="1" s="1"/>
  <c r="L3348" i="1"/>
  <c r="L3347" i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J3339" i="1"/>
  <c r="I3339" i="1"/>
  <c r="K3339" i="1" s="1"/>
  <c r="L3339" i="1" s="1"/>
  <c r="L3338" i="1"/>
  <c r="J3337" i="1"/>
  <c r="I3337" i="1"/>
  <c r="K3337" i="1" s="1"/>
  <c r="L3337" i="1" s="1"/>
  <c r="L3336" i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J3328" i="1"/>
  <c r="I3328" i="1"/>
  <c r="K3328" i="1" s="1"/>
  <c r="L3328" i="1" s="1"/>
  <c r="L3327" i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J3318" i="1"/>
  <c r="I3318" i="1"/>
  <c r="K3318" i="1" s="1"/>
  <c r="L3318" i="1" s="1"/>
  <c r="L3317" i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J3312" i="1"/>
  <c r="I3312" i="1"/>
  <c r="K3312" i="1" s="1"/>
  <c r="L3312" i="1" s="1"/>
  <c r="L3311" i="1"/>
  <c r="L3310" i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J3305" i="1"/>
  <c r="I3305" i="1"/>
  <c r="K3305" i="1" s="1"/>
  <c r="L3305" i="1" s="1"/>
  <c r="L3304" i="1"/>
  <c r="L3303" i="1"/>
  <c r="J3302" i="1"/>
  <c r="I3302" i="1"/>
  <c r="K3302" i="1" s="1"/>
  <c r="L3302" i="1" s="1"/>
  <c r="J3301" i="1"/>
  <c r="I3301" i="1"/>
  <c r="K3301" i="1" s="1"/>
  <c r="L3301" i="1" s="1"/>
  <c r="J3300" i="1"/>
  <c r="I3300" i="1"/>
  <c r="K3300" i="1" s="1"/>
  <c r="L3300" i="1" s="1"/>
  <c r="L3299" i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J3295" i="1"/>
  <c r="I3295" i="1"/>
  <c r="K3295" i="1" s="1"/>
  <c r="L3295" i="1" s="1"/>
  <c r="L3294" i="1"/>
  <c r="J3293" i="1"/>
  <c r="I3293" i="1"/>
  <c r="K3293" i="1" s="1"/>
  <c r="L3293" i="1" s="1"/>
  <c r="L3292" i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J3284" i="1"/>
  <c r="I3284" i="1"/>
  <c r="K3284" i="1" s="1"/>
  <c r="L3284" i="1" s="1"/>
  <c r="L3283" i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J3278" i="1"/>
  <c r="I3278" i="1"/>
  <c r="K3278" i="1" s="1"/>
  <c r="L3278" i="1" s="1"/>
  <c r="L3277" i="1"/>
  <c r="J3276" i="1"/>
  <c r="I3276" i="1"/>
  <c r="K3276" i="1" s="1"/>
  <c r="L3276" i="1" s="1"/>
  <c r="J3275" i="1"/>
  <c r="I3275" i="1"/>
  <c r="K3275" i="1" s="1"/>
  <c r="L3275" i="1" s="1"/>
  <c r="J3274" i="1"/>
  <c r="I3274" i="1"/>
  <c r="K3274" i="1" s="1"/>
  <c r="L3274" i="1" s="1"/>
  <c r="L3273" i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J3268" i="1"/>
  <c r="I3268" i="1"/>
  <c r="K3268" i="1" s="1"/>
  <c r="L3268" i="1" s="1"/>
  <c r="L3267" i="1"/>
  <c r="L3266" i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J3261" i="1"/>
  <c r="I3261" i="1"/>
  <c r="K3261" i="1" s="1"/>
  <c r="L3261" i="1" s="1"/>
  <c r="L3260" i="1"/>
  <c r="L3259" i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J3251" i="1"/>
  <c r="I3251" i="1"/>
  <c r="K3251" i="1" s="1"/>
  <c r="L3251" i="1" s="1"/>
  <c r="L3250" i="1"/>
  <c r="J3249" i="1"/>
  <c r="I3249" i="1"/>
  <c r="K3249" i="1" s="1"/>
  <c r="L3249" i="1" s="1"/>
  <c r="L3248" i="1"/>
  <c r="J3247" i="1"/>
  <c r="I3247" i="1"/>
  <c r="K3247" i="1" s="1"/>
  <c r="L3247" i="1" s="1"/>
  <c r="J3246" i="1"/>
  <c r="I3246" i="1"/>
  <c r="K3246" i="1" s="1"/>
  <c r="L3246" i="1" s="1"/>
  <c r="L3245" i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J3240" i="1"/>
  <c r="I3240" i="1"/>
  <c r="K3240" i="1" s="1"/>
  <c r="L3240" i="1" s="1"/>
  <c r="L3239" i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J3234" i="1"/>
  <c r="I3234" i="1"/>
  <c r="K3234" i="1" s="1"/>
  <c r="L3234" i="1" s="1"/>
  <c r="L3233" i="1"/>
  <c r="J3232" i="1"/>
  <c r="I3232" i="1"/>
  <c r="K3232" i="1" s="1"/>
  <c r="L3232" i="1" s="1"/>
  <c r="J3231" i="1"/>
  <c r="I3231" i="1"/>
  <c r="K3231" i="1" s="1"/>
  <c r="L3231" i="1" s="1"/>
  <c r="J3230" i="1"/>
  <c r="I3230" i="1"/>
  <c r="K3230" i="1" s="1"/>
  <c r="L3230" i="1" s="1"/>
  <c r="L3229" i="1"/>
  <c r="J3228" i="1"/>
  <c r="I3228" i="1"/>
  <c r="K3228" i="1" s="1"/>
  <c r="L3228" i="1" s="1"/>
  <c r="L3227" i="1"/>
  <c r="J3226" i="1"/>
  <c r="I3226" i="1"/>
  <c r="K3226" i="1" s="1"/>
  <c r="L3226" i="1" s="1"/>
  <c r="J3225" i="1"/>
  <c r="I3225" i="1"/>
  <c r="K3225" i="1" s="1"/>
  <c r="L3225" i="1" s="1"/>
  <c r="J3224" i="1"/>
  <c r="I3224" i="1"/>
  <c r="K3224" i="1" s="1"/>
  <c r="L3224" i="1" s="1"/>
  <c r="L3223" i="1"/>
  <c r="L3222" i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J3217" i="1"/>
  <c r="I3217" i="1"/>
  <c r="K3217" i="1" s="1"/>
  <c r="L3217" i="1" s="1"/>
  <c r="L3216" i="1"/>
  <c r="L3215" i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J3207" i="1"/>
  <c r="I3207" i="1"/>
  <c r="K3207" i="1" s="1"/>
  <c r="L3207" i="1" s="1"/>
  <c r="L3206" i="1"/>
  <c r="J3205" i="1"/>
  <c r="I3205" i="1"/>
  <c r="K3205" i="1" s="1"/>
  <c r="L3205" i="1" s="1"/>
  <c r="L3204" i="1"/>
  <c r="L3203" i="1"/>
  <c r="J3202" i="1"/>
  <c r="I3202" i="1"/>
  <c r="K3202" i="1" s="1"/>
  <c r="L3202" i="1" s="1"/>
  <c r="L3201" i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J3196" i="1"/>
  <c r="I3196" i="1"/>
  <c r="K3196" i="1" s="1"/>
  <c r="L3196" i="1" s="1"/>
  <c r="L3195" i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J3190" i="1"/>
  <c r="I3190" i="1"/>
  <c r="K3190" i="1" s="1"/>
  <c r="L3190" i="1" s="1"/>
  <c r="L3189" i="1"/>
  <c r="J3188" i="1"/>
  <c r="I3188" i="1"/>
  <c r="K3188" i="1" s="1"/>
  <c r="L3188" i="1" s="1"/>
  <c r="J3187" i="1"/>
  <c r="I3187" i="1"/>
  <c r="K3187" i="1" s="1"/>
  <c r="L3187" i="1" s="1"/>
  <c r="L3186" i="1"/>
  <c r="L3185" i="1"/>
  <c r="J3184" i="1"/>
  <c r="I3184" i="1"/>
  <c r="K3184" i="1" s="1"/>
  <c r="L3184" i="1" s="1"/>
  <c r="L3183" i="1"/>
  <c r="J3182" i="1"/>
  <c r="I3182" i="1"/>
  <c r="K3182" i="1" s="1"/>
  <c r="L3182" i="1" s="1"/>
  <c r="L3181" i="1"/>
  <c r="J3180" i="1"/>
  <c r="I3180" i="1"/>
  <c r="K3180" i="1" s="1"/>
  <c r="L3180" i="1" s="1"/>
  <c r="L3179" i="1"/>
  <c r="L3178" i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J3173" i="1"/>
  <c r="I3173" i="1"/>
  <c r="K3173" i="1" s="1"/>
  <c r="L3173" i="1" s="1"/>
  <c r="L3172" i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J3163" i="1"/>
  <c r="I3163" i="1"/>
  <c r="K3163" i="1" s="1"/>
  <c r="L3163" i="1" s="1"/>
  <c r="L3162" i="1"/>
  <c r="J3161" i="1"/>
  <c r="I3161" i="1"/>
  <c r="K3161" i="1" s="1"/>
  <c r="L3161" i="1" s="1"/>
  <c r="L3160" i="1"/>
  <c r="L3159" i="1"/>
  <c r="J3158" i="1"/>
  <c r="I3158" i="1"/>
  <c r="K3158" i="1" s="1"/>
  <c r="L3158" i="1" s="1"/>
  <c r="L3157" i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J3152" i="1"/>
  <c r="I3152" i="1"/>
  <c r="K3152" i="1" s="1"/>
  <c r="L3152" i="1" s="1"/>
  <c r="L3151" i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J3146" i="1"/>
  <c r="I3146" i="1"/>
  <c r="K3146" i="1" s="1"/>
  <c r="L3146" i="1" s="1"/>
  <c r="L3145" i="1"/>
  <c r="J3144" i="1"/>
  <c r="I3144" i="1"/>
  <c r="K3144" i="1" s="1"/>
  <c r="L3144" i="1" s="1"/>
  <c r="J3143" i="1"/>
  <c r="I3143" i="1"/>
  <c r="K3143" i="1" s="1"/>
  <c r="L3143" i="1" s="1"/>
  <c r="J3142" i="1"/>
  <c r="I3142" i="1"/>
  <c r="K3142" i="1" s="1"/>
  <c r="L3142" i="1" s="1"/>
  <c r="L3141" i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J3136" i="1"/>
  <c r="I3136" i="1"/>
  <c r="K3136" i="1" s="1"/>
  <c r="L3136" i="1" s="1"/>
  <c r="L3135" i="1"/>
  <c r="L3134" i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J3129" i="1"/>
  <c r="I3129" i="1"/>
  <c r="K3129" i="1" s="1"/>
  <c r="L3129" i="1" s="1"/>
  <c r="L3128" i="1"/>
  <c r="J3127" i="1"/>
  <c r="I3127" i="1"/>
  <c r="K3127" i="1" s="1"/>
  <c r="L3127" i="1" s="1"/>
  <c r="L3126" i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J3119" i="1"/>
  <c r="I3119" i="1"/>
  <c r="K3119" i="1" s="1"/>
  <c r="L3119" i="1" s="1"/>
  <c r="L3118" i="1"/>
  <c r="J3117" i="1"/>
  <c r="I3117" i="1"/>
  <c r="K3117" i="1" s="1"/>
  <c r="L3117" i="1" s="1"/>
  <c r="L3116" i="1"/>
  <c r="L3115" i="1"/>
  <c r="J3114" i="1"/>
  <c r="I3114" i="1"/>
  <c r="K3114" i="1" s="1"/>
  <c r="L3114" i="1" s="1"/>
  <c r="L3113" i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J3108" i="1"/>
  <c r="I3108" i="1"/>
  <c r="K3108" i="1" s="1"/>
  <c r="L3108" i="1" s="1"/>
  <c r="L3107" i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J3102" i="1"/>
  <c r="I3102" i="1"/>
  <c r="K3102" i="1" s="1"/>
  <c r="L3102" i="1" s="1"/>
  <c r="L3101" i="1"/>
  <c r="J3100" i="1"/>
  <c r="I3100" i="1"/>
  <c r="K3100" i="1" s="1"/>
  <c r="L3100" i="1" s="1"/>
  <c r="J3099" i="1"/>
  <c r="I3099" i="1"/>
  <c r="K3099" i="1" s="1"/>
  <c r="L3099" i="1" s="1"/>
  <c r="J3098" i="1"/>
  <c r="I3098" i="1"/>
  <c r="K3098" i="1" s="1"/>
  <c r="L3098" i="1" s="1"/>
  <c r="L3097" i="1"/>
  <c r="L3096" i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J3092" i="1"/>
  <c r="I3092" i="1"/>
  <c r="K3092" i="1" s="1"/>
  <c r="L3092" i="1" s="1"/>
  <c r="L3091" i="1"/>
  <c r="L3090" i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J3085" i="1"/>
  <c r="I3085" i="1"/>
  <c r="K3085" i="1" s="1"/>
  <c r="L3085" i="1" s="1"/>
  <c r="L3084" i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J3075" i="1"/>
  <c r="I3075" i="1"/>
  <c r="K3075" i="1" s="1"/>
  <c r="L3075" i="1" s="1"/>
  <c r="L3074" i="1"/>
  <c r="J3073" i="1"/>
  <c r="I3073" i="1"/>
  <c r="K3073" i="1" s="1"/>
  <c r="L3073" i="1" s="1"/>
  <c r="L3072" i="1"/>
  <c r="L3071" i="1"/>
  <c r="J3070" i="1"/>
  <c r="I3070" i="1"/>
  <c r="K3070" i="1" s="1"/>
  <c r="L3070" i="1" s="1"/>
  <c r="L3069" i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J3064" i="1"/>
  <c r="I3064" i="1"/>
  <c r="K3064" i="1" s="1"/>
  <c r="L3064" i="1" s="1"/>
  <c r="L3063" i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J3058" i="1"/>
  <c r="I3058" i="1"/>
  <c r="K3058" i="1" s="1"/>
  <c r="L3058" i="1" s="1"/>
  <c r="L3057" i="1"/>
  <c r="J3056" i="1"/>
  <c r="I3056" i="1"/>
  <c r="K3056" i="1" s="1"/>
  <c r="L3056" i="1" s="1"/>
  <c r="J3055" i="1"/>
  <c r="I3055" i="1"/>
  <c r="K3055" i="1" s="1"/>
  <c r="L3055" i="1" s="1"/>
  <c r="J3054" i="1"/>
  <c r="I3054" i="1"/>
  <c r="K3054" i="1" s="1"/>
  <c r="L3054" i="1" s="1"/>
  <c r="L3053" i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J3048" i="1"/>
  <c r="I3048" i="1"/>
  <c r="K3048" i="1" s="1"/>
  <c r="L3048" i="1" s="1"/>
  <c r="L3047" i="1"/>
  <c r="L3046" i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J3041" i="1"/>
  <c r="I3041" i="1"/>
  <c r="K3041" i="1" s="1"/>
  <c r="L3041" i="1" s="1"/>
  <c r="L3040" i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J3032" i="1"/>
  <c r="I3032" i="1"/>
  <c r="K3032" i="1" s="1"/>
  <c r="L3032" i="1" s="1"/>
  <c r="L3031" i="1"/>
  <c r="L3030" i="1"/>
  <c r="J3029" i="1"/>
  <c r="I3029" i="1"/>
  <c r="K3029" i="1" s="1"/>
  <c r="L3029" i="1" s="1"/>
  <c r="L3028" i="1"/>
  <c r="J3027" i="1"/>
  <c r="I3027" i="1"/>
  <c r="K3027" i="1" s="1"/>
  <c r="L3027" i="1" s="1"/>
  <c r="J3026" i="1"/>
  <c r="I3026" i="1"/>
  <c r="K3026" i="1" s="1"/>
  <c r="L3026" i="1" s="1"/>
  <c r="L3025" i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J3020" i="1"/>
  <c r="I3020" i="1"/>
  <c r="K3020" i="1" s="1"/>
  <c r="L3020" i="1" s="1"/>
  <c r="L3019" i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J3014" i="1"/>
  <c r="I3014" i="1"/>
  <c r="K3014" i="1" s="1"/>
  <c r="L3014" i="1" s="1"/>
  <c r="L3013" i="1"/>
  <c r="J3012" i="1"/>
  <c r="I3012" i="1"/>
  <c r="K3012" i="1" s="1"/>
  <c r="L3012" i="1" s="1"/>
  <c r="J3011" i="1"/>
  <c r="I3011" i="1"/>
  <c r="K3011" i="1" s="1"/>
  <c r="L3011" i="1" s="1"/>
  <c r="J3010" i="1"/>
  <c r="I3010" i="1"/>
  <c r="K3010" i="1" s="1"/>
  <c r="L3010" i="1" s="1"/>
  <c r="L3009" i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J3003" i="1"/>
  <c r="I3003" i="1"/>
  <c r="K3003" i="1" s="1"/>
  <c r="L3003" i="1" s="1"/>
  <c r="L3002" i="1"/>
  <c r="J3001" i="1"/>
  <c r="I3001" i="1"/>
  <c r="K3001" i="1" s="1"/>
  <c r="L3001" i="1" s="1"/>
  <c r="L3000" i="1"/>
  <c r="J2999" i="1"/>
  <c r="I2999" i="1"/>
  <c r="K2999" i="1" s="1"/>
  <c r="L2999" i="1" s="1"/>
  <c r="L2998" i="1"/>
  <c r="J2997" i="1"/>
  <c r="I2997" i="1"/>
  <c r="K2997" i="1" s="1"/>
  <c r="L2997" i="1" s="1"/>
  <c r="L2996" i="1"/>
  <c r="J2995" i="1"/>
  <c r="I2995" i="1"/>
  <c r="K2995" i="1" s="1"/>
  <c r="L2995" i="1" s="1"/>
  <c r="L2994" i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J2987" i="1"/>
  <c r="I2987" i="1"/>
  <c r="K2987" i="1" s="1"/>
  <c r="L2987" i="1" s="1"/>
  <c r="L2986" i="1"/>
  <c r="J2985" i="1"/>
  <c r="I2985" i="1"/>
  <c r="K2985" i="1" s="1"/>
  <c r="L2985" i="1" s="1"/>
  <c r="L2984" i="1"/>
  <c r="L2983" i="1"/>
  <c r="J2982" i="1"/>
  <c r="I2982" i="1"/>
  <c r="K2982" i="1" s="1"/>
  <c r="L2982" i="1" s="1"/>
  <c r="L2981" i="1"/>
  <c r="J2980" i="1"/>
  <c r="I2980" i="1"/>
  <c r="K2980" i="1" s="1"/>
  <c r="L2980" i="1" s="1"/>
  <c r="J2979" i="1"/>
  <c r="I2979" i="1"/>
  <c r="K2979" i="1" s="1"/>
  <c r="L2979" i="1" s="1"/>
  <c r="L2978" i="1"/>
  <c r="J2977" i="1"/>
  <c r="I2977" i="1"/>
  <c r="K2977" i="1" s="1"/>
  <c r="L2977" i="1" s="1"/>
  <c r="J2976" i="1"/>
  <c r="I2976" i="1"/>
  <c r="K2976" i="1" s="1"/>
  <c r="L2976" i="1" s="1"/>
  <c r="L2975" i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J2970" i="1"/>
  <c r="I2970" i="1"/>
  <c r="K2970" i="1" s="1"/>
  <c r="L2970" i="1" s="1"/>
  <c r="L2969" i="1"/>
  <c r="J2968" i="1"/>
  <c r="I2968" i="1"/>
  <c r="K2968" i="1" s="1"/>
  <c r="L2968" i="1" s="1"/>
  <c r="J2967" i="1"/>
  <c r="I2967" i="1"/>
  <c r="K2967" i="1" s="1"/>
  <c r="L2967" i="1" s="1"/>
  <c r="J2966" i="1"/>
  <c r="I2966" i="1"/>
  <c r="K2966" i="1" s="1"/>
  <c r="L2966" i="1" s="1"/>
  <c r="L2965" i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J2959" i="1"/>
  <c r="I2959" i="1"/>
  <c r="K2959" i="1" s="1"/>
  <c r="L2959" i="1" s="1"/>
  <c r="L2958" i="1"/>
  <c r="J2957" i="1"/>
  <c r="I2957" i="1"/>
  <c r="K2957" i="1" s="1"/>
  <c r="L2957" i="1" s="1"/>
  <c r="L2956" i="1"/>
  <c r="J2955" i="1"/>
  <c r="I2955" i="1"/>
  <c r="K2955" i="1" s="1"/>
  <c r="L2955" i="1" s="1"/>
  <c r="L2954" i="1"/>
  <c r="J2953" i="1"/>
  <c r="I2953" i="1"/>
  <c r="K2953" i="1" s="1"/>
  <c r="L2953" i="1" s="1"/>
  <c r="L2952" i="1"/>
  <c r="J2951" i="1"/>
  <c r="I2951" i="1"/>
  <c r="K2951" i="1" s="1"/>
  <c r="L2951" i="1" s="1"/>
  <c r="L2950" i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J2943" i="1"/>
  <c r="I2943" i="1"/>
  <c r="K2943" i="1" s="1"/>
  <c r="L2943" i="1" s="1"/>
  <c r="L2942" i="1"/>
  <c r="J2941" i="1"/>
  <c r="I2941" i="1"/>
  <c r="K2941" i="1" s="1"/>
  <c r="L2941" i="1" s="1"/>
  <c r="L2940" i="1"/>
  <c r="L2939" i="1"/>
  <c r="J2938" i="1"/>
  <c r="I2938" i="1"/>
  <c r="K2938" i="1" s="1"/>
  <c r="L2938" i="1" s="1"/>
  <c r="L2937" i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J2932" i="1"/>
  <c r="I2932" i="1"/>
  <c r="K2932" i="1" s="1"/>
  <c r="L2932" i="1" s="1"/>
  <c r="L2931" i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J2926" i="1"/>
  <c r="I2926" i="1"/>
  <c r="K2926" i="1" s="1"/>
  <c r="L2926" i="1" s="1"/>
  <c r="L2925" i="1"/>
  <c r="J2924" i="1"/>
  <c r="I2924" i="1"/>
  <c r="K2924" i="1" s="1"/>
  <c r="L2924" i="1" s="1"/>
  <c r="J2923" i="1"/>
  <c r="I2923" i="1"/>
  <c r="K2923" i="1" s="1"/>
  <c r="L2923" i="1" s="1"/>
  <c r="J2922" i="1"/>
  <c r="I2922" i="1"/>
  <c r="K2922" i="1" s="1"/>
  <c r="L2922" i="1" s="1"/>
  <c r="L2921" i="1"/>
  <c r="J2920" i="1"/>
  <c r="I2920" i="1"/>
  <c r="K2920" i="1" s="1"/>
  <c r="L2920" i="1" s="1"/>
  <c r="J2919" i="1"/>
  <c r="I2919" i="1"/>
  <c r="K2919" i="1" s="1"/>
  <c r="L2919" i="1" s="1"/>
  <c r="J2918" i="1"/>
  <c r="I2918" i="1"/>
  <c r="K2918" i="1" s="1"/>
  <c r="L2918" i="1" s="1"/>
  <c r="L2917" i="1"/>
  <c r="J2916" i="1"/>
  <c r="I2916" i="1"/>
  <c r="K2916" i="1" s="1"/>
  <c r="L2916" i="1" s="1"/>
  <c r="J2915" i="1"/>
  <c r="I2915" i="1"/>
  <c r="K2915" i="1" s="1"/>
  <c r="L2915" i="1" s="1"/>
  <c r="L2914" i="1"/>
  <c r="J2913" i="1"/>
  <c r="I2913" i="1"/>
  <c r="K2913" i="1" s="1"/>
  <c r="L2913" i="1" s="1"/>
  <c r="L2912" i="1"/>
  <c r="J2911" i="1"/>
  <c r="I2911" i="1"/>
  <c r="K2911" i="1" s="1"/>
  <c r="L2911" i="1" s="1"/>
  <c r="L2910" i="1"/>
  <c r="J2909" i="1"/>
  <c r="I2909" i="1"/>
  <c r="K2909" i="1" s="1"/>
  <c r="L2909" i="1" s="1"/>
  <c r="L2908" i="1"/>
  <c r="J2907" i="1"/>
  <c r="I2907" i="1"/>
  <c r="K2907" i="1" s="1"/>
  <c r="L2907" i="1" s="1"/>
  <c r="L2906" i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J2899" i="1"/>
  <c r="I2899" i="1"/>
  <c r="K2899" i="1" s="1"/>
  <c r="L2899" i="1" s="1"/>
  <c r="L2898" i="1"/>
  <c r="J2897" i="1"/>
  <c r="I2897" i="1"/>
  <c r="K2897" i="1" s="1"/>
  <c r="L2897" i="1" s="1"/>
  <c r="L2896" i="1"/>
  <c r="L2895" i="1"/>
  <c r="J2894" i="1"/>
  <c r="I2894" i="1"/>
  <c r="K2894" i="1" s="1"/>
  <c r="L2894" i="1" s="1"/>
  <c r="L2893" i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J2888" i="1"/>
  <c r="I2888" i="1"/>
  <c r="K2888" i="1" s="1"/>
  <c r="L2888" i="1" s="1"/>
  <c r="L2887" i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J2883" i="1"/>
  <c r="I2883" i="1"/>
  <c r="K2883" i="1" s="1"/>
  <c r="L2883" i="1" s="1"/>
  <c r="L2882" i="1"/>
  <c r="L2881" i="1"/>
  <c r="J2880" i="1"/>
  <c r="I2880" i="1"/>
  <c r="K2880" i="1" s="1"/>
  <c r="L2880" i="1" s="1"/>
  <c r="J2879" i="1"/>
  <c r="I2879" i="1"/>
  <c r="K2879" i="1" s="1"/>
  <c r="L2879" i="1" s="1"/>
  <c r="J2878" i="1"/>
  <c r="I2878" i="1"/>
  <c r="K2878" i="1" s="1"/>
  <c r="L2878" i="1" s="1"/>
  <c r="L2877" i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J2871" i="1"/>
  <c r="I2871" i="1"/>
  <c r="K2871" i="1" s="1"/>
  <c r="L2871" i="1" s="1"/>
  <c r="L2870" i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J2865" i="1"/>
  <c r="I2865" i="1"/>
  <c r="K2865" i="1" s="1"/>
  <c r="L2865" i="1" s="1"/>
  <c r="L2864" i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J2855" i="1"/>
  <c r="I2855" i="1"/>
  <c r="K2855" i="1" s="1"/>
  <c r="L2855" i="1" s="1"/>
  <c r="L2854" i="1"/>
  <c r="J2853" i="1"/>
  <c r="I2853" i="1"/>
  <c r="K2853" i="1" s="1"/>
  <c r="L2853" i="1" s="1"/>
  <c r="L2852" i="1"/>
  <c r="J2851" i="1"/>
  <c r="I2851" i="1"/>
  <c r="K2851" i="1" s="1"/>
  <c r="L2851" i="1" s="1"/>
  <c r="J2850" i="1"/>
  <c r="I2850" i="1"/>
  <c r="K2850" i="1" s="1"/>
  <c r="L2850" i="1" s="1"/>
  <c r="L2849" i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J2844" i="1"/>
  <c r="I2844" i="1"/>
  <c r="K2844" i="1" s="1"/>
  <c r="L2844" i="1" s="1"/>
  <c r="L2843" i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J2838" i="1"/>
  <c r="I2838" i="1"/>
  <c r="K2838" i="1" s="1"/>
  <c r="L2838" i="1" s="1"/>
  <c r="L2837" i="1"/>
  <c r="J2836" i="1"/>
  <c r="I2836" i="1"/>
  <c r="K2836" i="1" s="1"/>
  <c r="L2836" i="1" s="1"/>
  <c r="J2835" i="1"/>
  <c r="I2835" i="1"/>
  <c r="K2835" i="1" s="1"/>
  <c r="L2835" i="1" s="1"/>
  <c r="J2834" i="1"/>
  <c r="I2834" i="1"/>
  <c r="K2834" i="1" s="1"/>
  <c r="L2834" i="1" s="1"/>
  <c r="L2833" i="1"/>
  <c r="J2832" i="1"/>
  <c r="I2832" i="1"/>
  <c r="K2832" i="1" s="1"/>
  <c r="L2832" i="1" s="1"/>
  <c r="J2831" i="1"/>
  <c r="I2831" i="1"/>
  <c r="K2831" i="1" s="1"/>
  <c r="L2831" i="1" s="1"/>
  <c r="J2830" i="1"/>
  <c r="I2830" i="1"/>
  <c r="K2830" i="1" s="1"/>
  <c r="L2830" i="1" s="1"/>
  <c r="L2829" i="1"/>
  <c r="J2828" i="1"/>
  <c r="I2828" i="1"/>
  <c r="K2828" i="1" s="1"/>
  <c r="L2828" i="1" s="1"/>
  <c r="J2827" i="1"/>
  <c r="I2827" i="1"/>
  <c r="K2827" i="1" s="1"/>
  <c r="L2827" i="1" s="1"/>
  <c r="L2826" i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L2820" i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L2814" i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L2810" i="1"/>
  <c r="J2809" i="1"/>
  <c r="I2809" i="1"/>
  <c r="K2809" i="1" s="1"/>
  <c r="L2809" i="1" s="1"/>
  <c r="L2808" i="1"/>
  <c r="J2807" i="1"/>
  <c r="I2807" i="1"/>
  <c r="K2807" i="1" s="1"/>
  <c r="L2807" i="1" s="1"/>
  <c r="J2806" i="1"/>
  <c r="I2806" i="1"/>
  <c r="K2806" i="1" s="1"/>
  <c r="L2806" i="1" s="1"/>
  <c r="L2805" i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L2799" i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L2793" i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L2789" i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J2783" i="1"/>
  <c r="I2783" i="1"/>
  <c r="K2783" i="1" s="1"/>
  <c r="L2783" i="1" s="1"/>
  <c r="L2782" i="1"/>
  <c r="J2781" i="1"/>
  <c r="I2781" i="1"/>
  <c r="K2781" i="1" s="1"/>
  <c r="L2781" i="1" s="1"/>
  <c r="L2780" i="1"/>
  <c r="J2779" i="1"/>
  <c r="I2779" i="1"/>
  <c r="K2779" i="1" s="1"/>
  <c r="L2779" i="1" s="1"/>
  <c r="L2778" i="1"/>
  <c r="J2777" i="1"/>
  <c r="I2777" i="1"/>
  <c r="K2777" i="1" s="1"/>
  <c r="L2777" i="1" s="1"/>
  <c r="L2776" i="1"/>
  <c r="J2775" i="1"/>
  <c r="I2775" i="1"/>
  <c r="K2775" i="1" s="1"/>
  <c r="L2775" i="1" s="1"/>
  <c r="L2774" i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J2767" i="1"/>
  <c r="I2767" i="1"/>
  <c r="K2767" i="1" s="1"/>
  <c r="L2767" i="1" s="1"/>
  <c r="L2766" i="1"/>
  <c r="J2765" i="1"/>
  <c r="I2765" i="1"/>
  <c r="K2765" i="1" s="1"/>
  <c r="L2765" i="1" s="1"/>
  <c r="L2764" i="1"/>
  <c r="L2763" i="1"/>
  <c r="J2762" i="1"/>
  <c r="I2762" i="1"/>
  <c r="K2762" i="1" s="1"/>
  <c r="L2762" i="1" s="1"/>
  <c r="L2761" i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J2756" i="1"/>
  <c r="I2756" i="1"/>
  <c r="K2756" i="1" s="1"/>
  <c r="L2756" i="1" s="1"/>
  <c r="L2755" i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J2750" i="1"/>
  <c r="I2750" i="1"/>
  <c r="K2750" i="1" s="1"/>
  <c r="L2750" i="1" s="1"/>
  <c r="L2749" i="1"/>
  <c r="J2748" i="1"/>
  <c r="I2748" i="1"/>
  <c r="K2748" i="1" s="1"/>
  <c r="L2748" i="1" s="1"/>
  <c r="J2747" i="1"/>
  <c r="I2747" i="1"/>
  <c r="K2747" i="1" s="1"/>
  <c r="L2747" i="1" s="1"/>
  <c r="J2746" i="1"/>
  <c r="I2746" i="1"/>
  <c r="K2746" i="1" s="1"/>
  <c r="L2746" i="1" s="1"/>
  <c r="L2745" i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L2738" i="1"/>
  <c r="J2737" i="1"/>
  <c r="I2737" i="1"/>
  <c r="K2737" i="1" s="1"/>
  <c r="L2737" i="1" s="1"/>
  <c r="L2736" i="1"/>
  <c r="J2735" i="1"/>
  <c r="I2735" i="1"/>
  <c r="K2735" i="1" s="1"/>
  <c r="L2735" i="1" s="1"/>
  <c r="L2734" i="1"/>
  <c r="J2733" i="1"/>
  <c r="I2733" i="1"/>
  <c r="K2733" i="1" s="1"/>
  <c r="L2733" i="1" s="1"/>
  <c r="L2732" i="1"/>
  <c r="J2731" i="1"/>
  <c r="I2731" i="1"/>
  <c r="K2731" i="1" s="1"/>
  <c r="L2731" i="1" s="1"/>
  <c r="L2730" i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L2722" i="1"/>
  <c r="J2721" i="1"/>
  <c r="I2721" i="1"/>
  <c r="K2721" i="1" s="1"/>
  <c r="L2721" i="1" s="1"/>
  <c r="L2720" i="1"/>
  <c r="J2719" i="1"/>
  <c r="I2719" i="1"/>
  <c r="K2719" i="1" s="1"/>
  <c r="L2719" i="1" s="1"/>
  <c r="J2718" i="1"/>
  <c r="I2718" i="1"/>
  <c r="K2718" i="1" s="1"/>
  <c r="L2718" i="1" s="1"/>
  <c r="L2717" i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L2711" i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L2705" i="1"/>
  <c r="L2704" i="1"/>
  <c r="L2703" i="1"/>
  <c r="J2702" i="1"/>
  <c r="I2702" i="1"/>
  <c r="K2702" i="1" s="1"/>
  <c r="L2702" i="1" s="1"/>
  <c r="L2701" i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L2694" i="1"/>
  <c r="J2693" i="1"/>
  <c r="I2693" i="1"/>
  <c r="K2693" i="1" s="1"/>
  <c r="L2693" i="1" s="1"/>
  <c r="L2692" i="1"/>
  <c r="L2691" i="1"/>
  <c r="L2690" i="1"/>
  <c r="J2689" i="1"/>
  <c r="I2689" i="1"/>
  <c r="K2689" i="1" s="1"/>
  <c r="L2689" i="1" s="1"/>
  <c r="L2688" i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L2678" i="1"/>
  <c r="J2677" i="1"/>
  <c r="I2677" i="1"/>
  <c r="K2677" i="1" s="1"/>
  <c r="L2677" i="1" s="1"/>
  <c r="L2676" i="1"/>
  <c r="J2675" i="1"/>
  <c r="I2675" i="1"/>
  <c r="K2675" i="1" s="1"/>
  <c r="L2675" i="1" s="1"/>
  <c r="J2674" i="1"/>
  <c r="I2674" i="1"/>
  <c r="K2674" i="1" s="1"/>
  <c r="L2674" i="1" s="1"/>
  <c r="L2673" i="1"/>
  <c r="L2672" i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L2667" i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L2661" i="1"/>
  <c r="L2660" i="1"/>
  <c r="L2659" i="1"/>
  <c r="J2658" i="1"/>
  <c r="I2658" i="1"/>
  <c r="K2658" i="1" s="1"/>
  <c r="L2658" i="1" s="1"/>
  <c r="L2657" i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L2650" i="1"/>
  <c r="J2649" i="1"/>
  <c r="I2649" i="1"/>
  <c r="K2649" i="1" s="1"/>
  <c r="L2649" i="1" s="1"/>
  <c r="J2648" i="1"/>
  <c r="I2648" i="1"/>
  <c r="K2648" i="1" s="1"/>
  <c r="L2648" i="1" s="1"/>
  <c r="L2647" i="1"/>
  <c r="J2646" i="1"/>
  <c r="I2646" i="1"/>
  <c r="K2646" i="1" s="1"/>
  <c r="L2646" i="1" s="1"/>
  <c r="J2645" i="1"/>
  <c r="I2645" i="1"/>
  <c r="K2645" i="1" s="1"/>
  <c r="L2645" i="1" s="1"/>
  <c r="L2644" i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L2634" i="1"/>
  <c r="J2633" i="1"/>
  <c r="I2633" i="1"/>
  <c r="K2633" i="1" s="1"/>
  <c r="L2633" i="1" s="1"/>
  <c r="L2632" i="1"/>
  <c r="J2631" i="1"/>
  <c r="I2631" i="1"/>
  <c r="K2631" i="1" s="1"/>
  <c r="L2631" i="1" s="1"/>
  <c r="J2630" i="1"/>
  <c r="I2630" i="1"/>
  <c r="K2630" i="1" s="1"/>
  <c r="L2630" i="1" s="1"/>
  <c r="L2629" i="1"/>
  <c r="L2628" i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L2623" i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L2617" i="1"/>
  <c r="L2616" i="1"/>
  <c r="L2615" i="1"/>
  <c r="J2614" i="1"/>
  <c r="I2614" i="1"/>
  <c r="K2614" i="1" s="1"/>
  <c r="L2614" i="1" s="1"/>
  <c r="L2613" i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L2606" i="1"/>
  <c r="J2605" i="1"/>
  <c r="I2605" i="1"/>
  <c r="K2605" i="1" s="1"/>
  <c r="L2605" i="1" s="1"/>
  <c r="J2604" i="1"/>
  <c r="I2604" i="1"/>
  <c r="K2604" i="1" s="1"/>
  <c r="L2604" i="1" s="1"/>
  <c r="L2603" i="1"/>
  <c r="J2602" i="1"/>
  <c r="I2602" i="1"/>
  <c r="K2602" i="1" s="1"/>
  <c r="L2602" i="1" s="1"/>
  <c r="J2601" i="1"/>
  <c r="I2601" i="1"/>
  <c r="K2601" i="1" s="1"/>
  <c r="L2601" i="1" s="1"/>
  <c r="L2600" i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6" i="1"/>
  <c r="I2596" i="1"/>
  <c r="K2596" i="1" s="1"/>
  <c r="L2596" i="1" s="1"/>
  <c r="L2595" i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L2590" i="1"/>
  <c r="J2589" i="1"/>
  <c r="I2589" i="1"/>
  <c r="K2589" i="1" s="1"/>
  <c r="L2589" i="1" s="1"/>
  <c r="L2588" i="1"/>
  <c r="J2587" i="1"/>
  <c r="I2587" i="1"/>
  <c r="K2587" i="1" s="1"/>
  <c r="L2587" i="1" s="1"/>
  <c r="J2586" i="1"/>
  <c r="I2586" i="1"/>
  <c r="K2586" i="1" s="1"/>
  <c r="L2586" i="1" s="1"/>
  <c r="L2585" i="1"/>
  <c r="J2584" i="1"/>
  <c r="I2584" i="1"/>
  <c r="K2584" i="1" s="1"/>
  <c r="L2584" i="1" s="1"/>
  <c r="J2583" i="1"/>
  <c r="I2583" i="1"/>
  <c r="K2583" i="1" s="1"/>
  <c r="L2583" i="1" s="1"/>
  <c r="L2582" i="1"/>
  <c r="J2581" i="1"/>
  <c r="I2581" i="1"/>
  <c r="K2581" i="1" s="1"/>
  <c r="L2581" i="1" s="1"/>
  <c r="J2580" i="1"/>
  <c r="I2580" i="1"/>
  <c r="K2580" i="1" s="1"/>
  <c r="L2580" i="1" s="1"/>
  <c r="L2579" i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L2573" i="1"/>
  <c r="L2572" i="1"/>
  <c r="L2571" i="1"/>
  <c r="L2570" i="1"/>
  <c r="L2569" i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L2562" i="1"/>
  <c r="J2561" i="1"/>
  <c r="I2561" i="1"/>
  <c r="K2561" i="1" s="1"/>
  <c r="L2561" i="1" s="1"/>
  <c r="J2560" i="1"/>
  <c r="I2560" i="1"/>
  <c r="K2560" i="1" s="1"/>
  <c r="L2560" i="1" s="1"/>
  <c r="L2559" i="1"/>
  <c r="L2558" i="1"/>
  <c r="J2557" i="1"/>
  <c r="I2557" i="1"/>
  <c r="K2557" i="1" s="1"/>
  <c r="L2557" i="1" s="1"/>
  <c r="L2556" i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J2547" i="1"/>
  <c r="I2547" i="1"/>
  <c r="K2547" i="1" s="1"/>
  <c r="L2547" i="1" s="1"/>
  <c r="L2546" i="1"/>
  <c r="J2545" i="1"/>
  <c r="I2545" i="1"/>
  <c r="K2545" i="1" s="1"/>
  <c r="L2545" i="1" s="1"/>
  <c r="L2544" i="1"/>
  <c r="J2543" i="1"/>
  <c r="I2543" i="1"/>
  <c r="K2543" i="1" s="1"/>
  <c r="L2543" i="1" s="1"/>
  <c r="J2542" i="1"/>
  <c r="I2542" i="1"/>
  <c r="K2542" i="1" s="1"/>
  <c r="L2542" i="1" s="1"/>
  <c r="L2541" i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J2536" i="1"/>
  <c r="I2536" i="1"/>
  <c r="K2536" i="1" s="1"/>
  <c r="L2536" i="1" s="1"/>
  <c r="L2535" i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J2530" i="1"/>
  <c r="I2530" i="1"/>
  <c r="K2530" i="1" s="1"/>
  <c r="L2530" i="1" s="1"/>
  <c r="L2529" i="1"/>
  <c r="L2528" i="1"/>
  <c r="L2527" i="1"/>
  <c r="L2526" i="1"/>
  <c r="L2525" i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J2519" i="1"/>
  <c r="I2519" i="1"/>
  <c r="K2519" i="1" s="1"/>
  <c r="L2519" i="1" s="1"/>
  <c r="L2518" i="1"/>
  <c r="J2517" i="1"/>
  <c r="I2517" i="1"/>
  <c r="K2517" i="1" s="1"/>
  <c r="L2517" i="1" s="1"/>
  <c r="J2516" i="1"/>
  <c r="I2516" i="1"/>
  <c r="K2516" i="1" s="1"/>
  <c r="L2516" i="1" s="1"/>
  <c r="L2515" i="1"/>
  <c r="L2514" i="1"/>
  <c r="J2513" i="1"/>
  <c r="I2513" i="1"/>
  <c r="K2513" i="1" s="1"/>
  <c r="L2513" i="1" s="1"/>
  <c r="L2512" i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8" i="1"/>
  <c r="I2508" i="1"/>
  <c r="K2508" i="1" s="1"/>
  <c r="L2508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J2503" i="1"/>
  <c r="I2503" i="1"/>
  <c r="K2503" i="1" s="1"/>
  <c r="L2503" i="1" s="1"/>
  <c r="L2502" i="1"/>
  <c r="J2501" i="1"/>
  <c r="I2501" i="1"/>
  <c r="K2501" i="1" s="1"/>
  <c r="L2501" i="1" s="1"/>
  <c r="L2500" i="1"/>
  <c r="J2499" i="1"/>
  <c r="I2499" i="1"/>
  <c r="K2499" i="1" s="1"/>
  <c r="L2499" i="1" s="1"/>
  <c r="J2498" i="1"/>
  <c r="I2498" i="1"/>
  <c r="K2498" i="1" s="1"/>
  <c r="L2498" i="1" s="1"/>
  <c r="L2497" i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J2492" i="1"/>
  <c r="I2492" i="1"/>
  <c r="K2492" i="1" s="1"/>
  <c r="L2492" i="1" s="1"/>
  <c r="L2491" i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J2486" i="1"/>
  <c r="I2486" i="1"/>
  <c r="K2486" i="1" s="1"/>
  <c r="L2486" i="1" s="1"/>
  <c r="L2485" i="1"/>
  <c r="L2484" i="1"/>
  <c r="L2483" i="1"/>
  <c r="L2482" i="1"/>
  <c r="L2481" i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J2475" i="1"/>
  <c r="I2475" i="1"/>
  <c r="K2475" i="1" s="1"/>
  <c r="L2475" i="1" s="1"/>
  <c r="L2474" i="1"/>
  <c r="J2473" i="1"/>
  <c r="I2473" i="1"/>
  <c r="K2473" i="1" s="1"/>
  <c r="L2473" i="1" s="1"/>
  <c r="J2472" i="1"/>
  <c r="I2472" i="1"/>
  <c r="K2472" i="1" s="1"/>
  <c r="L2472" i="1" s="1"/>
  <c r="L2471" i="1"/>
  <c r="L2470" i="1"/>
  <c r="J2469" i="1"/>
  <c r="I2469" i="1"/>
  <c r="K2469" i="1" s="1"/>
  <c r="L2469" i="1" s="1"/>
  <c r="L2468" i="1"/>
  <c r="L2467" i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J2459" i="1"/>
  <c r="I2459" i="1"/>
  <c r="K2459" i="1" s="1"/>
  <c r="L2459" i="1" s="1"/>
  <c r="L2458" i="1"/>
  <c r="J2457" i="1"/>
  <c r="I2457" i="1"/>
  <c r="K2457" i="1" s="1"/>
  <c r="L2457" i="1" s="1"/>
  <c r="L2456" i="1"/>
  <c r="J2455" i="1"/>
  <c r="I2455" i="1"/>
  <c r="K2455" i="1" s="1"/>
  <c r="L2455" i="1" s="1"/>
  <c r="J2454" i="1"/>
  <c r="I2454" i="1"/>
  <c r="K2454" i="1" s="1"/>
  <c r="L2454" i="1" s="1"/>
  <c r="L2453" i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J2448" i="1"/>
  <c r="I2448" i="1"/>
  <c r="K2448" i="1" s="1"/>
  <c r="L2448" i="1" s="1"/>
  <c r="L2447" i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J2443" i="1"/>
  <c r="I2443" i="1"/>
  <c r="K2443" i="1" s="1"/>
  <c r="L2443" i="1" s="1"/>
  <c r="L2442" i="1"/>
  <c r="L2441" i="1"/>
  <c r="L2440" i="1"/>
  <c r="L2439" i="1"/>
  <c r="L2438" i="1"/>
  <c r="L2437" i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J2431" i="1"/>
  <c r="I2431" i="1"/>
  <c r="K2431" i="1" s="1"/>
  <c r="L2431" i="1" s="1"/>
  <c r="L2430" i="1"/>
  <c r="J2429" i="1"/>
  <c r="I2429" i="1"/>
  <c r="K2429" i="1" s="1"/>
  <c r="L2429" i="1" s="1"/>
  <c r="J2428" i="1"/>
  <c r="I2428" i="1"/>
  <c r="K2428" i="1" s="1"/>
  <c r="L2428" i="1" s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J2371" i="1"/>
  <c r="I2371" i="1"/>
  <c r="K2371" i="1" s="1"/>
  <c r="L2371" i="1" s="1"/>
  <c r="L2370" i="1"/>
  <c r="J2369" i="1"/>
  <c r="I2369" i="1"/>
  <c r="K2369" i="1" s="1"/>
  <c r="L2369" i="1" s="1"/>
  <c r="L2368" i="1"/>
  <c r="L2367" i="1"/>
  <c r="L2366" i="1"/>
  <c r="L2365" i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L2359" i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L2353" i="1"/>
  <c r="L2352" i="1"/>
  <c r="L2351" i="1"/>
  <c r="L2350" i="1"/>
  <c r="L2349" i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L2343" i="1"/>
  <c r="L2342" i="1"/>
  <c r="J2341" i="1"/>
  <c r="I2341" i="1"/>
  <c r="K2341" i="1" s="1"/>
  <c r="L2341" i="1" s="1"/>
  <c r="J2340" i="1"/>
  <c r="I2340" i="1"/>
  <c r="K2340" i="1" s="1"/>
  <c r="L2340" i="1" s="1"/>
  <c r="L2339" i="1"/>
  <c r="J2338" i="1"/>
  <c r="I2338" i="1"/>
  <c r="K2338" i="1" s="1"/>
  <c r="L2338" i="1" s="1"/>
  <c r="J2337" i="1"/>
  <c r="I2337" i="1"/>
  <c r="K2337" i="1" s="1"/>
  <c r="L2337" i="1" s="1"/>
  <c r="L2336" i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L2326" i="1"/>
  <c r="J2325" i="1"/>
  <c r="I2325" i="1"/>
  <c r="K2325" i="1" s="1"/>
  <c r="L2325" i="1" s="1"/>
  <c r="L2324" i="1"/>
  <c r="J2323" i="1"/>
  <c r="I2323" i="1"/>
  <c r="K2323" i="1" s="1"/>
  <c r="L2323" i="1" s="1"/>
  <c r="J2322" i="1"/>
  <c r="I2322" i="1"/>
  <c r="K2322" i="1" s="1"/>
  <c r="L2322" i="1" s="1"/>
  <c r="L2321" i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J2316" i="1"/>
  <c r="I2316" i="1"/>
  <c r="K2316" i="1" s="1"/>
  <c r="L2316" i="1" s="1"/>
  <c r="L2315" i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J2310" i="1"/>
  <c r="I2310" i="1"/>
  <c r="K2310" i="1" s="1"/>
  <c r="L2310" i="1" s="1"/>
  <c r="L2309" i="1"/>
  <c r="L2308" i="1"/>
  <c r="L2307" i="1"/>
  <c r="L2306" i="1"/>
  <c r="L2305" i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J2300" i="1"/>
  <c r="I2300" i="1"/>
  <c r="K2300" i="1" s="1"/>
  <c r="L2300" i="1" s="1"/>
  <c r="L2299" i="1"/>
  <c r="L2298" i="1"/>
  <c r="J2297" i="1"/>
  <c r="I2297" i="1"/>
  <c r="K2297" i="1" s="1"/>
  <c r="L2297" i="1" s="1"/>
  <c r="J2296" i="1"/>
  <c r="I2296" i="1"/>
  <c r="K2296" i="1" s="1"/>
  <c r="L2296" i="1" s="1"/>
  <c r="L2295" i="1"/>
  <c r="J2294" i="1"/>
  <c r="I2294" i="1"/>
  <c r="K2294" i="1" s="1"/>
  <c r="L2294" i="1" s="1"/>
  <c r="J2293" i="1"/>
  <c r="I2293" i="1"/>
  <c r="K2293" i="1" s="1"/>
  <c r="L2293" i="1" s="1"/>
  <c r="L2292" i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J2283" i="1"/>
  <c r="I2283" i="1"/>
  <c r="K2283" i="1" s="1"/>
  <c r="L2283" i="1" s="1"/>
  <c r="L2282" i="1"/>
  <c r="J2281" i="1"/>
  <c r="I2281" i="1"/>
  <c r="K2281" i="1" s="1"/>
  <c r="L2281" i="1" s="1"/>
  <c r="L2280" i="1"/>
  <c r="J2279" i="1"/>
  <c r="I2279" i="1"/>
  <c r="K2279" i="1" s="1"/>
  <c r="L2279" i="1" s="1"/>
  <c r="J2278" i="1"/>
  <c r="I2278" i="1"/>
  <c r="K2278" i="1" s="1"/>
  <c r="L2278" i="1" s="1"/>
  <c r="L2277" i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J2272" i="1"/>
  <c r="I2272" i="1"/>
  <c r="K2272" i="1" s="1"/>
  <c r="L2272" i="1" s="1"/>
  <c r="L2271" i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J2266" i="1"/>
  <c r="I2266" i="1"/>
  <c r="K2266" i="1" s="1"/>
  <c r="L2266" i="1" s="1"/>
  <c r="L2265" i="1"/>
  <c r="L2264" i="1"/>
  <c r="L2263" i="1"/>
  <c r="L2262" i="1"/>
  <c r="L2261" i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J2256" i="1"/>
  <c r="I2256" i="1"/>
  <c r="K2256" i="1" s="1"/>
  <c r="L2256" i="1" s="1"/>
  <c r="L2255" i="1"/>
  <c r="L2254" i="1"/>
  <c r="J2253" i="1"/>
  <c r="I2253" i="1"/>
  <c r="K2253" i="1" s="1"/>
  <c r="L2253" i="1" s="1"/>
  <c r="J2252" i="1"/>
  <c r="I2252" i="1"/>
  <c r="K2252" i="1" s="1"/>
  <c r="L2252" i="1" s="1"/>
  <c r="L2251" i="1"/>
  <c r="J2250" i="1"/>
  <c r="I2250" i="1"/>
  <c r="K2250" i="1" s="1"/>
  <c r="L2250" i="1" s="1"/>
  <c r="J2249" i="1"/>
  <c r="I2249" i="1"/>
  <c r="K2249" i="1" s="1"/>
  <c r="L2249" i="1" s="1"/>
  <c r="L2248" i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J2239" i="1"/>
  <c r="I2239" i="1"/>
  <c r="K2239" i="1" s="1"/>
  <c r="L2239" i="1" s="1"/>
  <c r="L2238" i="1"/>
  <c r="J2237" i="1"/>
  <c r="I2237" i="1"/>
  <c r="K2237" i="1" s="1"/>
  <c r="L2237" i="1" s="1"/>
  <c r="L2236" i="1"/>
  <c r="J2235" i="1"/>
  <c r="I2235" i="1"/>
  <c r="K2235" i="1" s="1"/>
  <c r="L2235" i="1" s="1"/>
  <c r="J2234" i="1"/>
  <c r="I2234" i="1"/>
  <c r="K2234" i="1" s="1"/>
  <c r="L2234" i="1" s="1"/>
  <c r="L2233" i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J2228" i="1"/>
  <c r="I2228" i="1"/>
  <c r="K2228" i="1" s="1"/>
  <c r="L2228" i="1" s="1"/>
  <c r="L2227" i="1"/>
  <c r="J2226" i="1"/>
  <c r="I2226" i="1"/>
  <c r="K2226" i="1" s="1"/>
  <c r="L2226" i="1" s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K2199" i="1" s="1"/>
  <c r="L2199" i="1" s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J2178" i="1"/>
  <c r="I2178" i="1"/>
  <c r="K2178" i="1" s="1"/>
  <c r="L2178" i="1" s="1"/>
  <c r="L2177" i="1"/>
  <c r="L2176" i="1"/>
  <c r="L2175" i="1"/>
  <c r="L2174" i="1"/>
  <c r="L2173" i="1"/>
  <c r="L2172" i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J2168" i="1"/>
  <c r="I2168" i="1"/>
  <c r="K2168" i="1" s="1"/>
  <c r="L2168" i="1" s="1"/>
  <c r="L2167" i="1"/>
  <c r="L2166" i="1"/>
  <c r="J2165" i="1"/>
  <c r="I2165" i="1"/>
  <c r="K2165" i="1" s="1"/>
  <c r="L2165" i="1" s="1"/>
  <c r="J2164" i="1"/>
  <c r="I2164" i="1"/>
  <c r="K2164" i="1" s="1"/>
  <c r="L2164" i="1" s="1"/>
  <c r="L2163" i="1"/>
  <c r="J2162" i="1"/>
  <c r="I2162" i="1"/>
  <c r="K2162" i="1" s="1"/>
  <c r="L2162" i="1" s="1"/>
  <c r="L2161" i="1"/>
  <c r="L2160" i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J2151" i="1"/>
  <c r="I2151" i="1"/>
  <c r="K2151" i="1" s="1"/>
  <c r="L2151" i="1" s="1"/>
  <c r="L2150" i="1"/>
  <c r="J2149" i="1"/>
  <c r="I2149" i="1"/>
  <c r="K2149" i="1" s="1"/>
  <c r="L2149" i="1" s="1"/>
  <c r="L2148" i="1"/>
  <c r="J2147" i="1"/>
  <c r="I2147" i="1"/>
  <c r="K2147" i="1" s="1"/>
  <c r="L2147" i="1" s="1"/>
  <c r="J2146" i="1"/>
  <c r="I2146" i="1"/>
  <c r="K2146" i="1" s="1"/>
  <c r="L2146" i="1" s="1"/>
  <c r="L2145" i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J2140" i="1"/>
  <c r="I2140" i="1"/>
  <c r="K2140" i="1" s="1"/>
  <c r="L2140" i="1" s="1"/>
  <c r="L2139" i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J2134" i="1"/>
  <c r="I2134" i="1"/>
  <c r="K2134" i="1" s="1"/>
  <c r="L2134" i="1" s="1"/>
  <c r="L2133" i="1"/>
  <c r="L2132" i="1"/>
  <c r="L2131" i="1"/>
  <c r="L2130" i="1"/>
  <c r="L2129" i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J2124" i="1"/>
  <c r="I2124" i="1"/>
  <c r="K2124" i="1" s="1"/>
  <c r="L2124" i="1" s="1"/>
  <c r="L2123" i="1"/>
  <c r="L2122" i="1"/>
  <c r="J2121" i="1"/>
  <c r="I2121" i="1"/>
  <c r="K2121" i="1" s="1"/>
  <c r="L2121" i="1" s="1"/>
  <c r="J2120" i="1"/>
  <c r="I2120" i="1"/>
  <c r="K2120" i="1" s="1"/>
  <c r="L2120" i="1" s="1"/>
  <c r="L2119" i="1"/>
  <c r="J2118" i="1"/>
  <c r="I2118" i="1"/>
  <c r="K2118" i="1" s="1"/>
  <c r="L2118" i="1" s="1"/>
  <c r="J2117" i="1"/>
  <c r="I2117" i="1"/>
  <c r="K2117" i="1" s="1"/>
  <c r="L2117" i="1" s="1"/>
  <c r="L2116" i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J2107" i="1"/>
  <c r="I2107" i="1"/>
  <c r="K2107" i="1" s="1"/>
  <c r="L2107" i="1" s="1"/>
  <c r="L2106" i="1"/>
  <c r="J2105" i="1"/>
  <c r="I2105" i="1"/>
  <c r="K2105" i="1" s="1"/>
  <c r="L2105" i="1" s="1"/>
  <c r="L2104" i="1"/>
  <c r="J2103" i="1"/>
  <c r="I2103" i="1"/>
  <c r="K2103" i="1" s="1"/>
  <c r="L2103" i="1" s="1"/>
  <c r="J2102" i="1"/>
  <c r="I2102" i="1"/>
  <c r="K2102" i="1" s="1"/>
  <c r="L2102" i="1" s="1"/>
  <c r="L2101" i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J2096" i="1"/>
  <c r="I2096" i="1"/>
  <c r="K2096" i="1" s="1"/>
  <c r="L2096" i="1" s="1"/>
  <c r="L2095" i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J2090" i="1"/>
  <c r="I2090" i="1"/>
  <c r="K2090" i="1" s="1"/>
  <c r="L2090" i="1" s="1"/>
  <c r="L2089" i="1"/>
  <c r="L2088" i="1"/>
  <c r="L2087" i="1"/>
  <c r="L2086" i="1"/>
  <c r="L2085" i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J2080" i="1"/>
  <c r="I2080" i="1"/>
  <c r="K2080" i="1" s="1"/>
  <c r="L2080" i="1" s="1"/>
  <c r="L2079" i="1"/>
  <c r="L2078" i="1"/>
  <c r="J2077" i="1"/>
  <c r="I2077" i="1"/>
  <c r="K2077" i="1" s="1"/>
  <c r="L2077" i="1" s="1"/>
  <c r="J2076" i="1"/>
  <c r="I2076" i="1"/>
  <c r="K2076" i="1" s="1"/>
  <c r="L2076" i="1" s="1"/>
  <c r="L2075" i="1"/>
  <c r="J2074" i="1"/>
  <c r="I2074" i="1"/>
  <c r="K2074" i="1" s="1"/>
  <c r="L2074" i="1" s="1"/>
  <c r="J2073" i="1"/>
  <c r="I2073" i="1"/>
  <c r="K2073" i="1" s="1"/>
  <c r="L2073" i="1" s="1"/>
  <c r="L2072" i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J2063" i="1"/>
  <c r="I2063" i="1"/>
  <c r="K2063" i="1" s="1"/>
  <c r="L2063" i="1" s="1"/>
  <c r="L2062" i="1"/>
  <c r="J2061" i="1"/>
  <c r="I2061" i="1"/>
  <c r="K2061" i="1" s="1"/>
  <c r="L2061" i="1" s="1"/>
  <c r="L2060" i="1"/>
  <c r="J2059" i="1"/>
  <c r="I2059" i="1"/>
  <c r="K2059" i="1" s="1"/>
  <c r="L2059" i="1" s="1"/>
  <c r="J2058" i="1"/>
  <c r="I2058" i="1"/>
  <c r="K2058" i="1" s="1"/>
  <c r="L2058" i="1" s="1"/>
  <c r="L2057" i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J2052" i="1"/>
  <c r="I2052" i="1"/>
  <c r="K2052" i="1" s="1"/>
  <c r="L2052" i="1" s="1"/>
  <c r="L2051" i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J2046" i="1"/>
  <c r="I2046" i="1"/>
  <c r="K2046" i="1" s="1"/>
  <c r="L2046" i="1" s="1"/>
  <c r="L2045" i="1"/>
  <c r="L2044" i="1"/>
  <c r="L2043" i="1"/>
  <c r="L2042" i="1"/>
  <c r="L2041" i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J2036" i="1"/>
  <c r="I2036" i="1"/>
  <c r="K2036" i="1" s="1"/>
  <c r="L2036" i="1" s="1"/>
  <c r="L2035" i="1"/>
  <c r="L2034" i="1"/>
  <c r="J2033" i="1"/>
  <c r="I2033" i="1"/>
  <c r="K2033" i="1" s="1"/>
  <c r="L2033" i="1" s="1"/>
  <c r="J2032" i="1"/>
  <c r="I2032" i="1"/>
  <c r="K2032" i="1" s="1"/>
  <c r="L2032" i="1" s="1"/>
  <c r="L2031" i="1"/>
  <c r="J2030" i="1"/>
  <c r="I2030" i="1"/>
  <c r="K2030" i="1" s="1"/>
  <c r="L2030" i="1" s="1"/>
  <c r="J2029" i="1"/>
  <c r="I2029" i="1"/>
  <c r="K2029" i="1" s="1"/>
  <c r="L2029" i="1" s="1"/>
  <c r="L2028" i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J2019" i="1"/>
  <c r="I2019" i="1"/>
  <c r="K2019" i="1" s="1"/>
  <c r="L2019" i="1" s="1"/>
  <c r="L2018" i="1"/>
  <c r="J2017" i="1"/>
  <c r="I2017" i="1"/>
  <c r="K2017" i="1" s="1"/>
  <c r="L2017" i="1" s="1"/>
  <c r="L2016" i="1"/>
  <c r="J2015" i="1"/>
  <c r="I2015" i="1"/>
  <c r="K2015" i="1" s="1"/>
  <c r="L2015" i="1" s="1"/>
  <c r="J2014" i="1"/>
  <c r="I2014" i="1"/>
  <c r="K2014" i="1" s="1"/>
  <c r="L2014" i="1" s="1"/>
  <c r="L2013" i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J2008" i="1"/>
  <c r="I2008" i="1"/>
  <c r="K2008" i="1" s="1"/>
  <c r="L2008" i="1" s="1"/>
  <c r="L2007" i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J2002" i="1"/>
  <c r="I2002" i="1"/>
  <c r="K2002" i="1" s="1"/>
  <c r="L2002" i="1" s="1"/>
  <c r="L2001" i="1"/>
  <c r="L2000" i="1"/>
  <c r="L1999" i="1"/>
  <c r="L1998" i="1"/>
  <c r="L1997" i="1"/>
  <c r="J1996" i="1"/>
  <c r="I1996" i="1"/>
  <c r="K1996" i="1" s="1"/>
  <c r="L1996" i="1" s="1"/>
  <c r="J1995" i="1"/>
  <c r="I1995" i="1"/>
  <c r="K1995" i="1" s="1"/>
  <c r="L1995" i="1" s="1"/>
  <c r="J1994" i="1"/>
  <c r="I1994" i="1"/>
  <c r="K1994" i="1" s="1"/>
  <c r="L1994" i="1" s="1"/>
  <c r="L1993" i="1"/>
  <c r="J1992" i="1"/>
  <c r="I1992" i="1"/>
  <c r="K1992" i="1" s="1"/>
  <c r="L1992" i="1" s="1"/>
  <c r="L1991" i="1"/>
  <c r="L1990" i="1"/>
  <c r="J1989" i="1"/>
  <c r="I1989" i="1"/>
  <c r="K1989" i="1" s="1"/>
  <c r="L1989" i="1" s="1"/>
  <c r="J1988" i="1"/>
  <c r="I1988" i="1"/>
  <c r="K1988" i="1" s="1"/>
  <c r="L1988" i="1" s="1"/>
  <c r="L1987" i="1"/>
  <c r="J1986" i="1"/>
  <c r="I1986" i="1"/>
  <c r="K1986" i="1" s="1"/>
  <c r="L1986" i="1" s="1"/>
  <c r="J1985" i="1"/>
  <c r="I1985" i="1"/>
  <c r="K1985" i="1" s="1"/>
  <c r="L1985" i="1" s="1"/>
  <c r="L1984" i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J1975" i="1"/>
  <c r="I1975" i="1"/>
  <c r="K1975" i="1" s="1"/>
  <c r="L1975" i="1" s="1"/>
  <c r="L1974" i="1"/>
  <c r="J1973" i="1"/>
  <c r="I1973" i="1"/>
  <c r="K1973" i="1" s="1"/>
  <c r="L1973" i="1" s="1"/>
  <c r="L1972" i="1"/>
  <c r="J1971" i="1"/>
  <c r="I1971" i="1"/>
  <c r="K1971" i="1" s="1"/>
  <c r="L1971" i="1" s="1"/>
  <c r="J1970" i="1"/>
  <c r="I1970" i="1"/>
  <c r="K1970" i="1" s="1"/>
  <c r="L1970" i="1" s="1"/>
  <c r="L1969" i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J1964" i="1"/>
  <c r="I1964" i="1"/>
  <c r="K1964" i="1" s="1"/>
  <c r="L1964" i="1" s="1"/>
  <c r="L1963" i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J1958" i="1"/>
  <c r="I1958" i="1"/>
  <c r="K1958" i="1" s="1"/>
  <c r="L1958" i="1" s="1"/>
  <c r="L1957" i="1"/>
  <c r="L1956" i="1"/>
  <c r="L1955" i="1"/>
  <c r="L1954" i="1"/>
  <c r="L1953" i="1"/>
  <c r="J1952" i="1"/>
  <c r="I1952" i="1"/>
  <c r="K1952" i="1" s="1"/>
  <c r="L1952" i="1" s="1"/>
  <c r="J1951" i="1"/>
  <c r="I1951" i="1"/>
  <c r="K1951" i="1" s="1"/>
  <c r="L1951" i="1" s="1"/>
  <c r="J1950" i="1"/>
  <c r="I1950" i="1"/>
  <c r="K1950" i="1" s="1"/>
  <c r="L1950" i="1" s="1"/>
  <c r="L1949" i="1"/>
  <c r="J1948" i="1"/>
  <c r="I1948" i="1"/>
  <c r="K1948" i="1" s="1"/>
  <c r="L1948" i="1" s="1"/>
  <c r="J1947" i="1"/>
  <c r="I1947" i="1"/>
  <c r="K1947" i="1" s="1"/>
  <c r="L1947" i="1" s="1"/>
  <c r="L1946" i="1"/>
  <c r="J1945" i="1"/>
  <c r="I1945" i="1"/>
  <c r="K1945" i="1" s="1"/>
  <c r="L1945" i="1" s="1"/>
  <c r="J1944" i="1"/>
  <c r="I1944" i="1"/>
  <c r="K1944" i="1" s="1"/>
  <c r="L1944" i="1" s="1"/>
  <c r="L1943" i="1"/>
  <c r="J1942" i="1"/>
  <c r="I1942" i="1"/>
  <c r="K1942" i="1" s="1"/>
  <c r="L1942" i="1" s="1"/>
  <c r="J1941" i="1"/>
  <c r="I1941" i="1"/>
  <c r="K1941" i="1" s="1"/>
  <c r="L1941" i="1" s="1"/>
  <c r="L1940" i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J1931" i="1"/>
  <c r="I1931" i="1"/>
  <c r="K1931" i="1" s="1"/>
  <c r="L1931" i="1" s="1"/>
  <c r="L1930" i="1"/>
  <c r="J1929" i="1"/>
  <c r="I1929" i="1"/>
  <c r="K1929" i="1" s="1"/>
  <c r="L1929" i="1" s="1"/>
  <c r="L1928" i="1"/>
  <c r="J1927" i="1"/>
  <c r="I1927" i="1"/>
  <c r="K1927" i="1" s="1"/>
  <c r="L1927" i="1" s="1"/>
  <c r="J1926" i="1"/>
  <c r="I1926" i="1"/>
  <c r="K1926" i="1" s="1"/>
  <c r="L1926" i="1" s="1"/>
  <c r="L1925" i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J1920" i="1"/>
  <c r="I1920" i="1"/>
  <c r="K1920" i="1" s="1"/>
  <c r="L1920" i="1" s="1"/>
  <c r="L1919" i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J1914" i="1"/>
  <c r="I1914" i="1"/>
  <c r="K1914" i="1" s="1"/>
  <c r="L1914" i="1" s="1"/>
  <c r="L1913" i="1"/>
  <c r="L1912" i="1"/>
  <c r="L1911" i="1"/>
  <c r="L1910" i="1"/>
  <c r="L1909" i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J1903" i="1"/>
  <c r="I1903" i="1"/>
  <c r="K1903" i="1" s="1"/>
  <c r="L1903" i="1" s="1"/>
  <c r="L1902" i="1"/>
  <c r="J1901" i="1"/>
  <c r="I1901" i="1"/>
  <c r="K1901" i="1" s="1"/>
  <c r="L1901" i="1" s="1"/>
  <c r="J1900" i="1"/>
  <c r="I1900" i="1"/>
  <c r="K1900" i="1" s="1"/>
  <c r="L1900" i="1" s="1"/>
  <c r="L1899" i="1"/>
  <c r="J1898" i="1"/>
  <c r="I1898" i="1"/>
  <c r="K1898" i="1" s="1"/>
  <c r="L1898" i="1" s="1"/>
  <c r="J1897" i="1"/>
  <c r="I1897" i="1"/>
  <c r="K1897" i="1" s="1"/>
  <c r="L1897" i="1" s="1"/>
  <c r="L1896" i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J1892" i="1"/>
  <c r="I1892" i="1"/>
  <c r="K1892" i="1" s="1"/>
  <c r="L1892" i="1" s="1"/>
  <c r="L1891" i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J1887" i="1"/>
  <c r="I1887" i="1"/>
  <c r="K1887" i="1" s="1"/>
  <c r="L1887" i="1" s="1"/>
  <c r="L1886" i="1"/>
  <c r="J1885" i="1"/>
  <c r="I1885" i="1"/>
  <c r="K1885" i="1" s="1"/>
  <c r="L1885" i="1" s="1"/>
  <c r="L1884" i="1"/>
  <c r="J1883" i="1"/>
  <c r="I1883" i="1"/>
  <c r="K1883" i="1" s="1"/>
  <c r="L1883" i="1" s="1"/>
  <c r="J1882" i="1"/>
  <c r="I1882" i="1"/>
  <c r="K1882" i="1" s="1"/>
  <c r="L1882" i="1" s="1"/>
  <c r="L1881" i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J1876" i="1"/>
  <c r="I1876" i="1"/>
  <c r="K1876" i="1" s="1"/>
  <c r="L1876" i="1" s="1"/>
  <c r="L1875" i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J1870" i="1"/>
  <c r="I1870" i="1"/>
  <c r="K1870" i="1" s="1"/>
  <c r="L1870" i="1" s="1"/>
  <c r="L1869" i="1"/>
  <c r="L1868" i="1"/>
  <c r="L1867" i="1"/>
  <c r="J1866" i="1"/>
  <c r="I1866" i="1"/>
  <c r="K1866" i="1" s="1"/>
  <c r="L1866" i="1" s="1"/>
  <c r="L1865" i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J1859" i="1"/>
  <c r="I1859" i="1"/>
  <c r="K1859" i="1" s="1"/>
  <c r="L1859" i="1" s="1"/>
  <c r="L1858" i="1"/>
  <c r="J1857" i="1"/>
  <c r="I1857" i="1"/>
  <c r="K1857" i="1" s="1"/>
  <c r="L1857" i="1" s="1"/>
  <c r="J1856" i="1"/>
  <c r="I1856" i="1"/>
  <c r="K1856" i="1" s="1"/>
  <c r="L1856" i="1" s="1"/>
  <c r="L1855" i="1"/>
  <c r="J1854" i="1"/>
  <c r="I1854" i="1"/>
  <c r="K1854" i="1" s="1"/>
  <c r="L1854" i="1" s="1"/>
  <c r="J1853" i="1"/>
  <c r="I1853" i="1"/>
  <c r="K1853" i="1" s="1"/>
  <c r="L1853" i="1" s="1"/>
  <c r="L1852" i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J1843" i="1"/>
  <c r="I1843" i="1"/>
  <c r="K1843" i="1" s="1"/>
  <c r="L1843" i="1" s="1"/>
  <c r="L1842" i="1"/>
  <c r="J1841" i="1"/>
  <c r="I1841" i="1"/>
  <c r="K1841" i="1" s="1"/>
  <c r="L1841" i="1" s="1"/>
  <c r="L1840" i="1"/>
  <c r="J1839" i="1"/>
  <c r="I1839" i="1"/>
  <c r="K1839" i="1" s="1"/>
  <c r="L1839" i="1" s="1"/>
  <c r="J1838" i="1"/>
  <c r="I1838" i="1"/>
  <c r="K1838" i="1" s="1"/>
  <c r="L1838" i="1" s="1"/>
  <c r="L1837" i="1"/>
  <c r="J1836" i="1"/>
  <c r="I1836" i="1"/>
  <c r="K1836" i="1" s="1"/>
  <c r="L1836" i="1" s="1"/>
  <c r="J1835" i="1"/>
  <c r="I1835" i="1"/>
  <c r="K1835" i="1" s="1"/>
  <c r="L1835" i="1" s="1"/>
  <c r="L1834" i="1"/>
  <c r="J1833" i="1"/>
  <c r="I1833" i="1"/>
  <c r="K1833" i="1" s="1"/>
  <c r="L1833" i="1" s="1"/>
  <c r="J1832" i="1"/>
  <c r="I1832" i="1"/>
  <c r="K1832" i="1" s="1"/>
  <c r="L1832" i="1" s="1"/>
  <c r="L1831" i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J1826" i="1"/>
  <c r="I1826" i="1"/>
  <c r="K1826" i="1" s="1"/>
  <c r="L1826" i="1" s="1"/>
  <c r="L1825" i="1"/>
  <c r="L1824" i="1"/>
  <c r="L1823" i="1"/>
  <c r="L1822" i="1"/>
  <c r="L1821" i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J1815" i="1"/>
  <c r="I1815" i="1"/>
  <c r="K1815" i="1" s="1"/>
  <c r="L1815" i="1" s="1"/>
  <c r="L1814" i="1"/>
  <c r="J1813" i="1"/>
  <c r="I1813" i="1"/>
  <c r="K1813" i="1" s="1"/>
  <c r="L1813" i="1" s="1"/>
  <c r="J1812" i="1"/>
  <c r="I1812" i="1"/>
  <c r="K1812" i="1" s="1"/>
  <c r="L1812" i="1" s="1"/>
  <c r="L1811" i="1"/>
  <c r="J1810" i="1"/>
  <c r="I1810" i="1"/>
  <c r="K1810" i="1" s="1"/>
  <c r="L1810" i="1" s="1"/>
  <c r="J1809" i="1"/>
  <c r="I1809" i="1"/>
  <c r="K1809" i="1" s="1"/>
  <c r="L1809" i="1" s="1"/>
  <c r="L1808" i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J1799" i="1"/>
  <c r="I1799" i="1"/>
  <c r="K1799" i="1" s="1"/>
  <c r="L1799" i="1" s="1"/>
  <c r="L1798" i="1"/>
  <c r="J1797" i="1"/>
  <c r="I1797" i="1"/>
  <c r="K1797" i="1" s="1"/>
  <c r="L1797" i="1" s="1"/>
  <c r="L1796" i="1"/>
  <c r="J1795" i="1"/>
  <c r="I1795" i="1"/>
  <c r="K1795" i="1" s="1"/>
  <c r="L1795" i="1" s="1"/>
  <c r="J1794" i="1"/>
  <c r="I1794" i="1"/>
  <c r="K1794" i="1" s="1"/>
  <c r="L1794" i="1" s="1"/>
  <c r="L1793" i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J1788" i="1"/>
  <c r="I1788" i="1"/>
  <c r="K1788" i="1" s="1"/>
  <c r="L1788" i="1" s="1"/>
  <c r="L1787" i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J1782" i="1"/>
  <c r="I1782" i="1"/>
  <c r="K1782" i="1" s="1"/>
  <c r="L1782" i="1" s="1"/>
  <c r="L1781" i="1"/>
  <c r="L1780" i="1"/>
  <c r="L1779" i="1"/>
  <c r="J1778" i="1"/>
  <c r="I1778" i="1"/>
  <c r="K1778" i="1" s="1"/>
  <c r="L1778" i="1" s="1"/>
  <c r="L1777" i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J1771" i="1"/>
  <c r="I1771" i="1"/>
  <c r="K1771" i="1" s="1"/>
  <c r="L1771" i="1" s="1"/>
  <c r="L1770" i="1"/>
  <c r="J1769" i="1"/>
  <c r="I1769" i="1"/>
  <c r="K1769" i="1" s="1"/>
  <c r="L1769" i="1" s="1"/>
  <c r="J1768" i="1"/>
  <c r="I1768" i="1"/>
  <c r="K1768" i="1" s="1"/>
  <c r="L1768" i="1" s="1"/>
  <c r="L1767" i="1"/>
  <c r="J1766" i="1"/>
  <c r="I1766" i="1"/>
  <c r="K1766" i="1" s="1"/>
  <c r="L1766" i="1" s="1"/>
  <c r="J1765" i="1"/>
  <c r="I1765" i="1"/>
  <c r="K1765" i="1" s="1"/>
  <c r="L1765" i="1" s="1"/>
  <c r="L1764" i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J1755" i="1"/>
  <c r="I1755" i="1"/>
  <c r="K1755" i="1" s="1"/>
  <c r="L1755" i="1" s="1"/>
  <c r="L1754" i="1"/>
  <c r="J1753" i="1"/>
  <c r="I1753" i="1"/>
  <c r="K1753" i="1" s="1"/>
  <c r="L1753" i="1" s="1"/>
  <c r="L1752" i="1"/>
  <c r="J1751" i="1"/>
  <c r="I1751" i="1"/>
  <c r="K1751" i="1" s="1"/>
  <c r="L1751" i="1" s="1"/>
  <c r="J1750" i="1"/>
  <c r="I1750" i="1"/>
  <c r="K1750" i="1" s="1"/>
  <c r="L1750" i="1" s="1"/>
  <c r="L1749" i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J1744" i="1"/>
  <c r="I1744" i="1"/>
  <c r="K1744" i="1" s="1"/>
  <c r="L1744" i="1" s="1"/>
  <c r="L1743" i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J1738" i="1"/>
  <c r="I1738" i="1"/>
  <c r="K1738" i="1" s="1"/>
  <c r="L1738" i="1" s="1"/>
  <c r="L1737" i="1"/>
  <c r="L1736" i="1"/>
  <c r="L1735" i="1"/>
  <c r="J1734" i="1"/>
  <c r="I1734" i="1"/>
  <c r="K1734" i="1" s="1"/>
  <c r="L1734" i="1" s="1"/>
  <c r="L1733" i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J1728" i="1"/>
  <c r="I1728" i="1"/>
  <c r="K1728" i="1" s="1"/>
  <c r="L1728" i="1" s="1"/>
  <c r="L1727" i="1"/>
  <c r="L1726" i="1"/>
  <c r="J1725" i="1"/>
  <c r="I1725" i="1"/>
  <c r="K1725" i="1" s="1"/>
  <c r="L1725" i="1" s="1"/>
  <c r="J1724" i="1"/>
  <c r="I1724" i="1"/>
  <c r="K1724" i="1" s="1"/>
  <c r="L1724" i="1" s="1"/>
  <c r="L1723" i="1"/>
  <c r="J1722" i="1"/>
  <c r="I1722" i="1"/>
  <c r="K1722" i="1" s="1"/>
  <c r="L1722" i="1" s="1"/>
  <c r="J1721" i="1"/>
  <c r="I1721" i="1"/>
  <c r="K1721" i="1" s="1"/>
  <c r="L1721" i="1" s="1"/>
  <c r="L1720" i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J1716" i="1"/>
  <c r="I1716" i="1"/>
  <c r="K1716" i="1" s="1"/>
  <c r="L1716" i="1" s="1"/>
  <c r="L1715" i="1"/>
  <c r="J1714" i="1"/>
  <c r="I1714" i="1"/>
  <c r="K1714" i="1" s="1"/>
  <c r="L1714" i="1" s="1"/>
  <c r="J1713" i="1"/>
  <c r="I1713" i="1"/>
  <c r="K1713" i="1" s="1"/>
  <c r="L1713" i="1" s="1"/>
  <c r="J1712" i="1"/>
  <c r="I1712" i="1"/>
  <c r="K1712" i="1" s="1"/>
  <c r="L1712" i="1" s="1"/>
  <c r="L1711" i="1"/>
  <c r="L1710" i="1"/>
  <c r="J1709" i="1"/>
  <c r="I1709" i="1"/>
  <c r="K1709" i="1" s="1"/>
  <c r="L1709" i="1" s="1"/>
  <c r="L1708" i="1"/>
  <c r="J1707" i="1"/>
  <c r="I1707" i="1"/>
  <c r="K1707" i="1" s="1"/>
  <c r="L1707" i="1" s="1"/>
  <c r="J1706" i="1"/>
  <c r="I1706" i="1"/>
  <c r="K1706" i="1" s="1"/>
  <c r="L1706" i="1" s="1"/>
  <c r="L1705" i="1"/>
  <c r="J1704" i="1"/>
  <c r="I1704" i="1"/>
  <c r="K1704" i="1" s="1"/>
  <c r="L1704" i="1" s="1"/>
  <c r="J1703" i="1"/>
  <c r="I1703" i="1"/>
  <c r="K1703" i="1" s="1"/>
  <c r="L1703" i="1" s="1"/>
  <c r="L1702" i="1"/>
  <c r="J1701" i="1"/>
  <c r="I1701" i="1"/>
  <c r="K1701" i="1" s="1"/>
  <c r="L1701" i="1" s="1"/>
  <c r="J1700" i="1"/>
  <c r="I1700" i="1"/>
  <c r="K1700" i="1" s="1"/>
  <c r="L1700" i="1" s="1"/>
  <c r="L1699" i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J1694" i="1"/>
  <c r="I1694" i="1"/>
  <c r="K1694" i="1" s="1"/>
  <c r="L1694" i="1" s="1"/>
  <c r="L1693" i="1"/>
  <c r="L1692" i="1"/>
  <c r="L1691" i="1"/>
  <c r="J1690" i="1"/>
  <c r="I1690" i="1"/>
  <c r="K1690" i="1" s="1"/>
  <c r="L1690" i="1" s="1"/>
  <c r="L1689" i="1"/>
  <c r="J1688" i="1"/>
  <c r="I1688" i="1"/>
  <c r="K1688" i="1" s="1"/>
  <c r="L1688" i="1" s="1"/>
  <c r="J1687" i="1"/>
  <c r="I1687" i="1"/>
  <c r="K1687" i="1" s="1"/>
  <c r="L1687" i="1" s="1"/>
  <c r="L1686" i="1"/>
  <c r="J1685" i="1"/>
  <c r="I1685" i="1"/>
  <c r="K1685" i="1" s="1"/>
  <c r="L1685" i="1" s="1"/>
  <c r="J1684" i="1"/>
  <c r="I1684" i="1"/>
  <c r="K1684" i="1" s="1"/>
  <c r="L1684" i="1" s="1"/>
  <c r="J1683" i="1"/>
  <c r="I1683" i="1"/>
  <c r="K1683" i="1" s="1"/>
  <c r="L1683" i="1" s="1"/>
  <c r="L1682" i="1"/>
  <c r="J1681" i="1"/>
  <c r="I1681" i="1"/>
  <c r="K1681" i="1" s="1"/>
  <c r="L1681" i="1" s="1"/>
  <c r="J1680" i="1"/>
  <c r="I1680" i="1"/>
  <c r="K1680" i="1" s="1"/>
  <c r="L1680" i="1" s="1"/>
  <c r="L1679" i="1"/>
  <c r="J1678" i="1"/>
  <c r="I1678" i="1"/>
  <c r="K1678" i="1" s="1"/>
  <c r="L1678" i="1" s="1"/>
  <c r="J1677" i="1"/>
  <c r="I1677" i="1"/>
  <c r="K1677" i="1" s="1"/>
  <c r="L1677" i="1" s="1"/>
  <c r="L1676" i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J1667" i="1"/>
  <c r="I1667" i="1"/>
  <c r="K1667" i="1" s="1"/>
  <c r="L1667" i="1" s="1"/>
  <c r="L1666" i="1"/>
  <c r="J1665" i="1"/>
  <c r="I1665" i="1"/>
  <c r="K1665" i="1" s="1"/>
  <c r="L1665" i="1" s="1"/>
  <c r="L1664" i="1"/>
  <c r="J1663" i="1"/>
  <c r="I1663" i="1"/>
  <c r="K1663" i="1" s="1"/>
  <c r="L1663" i="1" s="1"/>
  <c r="J1662" i="1"/>
  <c r="I1662" i="1"/>
  <c r="K1662" i="1" s="1"/>
  <c r="L1662" i="1" s="1"/>
  <c r="L1661" i="1"/>
  <c r="J1660" i="1"/>
  <c r="I1660" i="1"/>
  <c r="K1660" i="1" s="1"/>
  <c r="L1660" i="1" s="1"/>
  <c r="J1659" i="1"/>
  <c r="I1659" i="1"/>
  <c r="K1659" i="1" s="1"/>
  <c r="L1659" i="1" s="1"/>
  <c r="L1658" i="1"/>
  <c r="J1657" i="1"/>
  <c r="I1657" i="1"/>
  <c r="K1657" i="1" s="1"/>
  <c r="L1657" i="1" s="1"/>
  <c r="J1656" i="1"/>
  <c r="I1656" i="1"/>
  <c r="K1656" i="1" s="1"/>
  <c r="L1656" i="1" s="1"/>
  <c r="L1655" i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J1650" i="1"/>
  <c r="I1650" i="1"/>
  <c r="K1650" i="1" s="1"/>
  <c r="L1650" i="1" s="1"/>
  <c r="L1649" i="1"/>
  <c r="L1648" i="1"/>
  <c r="L1647" i="1"/>
  <c r="J1646" i="1"/>
  <c r="I1646" i="1"/>
  <c r="K1646" i="1" s="1"/>
  <c r="L1646" i="1" s="1"/>
  <c r="L1645" i="1"/>
  <c r="J1644" i="1"/>
  <c r="I1644" i="1"/>
  <c r="K1644" i="1" s="1"/>
  <c r="L1644" i="1" s="1"/>
  <c r="J1643" i="1"/>
  <c r="I1643" i="1"/>
  <c r="K1643" i="1" s="1"/>
  <c r="L1643" i="1" s="1"/>
  <c r="L1642" i="1"/>
  <c r="J1641" i="1"/>
  <c r="I1641" i="1"/>
  <c r="K1641" i="1" s="1"/>
  <c r="L1641" i="1" s="1"/>
  <c r="J1640" i="1"/>
  <c r="I1640" i="1"/>
  <c r="K1640" i="1" s="1"/>
  <c r="L1640" i="1" s="1"/>
  <c r="J1639" i="1"/>
  <c r="I1639" i="1"/>
  <c r="K1639" i="1" s="1"/>
  <c r="L1639" i="1" s="1"/>
  <c r="L1638" i="1"/>
  <c r="J1637" i="1"/>
  <c r="I1637" i="1"/>
  <c r="K1637" i="1" s="1"/>
  <c r="L1637" i="1" s="1"/>
  <c r="J1636" i="1"/>
  <c r="I1636" i="1"/>
  <c r="K1636" i="1" s="1"/>
  <c r="L1636" i="1" s="1"/>
  <c r="L1635" i="1"/>
  <c r="J1634" i="1"/>
  <c r="I1634" i="1"/>
  <c r="K1634" i="1" s="1"/>
  <c r="L1634" i="1" s="1"/>
  <c r="J1633" i="1"/>
  <c r="I1633" i="1"/>
  <c r="K1633" i="1" s="1"/>
  <c r="L1633" i="1" s="1"/>
  <c r="L1632" i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J1623" i="1"/>
  <c r="I1623" i="1"/>
  <c r="K1623" i="1" s="1"/>
  <c r="L1623" i="1" s="1"/>
  <c r="L1622" i="1"/>
  <c r="J1621" i="1"/>
  <c r="I1621" i="1"/>
  <c r="K1621" i="1" s="1"/>
  <c r="L1621" i="1" s="1"/>
  <c r="L1620" i="1"/>
  <c r="J1619" i="1"/>
  <c r="I1619" i="1"/>
  <c r="K1619" i="1" s="1"/>
  <c r="L1619" i="1" s="1"/>
  <c r="J1618" i="1"/>
  <c r="I1618" i="1"/>
  <c r="K1618" i="1" s="1"/>
  <c r="L1618" i="1" s="1"/>
  <c r="L1617" i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J1612" i="1"/>
  <c r="I1612" i="1"/>
  <c r="K1612" i="1" s="1"/>
  <c r="L1612" i="1" s="1"/>
  <c r="L1611" i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J1606" i="1"/>
  <c r="I1606" i="1"/>
  <c r="K1606" i="1" s="1"/>
  <c r="L1606" i="1" s="1"/>
  <c r="L1605" i="1"/>
  <c r="L1604" i="1"/>
  <c r="L1603" i="1"/>
  <c r="J1602" i="1"/>
  <c r="I1602" i="1"/>
  <c r="K1602" i="1" s="1"/>
  <c r="L1602" i="1" s="1"/>
  <c r="L1601" i="1"/>
  <c r="J1600" i="1"/>
  <c r="I1600" i="1"/>
  <c r="K1600" i="1" s="1"/>
  <c r="L1600" i="1" s="1"/>
  <c r="J1599" i="1"/>
  <c r="I1599" i="1"/>
  <c r="K1599" i="1" s="1"/>
  <c r="L1599" i="1" s="1"/>
  <c r="L1598" i="1"/>
  <c r="L1597" i="1"/>
  <c r="J1596" i="1"/>
  <c r="I1596" i="1"/>
  <c r="K1596" i="1" s="1"/>
  <c r="L1596" i="1" s="1"/>
  <c r="J1595" i="1"/>
  <c r="I1595" i="1"/>
  <c r="K1595" i="1" s="1"/>
  <c r="L1595" i="1" s="1"/>
  <c r="L1594" i="1"/>
  <c r="J1593" i="1"/>
  <c r="I1593" i="1"/>
  <c r="K1593" i="1" s="1"/>
  <c r="L1593" i="1" s="1"/>
  <c r="J1592" i="1"/>
  <c r="I1592" i="1"/>
  <c r="K1592" i="1" s="1"/>
  <c r="L1592" i="1" s="1"/>
  <c r="L1591" i="1"/>
  <c r="J1590" i="1"/>
  <c r="I1590" i="1"/>
  <c r="K1590" i="1" s="1"/>
  <c r="L1590" i="1" s="1"/>
  <c r="J1589" i="1"/>
  <c r="I1589" i="1"/>
  <c r="K1589" i="1" s="1"/>
  <c r="L1589" i="1" s="1"/>
  <c r="L1588" i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J1579" i="1"/>
  <c r="I1579" i="1"/>
  <c r="K1579" i="1" s="1"/>
  <c r="L1579" i="1" s="1"/>
  <c r="L1578" i="1"/>
  <c r="J1577" i="1"/>
  <c r="I1577" i="1"/>
  <c r="K1577" i="1" s="1"/>
  <c r="L1577" i="1" s="1"/>
  <c r="L1576" i="1"/>
  <c r="J1575" i="1"/>
  <c r="I1575" i="1"/>
  <c r="K1575" i="1" s="1"/>
  <c r="L1575" i="1" s="1"/>
  <c r="J1574" i="1"/>
  <c r="I1574" i="1"/>
  <c r="K1574" i="1" s="1"/>
  <c r="L1574" i="1" s="1"/>
  <c r="L1573" i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J1568" i="1"/>
  <c r="I1568" i="1"/>
  <c r="K1568" i="1" s="1"/>
  <c r="L1568" i="1" s="1"/>
  <c r="L1567" i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J1563" i="1"/>
  <c r="I1563" i="1"/>
  <c r="K1563" i="1" s="1"/>
  <c r="L1563" i="1" s="1"/>
  <c r="L1562" i="1"/>
  <c r="L1561" i="1"/>
  <c r="L1560" i="1"/>
  <c r="L1559" i="1"/>
  <c r="J1558" i="1"/>
  <c r="I1558" i="1"/>
  <c r="K1558" i="1" s="1"/>
  <c r="L1558" i="1" s="1"/>
  <c r="L1557" i="1"/>
  <c r="J1556" i="1"/>
  <c r="I1556" i="1"/>
  <c r="K1556" i="1" s="1"/>
  <c r="L1556" i="1" s="1"/>
  <c r="J1555" i="1"/>
  <c r="I1555" i="1"/>
  <c r="K1555" i="1" s="1"/>
  <c r="L1555" i="1" s="1"/>
  <c r="L1554" i="1"/>
  <c r="J1553" i="1"/>
  <c r="I1553" i="1"/>
  <c r="K1553" i="1" s="1"/>
  <c r="L1553" i="1" s="1"/>
  <c r="J1552" i="1"/>
  <c r="I1552" i="1"/>
  <c r="K1552" i="1" s="1"/>
  <c r="L1552" i="1" s="1"/>
  <c r="J1551" i="1"/>
  <c r="I1551" i="1"/>
  <c r="K1551" i="1" s="1"/>
  <c r="L1551" i="1" s="1"/>
  <c r="L1550" i="1"/>
  <c r="J1549" i="1"/>
  <c r="I1549" i="1"/>
  <c r="K1549" i="1" s="1"/>
  <c r="L1549" i="1" s="1"/>
  <c r="J1548" i="1"/>
  <c r="I1548" i="1"/>
  <c r="K1548" i="1" s="1"/>
  <c r="L1548" i="1" s="1"/>
  <c r="L1547" i="1"/>
  <c r="J1546" i="1"/>
  <c r="I1546" i="1"/>
  <c r="K1546" i="1" s="1"/>
  <c r="L1546" i="1" s="1"/>
  <c r="J1545" i="1"/>
  <c r="I1545" i="1"/>
  <c r="K1545" i="1" s="1"/>
  <c r="L1545" i="1" s="1"/>
  <c r="L1544" i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J1536" i="1"/>
  <c r="I1536" i="1"/>
  <c r="K1536" i="1" s="1"/>
  <c r="L1536" i="1" s="1"/>
  <c r="L1535" i="1"/>
  <c r="L1534" i="1"/>
  <c r="J1533" i="1"/>
  <c r="I1533" i="1"/>
  <c r="K1533" i="1" s="1"/>
  <c r="L1533" i="1" s="1"/>
  <c r="L1532" i="1"/>
  <c r="J1531" i="1"/>
  <c r="I1531" i="1"/>
  <c r="K1531" i="1" s="1"/>
  <c r="L1531" i="1" s="1"/>
  <c r="J1530" i="1"/>
  <c r="I1530" i="1"/>
  <c r="K1530" i="1" s="1"/>
  <c r="L1530" i="1" s="1"/>
  <c r="L1529" i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J1524" i="1"/>
  <c r="I1524" i="1"/>
  <c r="K1524" i="1" s="1"/>
  <c r="L1524" i="1" s="1"/>
  <c r="L1523" i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J1519" i="1"/>
  <c r="I1519" i="1"/>
  <c r="K1519" i="1" s="1"/>
  <c r="L1519" i="1" s="1"/>
  <c r="L1518" i="1"/>
  <c r="L1517" i="1"/>
  <c r="L1516" i="1"/>
  <c r="L1515" i="1"/>
  <c r="J1514" i="1"/>
  <c r="I1514" i="1"/>
  <c r="K1514" i="1" s="1"/>
  <c r="L1514" i="1" s="1"/>
  <c r="L1513" i="1"/>
  <c r="J1512" i="1"/>
  <c r="I1512" i="1"/>
  <c r="K1512" i="1" s="1"/>
  <c r="L1512" i="1" s="1"/>
  <c r="J1511" i="1"/>
  <c r="I1511" i="1"/>
  <c r="K1511" i="1" s="1"/>
  <c r="L1511" i="1" s="1"/>
  <c r="L1510" i="1"/>
  <c r="L1509" i="1"/>
  <c r="J1508" i="1"/>
  <c r="I1508" i="1"/>
  <c r="K1508" i="1" s="1"/>
  <c r="L1508" i="1" s="1"/>
  <c r="J1507" i="1"/>
  <c r="I1507" i="1"/>
  <c r="K1507" i="1" s="1"/>
  <c r="L1507" i="1" s="1"/>
  <c r="L1506" i="1"/>
  <c r="J1505" i="1"/>
  <c r="I1505" i="1"/>
  <c r="K1505" i="1" s="1"/>
  <c r="L1505" i="1" s="1"/>
  <c r="J1504" i="1"/>
  <c r="I1504" i="1"/>
  <c r="K1504" i="1" s="1"/>
  <c r="L1504" i="1" s="1"/>
  <c r="L1503" i="1"/>
  <c r="J1502" i="1"/>
  <c r="I1502" i="1"/>
  <c r="K1502" i="1" s="1"/>
  <c r="L1502" i="1" s="1"/>
  <c r="J1501" i="1"/>
  <c r="I1501" i="1"/>
  <c r="K1501" i="1" s="1"/>
  <c r="L1501" i="1" s="1"/>
  <c r="L1500" i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J1492" i="1"/>
  <c r="I1492" i="1"/>
  <c r="K1492" i="1" s="1"/>
  <c r="L1492" i="1" s="1"/>
  <c r="L1491" i="1"/>
  <c r="L1490" i="1"/>
  <c r="J1489" i="1"/>
  <c r="I1489" i="1"/>
  <c r="K1489" i="1" s="1"/>
  <c r="L1489" i="1" s="1"/>
  <c r="L1488" i="1"/>
  <c r="J1487" i="1"/>
  <c r="I1487" i="1"/>
  <c r="K1487" i="1" s="1"/>
  <c r="L1487" i="1" s="1"/>
  <c r="J1486" i="1"/>
  <c r="I1486" i="1"/>
  <c r="K1486" i="1" s="1"/>
  <c r="L1486" i="1" s="1"/>
  <c r="L1485" i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J1480" i="1"/>
  <c r="I1480" i="1"/>
  <c r="K1480" i="1" s="1"/>
  <c r="L1480" i="1" s="1"/>
  <c r="L1479" i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J1475" i="1"/>
  <c r="I1475" i="1"/>
  <c r="K1475" i="1" s="1"/>
  <c r="L1475" i="1" s="1"/>
  <c r="L1474" i="1"/>
  <c r="L1473" i="1"/>
  <c r="L1472" i="1"/>
  <c r="L1471" i="1"/>
  <c r="J1470" i="1"/>
  <c r="I1470" i="1"/>
  <c r="K1470" i="1" s="1"/>
  <c r="L1470" i="1" s="1"/>
  <c r="L1469" i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J1463" i="1"/>
  <c r="I1463" i="1"/>
  <c r="K1463" i="1" s="1"/>
  <c r="L1463" i="1" s="1"/>
  <c r="L1462" i="1"/>
  <c r="J1461" i="1"/>
  <c r="I1461" i="1"/>
  <c r="K1461" i="1" s="1"/>
  <c r="L1461" i="1" s="1"/>
  <c r="J1460" i="1"/>
  <c r="I1460" i="1"/>
  <c r="K1460" i="1" s="1"/>
  <c r="L1460" i="1" s="1"/>
  <c r="L1459" i="1"/>
  <c r="J1458" i="1"/>
  <c r="I1458" i="1"/>
  <c r="K1458" i="1" s="1"/>
  <c r="L1458" i="1" s="1"/>
  <c r="J1457" i="1"/>
  <c r="I1457" i="1"/>
  <c r="K1457" i="1" s="1"/>
  <c r="L1457" i="1" s="1"/>
  <c r="L1456" i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J1448" i="1"/>
  <c r="I1448" i="1"/>
  <c r="K1448" i="1" s="1"/>
  <c r="L1448" i="1" s="1"/>
  <c r="L1447" i="1"/>
  <c r="L1446" i="1"/>
  <c r="J1445" i="1"/>
  <c r="I1445" i="1"/>
  <c r="K1445" i="1" s="1"/>
  <c r="L1445" i="1" s="1"/>
  <c r="L1444" i="1"/>
  <c r="J1443" i="1"/>
  <c r="I1443" i="1"/>
  <c r="K1443" i="1" s="1"/>
  <c r="L1443" i="1" s="1"/>
  <c r="J1442" i="1"/>
  <c r="I1442" i="1"/>
  <c r="K1442" i="1" s="1"/>
  <c r="L1442" i="1" s="1"/>
  <c r="L1441" i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J1436" i="1"/>
  <c r="I1436" i="1"/>
  <c r="K1436" i="1" s="1"/>
  <c r="L1436" i="1" s="1"/>
  <c r="L1435" i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J1431" i="1"/>
  <c r="I1431" i="1"/>
  <c r="K1431" i="1" s="1"/>
  <c r="L1431" i="1" s="1"/>
  <c r="L1430" i="1"/>
  <c r="L1429" i="1"/>
  <c r="L1428" i="1"/>
  <c r="L1427" i="1"/>
  <c r="J1426" i="1"/>
  <c r="I1426" i="1"/>
  <c r="K1426" i="1" s="1"/>
  <c r="L1426" i="1" s="1"/>
  <c r="L1425" i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J1419" i="1"/>
  <c r="I1419" i="1"/>
  <c r="K1419" i="1" s="1"/>
  <c r="L1419" i="1" s="1"/>
  <c r="L1418" i="1"/>
  <c r="J1417" i="1"/>
  <c r="I1417" i="1"/>
  <c r="K1417" i="1" s="1"/>
  <c r="L1417" i="1" s="1"/>
  <c r="J1416" i="1"/>
  <c r="I1416" i="1"/>
  <c r="K1416" i="1" s="1"/>
  <c r="L1416" i="1" s="1"/>
  <c r="L1415" i="1"/>
  <c r="J1414" i="1"/>
  <c r="I1414" i="1"/>
  <c r="K1414" i="1" s="1"/>
  <c r="L1414" i="1" s="1"/>
  <c r="J1413" i="1"/>
  <c r="I1413" i="1"/>
  <c r="K1413" i="1" s="1"/>
  <c r="L1413" i="1" s="1"/>
  <c r="L1412" i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J1405" i="1"/>
  <c r="I1405" i="1"/>
  <c r="J1404" i="1"/>
  <c r="I1404" i="1"/>
  <c r="L1403" i="1"/>
  <c r="L1402" i="1"/>
  <c r="J1401" i="1"/>
  <c r="I1401" i="1"/>
  <c r="L1400" i="1"/>
  <c r="J1399" i="1"/>
  <c r="I1399" i="1"/>
  <c r="J1398" i="1"/>
  <c r="I1398" i="1"/>
  <c r="L1397" i="1"/>
  <c r="J1396" i="1"/>
  <c r="I1396" i="1"/>
  <c r="J1395" i="1"/>
  <c r="I1395" i="1"/>
  <c r="J1394" i="1"/>
  <c r="I1394" i="1"/>
  <c r="J1393" i="1"/>
  <c r="I1393" i="1"/>
  <c r="J1392" i="1"/>
  <c r="I1392" i="1"/>
  <c r="L1391" i="1"/>
  <c r="J1390" i="1"/>
  <c r="I1390" i="1"/>
  <c r="J1389" i="1"/>
  <c r="I1389" i="1"/>
  <c r="J1388" i="1"/>
  <c r="I1388" i="1"/>
  <c r="J1387" i="1"/>
  <c r="I1387" i="1"/>
  <c r="L1386" i="1"/>
  <c r="L1385" i="1"/>
  <c r="L1384" i="1"/>
  <c r="L1383" i="1"/>
  <c r="J1382" i="1"/>
  <c r="I1382" i="1"/>
  <c r="L1381" i="1"/>
  <c r="J1380" i="1"/>
  <c r="I1380" i="1"/>
  <c r="J1379" i="1"/>
  <c r="I1379" i="1"/>
  <c r="J1378" i="1"/>
  <c r="I1378" i="1"/>
  <c r="J1377" i="1"/>
  <c r="I1377" i="1"/>
  <c r="J1376" i="1"/>
  <c r="I1376" i="1"/>
  <c r="J1375" i="1"/>
  <c r="I1375" i="1"/>
  <c r="L1374" i="1"/>
  <c r="J1373" i="1"/>
  <c r="I1373" i="1"/>
  <c r="J1372" i="1"/>
  <c r="I1372" i="1"/>
  <c r="L1371" i="1"/>
  <c r="J1370" i="1"/>
  <c r="I1370" i="1"/>
  <c r="J1369" i="1"/>
  <c r="I1369" i="1"/>
  <c r="L1368" i="1"/>
  <c r="L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J1360" i="1"/>
  <c r="I1360" i="1"/>
  <c r="L1359" i="1"/>
  <c r="L1358" i="1"/>
  <c r="J1357" i="1"/>
  <c r="I1357" i="1"/>
  <c r="L1356" i="1"/>
  <c r="J1355" i="1"/>
  <c r="I1355" i="1"/>
  <c r="J1354" i="1"/>
  <c r="I1354" i="1"/>
  <c r="L1353" i="1"/>
  <c r="J1352" i="1"/>
  <c r="I1352" i="1"/>
  <c r="J1351" i="1"/>
  <c r="I1351" i="1"/>
  <c r="J1350" i="1"/>
  <c r="I1350" i="1"/>
  <c r="J1349" i="1"/>
  <c r="I1349" i="1"/>
  <c r="J1348" i="1"/>
  <c r="I1348" i="1"/>
  <c r="L1347" i="1"/>
  <c r="J1346" i="1"/>
  <c r="I1346" i="1"/>
  <c r="J1345" i="1"/>
  <c r="I1345" i="1"/>
  <c r="J1344" i="1"/>
  <c r="I1344" i="1"/>
  <c r="J1343" i="1"/>
  <c r="I1343" i="1"/>
  <c r="L1342" i="1"/>
  <c r="L1341" i="1"/>
  <c r="L1340" i="1"/>
  <c r="L1339" i="1"/>
  <c r="J1338" i="1"/>
  <c r="I1338" i="1"/>
  <c r="L1337" i="1"/>
  <c r="L1336" i="1"/>
  <c r="J1335" i="1"/>
  <c r="I1335" i="1"/>
  <c r="J1334" i="1"/>
  <c r="I1334" i="1"/>
  <c r="J1333" i="1"/>
  <c r="I1333" i="1"/>
  <c r="J1332" i="1"/>
  <c r="I1332" i="1"/>
  <c r="J1331" i="1"/>
  <c r="I1331" i="1"/>
  <c r="L1330" i="1"/>
  <c r="J1329" i="1"/>
  <c r="I1329" i="1"/>
  <c r="J1328" i="1"/>
  <c r="I1328" i="1"/>
  <c r="L1327" i="1"/>
  <c r="J1326" i="1"/>
  <c r="I1326" i="1"/>
  <c r="J1325" i="1"/>
  <c r="I1325" i="1"/>
  <c r="L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L1315" i="1"/>
  <c r="L1314" i="1"/>
  <c r="J1313" i="1"/>
  <c r="I1313" i="1"/>
  <c r="L1312" i="1"/>
  <c r="J1311" i="1"/>
  <c r="I1311" i="1"/>
  <c r="J1310" i="1"/>
  <c r="I1310" i="1"/>
  <c r="L1309" i="1"/>
  <c r="J1308" i="1"/>
  <c r="I1308" i="1"/>
  <c r="J1307" i="1"/>
  <c r="I1307" i="1"/>
  <c r="J1306" i="1"/>
  <c r="I1306" i="1"/>
  <c r="J1305" i="1"/>
  <c r="I1305" i="1"/>
  <c r="J1304" i="1"/>
  <c r="I1304" i="1"/>
  <c r="L1303" i="1"/>
  <c r="J1302" i="1"/>
  <c r="I1302" i="1"/>
  <c r="J1301" i="1"/>
  <c r="I1301" i="1"/>
  <c r="J1300" i="1"/>
  <c r="I1300" i="1"/>
  <c r="L1299" i="1"/>
  <c r="L1298" i="1"/>
  <c r="L1297" i="1"/>
  <c r="L1296" i="1"/>
  <c r="L1295" i="1"/>
  <c r="J1294" i="1"/>
  <c r="I1294" i="1"/>
  <c r="L1293" i="1"/>
  <c r="J1292" i="1"/>
  <c r="I1292" i="1"/>
  <c r="J1291" i="1"/>
  <c r="I1291" i="1"/>
  <c r="K1291" i="1" s="1"/>
  <c r="L1291" i="1" s="1"/>
  <c r="J1290" i="1"/>
  <c r="I1290" i="1"/>
  <c r="J1289" i="1"/>
  <c r="I1289" i="1"/>
  <c r="J1288" i="1"/>
  <c r="I1288" i="1"/>
  <c r="J1287" i="1"/>
  <c r="I1287" i="1"/>
  <c r="L1286" i="1"/>
  <c r="J1285" i="1"/>
  <c r="I1285" i="1"/>
  <c r="J1284" i="1"/>
  <c r="I1284" i="1"/>
  <c r="L1283" i="1"/>
  <c r="J1282" i="1"/>
  <c r="I1282" i="1"/>
  <c r="J1281" i="1"/>
  <c r="I1281" i="1"/>
  <c r="L1280" i="1"/>
  <c r="J1279" i="1"/>
  <c r="I1279" i="1"/>
  <c r="J1278" i="1"/>
  <c r="I1278" i="1"/>
  <c r="J1277" i="1"/>
  <c r="I1277" i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J1272" i="1"/>
  <c r="I1272" i="1"/>
  <c r="K1272" i="1" s="1"/>
  <c r="L1272" i="1" s="1"/>
  <c r="L1271" i="1"/>
  <c r="L1270" i="1"/>
  <c r="J1269" i="1"/>
  <c r="I1269" i="1"/>
  <c r="K1269" i="1" s="1"/>
  <c r="L1269" i="1" s="1"/>
  <c r="L1268" i="1"/>
  <c r="J1267" i="1"/>
  <c r="I1267" i="1"/>
  <c r="K1267" i="1" s="1"/>
  <c r="L1267" i="1" s="1"/>
  <c r="J1266" i="1"/>
  <c r="I1266" i="1"/>
  <c r="K1266" i="1" s="1"/>
  <c r="L1266" i="1" s="1"/>
  <c r="L1265" i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J1260" i="1"/>
  <c r="I1260" i="1"/>
  <c r="K1260" i="1" s="1"/>
  <c r="L1260" i="1" s="1"/>
  <c r="L1259" i="1"/>
  <c r="J1258" i="1"/>
  <c r="I1258" i="1"/>
  <c r="K1258" i="1" s="1"/>
  <c r="L1258" i="1" s="1"/>
  <c r="J1257" i="1"/>
  <c r="I1257" i="1"/>
  <c r="K1257" i="1" s="1"/>
  <c r="L1257" i="1" s="1"/>
  <c r="J1256" i="1"/>
  <c r="I1256" i="1"/>
  <c r="K1256" i="1" s="1"/>
  <c r="L1256" i="1" s="1"/>
  <c r="J1255" i="1"/>
  <c r="I1255" i="1"/>
  <c r="K1255" i="1" s="1"/>
  <c r="L1255" i="1" s="1"/>
  <c r="L1254" i="1"/>
  <c r="L1253" i="1"/>
  <c r="L1252" i="1"/>
  <c r="L1251" i="1"/>
  <c r="L1250" i="1"/>
  <c r="L1249" i="1"/>
  <c r="J1248" i="1"/>
  <c r="I1248" i="1"/>
  <c r="K1248" i="1" s="1"/>
  <c r="L1248" i="1" s="1"/>
  <c r="J1247" i="1"/>
  <c r="I1247" i="1"/>
  <c r="K1247" i="1" s="1"/>
  <c r="L1247" i="1" s="1"/>
  <c r="L1246" i="1"/>
  <c r="J1245" i="1"/>
  <c r="I1245" i="1"/>
  <c r="K1245" i="1" s="1"/>
  <c r="L1245" i="1" s="1"/>
  <c r="J1244" i="1"/>
  <c r="I1244" i="1"/>
  <c r="K1244" i="1" s="1"/>
  <c r="L1244" i="1" s="1"/>
  <c r="J1243" i="1"/>
  <c r="I1243" i="1"/>
  <c r="K1243" i="1" s="1"/>
  <c r="L1243" i="1" s="1"/>
  <c r="L1242" i="1"/>
  <c r="J1241" i="1"/>
  <c r="I1241" i="1"/>
  <c r="K1241" i="1" s="1"/>
  <c r="L1241" i="1" s="1"/>
  <c r="J1240" i="1"/>
  <c r="I1240" i="1"/>
  <c r="K1240" i="1" s="1"/>
  <c r="L1240" i="1" s="1"/>
  <c r="L1239" i="1"/>
  <c r="J1238" i="1"/>
  <c r="I1238" i="1"/>
  <c r="K1238" i="1" s="1"/>
  <c r="L1238" i="1" s="1"/>
  <c r="J1237" i="1"/>
  <c r="I1237" i="1"/>
  <c r="K1237" i="1" s="1"/>
  <c r="L1237" i="1" s="1"/>
  <c r="L1236" i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J1228" i="1"/>
  <c r="I1228" i="1"/>
  <c r="K1228" i="1" s="1"/>
  <c r="L1228" i="1" s="1"/>
  <c r="L1227" i="1"/>
  <c r="L1226" i="1"/>
  <c r="J1225" i="1"/>
  <c r="I1225" i="1"/>
  <c r="K1225" i="1" s="1"/>
  <c r="L1225" i="1" s="1"/>
  <c r="L1224" i="1"/>
  <c r="J1223" i="1"/>
  <c r="I1223" i="1"/>
  <c r="K1223" i="1" s="1"/>
  <c r="L1223" i="1" s="1"/>
  <c r="J1222" i="1"/>
  <c r="I1222" i="1"/>
  <c r="K1222" i="1" s="1"/>
  <c r="L1222" i="1" s="1"/>
  <c r="L1221" i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J1216" i="1"/>
  <c r="I1216" i="1"/>
  <c r="K1216" i="1" s="1"/>
  <c r="L1216" i="1" s="1"/>
  <c r="L1215" i="1"/>
  <c r="J1214" i="1"/>
  <c r="I1214" i="1"/>
  <c r="K1214" i="1" s="1"/>
  <c r="L1214" i="1" s="1"/>
  <c r="J1213" i="1"/>
  <c r="I1213" i="1"/>
  <c r="K1213" i="1" s="1"/>
  <c r="L1213" i="1" s="1"/>
  <c r="J1212" i="1"/>
  <c r="I1212" i="1"/>
  <c r="K1212" i="1" s="1"/>
  <c r="L1212" i="1" s="1"/>
  <c r="L1211" i="1"/>
  <c r="L1210" i="1"/>
  <c r="L1209" i="1"/>
  <c r="L1208" i="1"/>
  <c r="L1207" i="1"/>
  <c r="L1206" i="1"/>
  <c r="L1205" i="1"/>
  <c r="J1204" i="1"/>
  <c r="I1204" i="1"/>
  <c r="K1204" i="1" s="1"/>
  <c r="L1204" i="1" s="1"/>
  <c r="J1203" i="1"/>
  <c r="I1203" i="1"/>
  <c r="K1203" i="1" s="1"/>
  <c r="L1203" i="1" s="1"/>
  <c r="L1202" i="1"/>
  <c r="L1201" i="1"/>
  <c r="J1200" i="1"/>
  <c r="I1200" i="1"/>
  <c r="K1200" i="1" s="1"/>
  <c r="L1200" i="1" s="1"/>
  <c r="J1199" i="1"/>
  <c r="I1199" i="1"/>
  <c r="K1199" i="1" s="1"/>
  <c r="L1199" i="1" s="1"/>
  <c r="L1198" i="1"/>
  <c r="J1197" i="1"/>
  <c r="I1197" i="1"/>
  <c r="K1197" i="1" s="1"/>
  <c r="L1197" i="1" s="1"/>
  <c r="J1196" i="1"/>
  <c r="I1196" i="1"/>
  <c r="K1196" i="1" s="1"/>
  <c r="L1196" i="1" s="1"/>
  <c r="L1195" i="1"/>
  <c r="J1194" i="1"/>
  <c r="I1194" i="1"/>
  <c r="K1194" i="1" s="1"/>
  <c r="L1194" i="1" s="1"/>
  <c r="J1193" i="1"/>
  <c r="I1193" i="1"/>
  <c r="K1193" i="1" s="1"/>
  <c r="L1193" i="1" s="1"/>
  <c r="L1192" i="1"/>
  <c r="J1191" i="1"/>
  <c r="I1191" i="1"/>
  <c r="K1191" i="1" s="1"/>
  <c r="L1191" i="1" s="1"/>
  <c r="L1190" i="1"/>
  <c r="J1189" i="1"/>
  <c r="I1189" i="1"/>
  <c r="K1189" i="1" s="1"/>
  <c r="L1189" i="1" s="1"/>
  <c r="J1188" i="1"/>
  <c r="I1188" i="1"/>
  <c r="K1188" i="1" s="1"/>
  <c r="L1188" i="1" s="1"/>
  <c r="J1187" i="1"/>
  <c r="I1187" i="1"/>
  <c r="K1187" i="1" s="1"/>
  <c r="L1187" i="1" s="1"/>
  <c r="L1186" i="1"/>
  <c r="J1185" i="1"/>
  <c r="I1185" i="1"/>
  <c r="K1185" i="1" s="1"/>
  <c r="L1185" i="1" s="1"/>
  <c r="J1184" i="1"/>
  <c r="I1184" i="1"/>
  <c r="K1184" i="1" s="1"/>
  <c r="L1184" i="1" s="1"/>
  <c r="L1183" i="1"/>
  <c r="L1182" i="1"/>
  <c r="J1181" i="1"/>
  <c r="I1181" i="1"/>
  <c r="K1181" i="1" s="1"/>
  <c r="L1181" i="1" s="1"/>
  <c r="L1180" i="1"/>
  <c r="J1179" i="1"/>
  <c r="I1179" i="1"/>
  <c r="K1179" i="1" s="1"/>
  <c r="L1179" i="1" s="1"/>
  <c r="J1178" i="1"/>
  <c r="I1178" i="1"/>
  <c r="K1178" i="1" s="1"/>
  <c r="L1178" i="1" s="1"/>
  <c r="L1177" i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J1172" i="1"/>
  <c r="I1172" i="1"/>
  <c r="K1172" i="1" s="1"/>
  <c r="L1172" i="1" s="1"/>
  <c r="L1171" i="1"/>
  <c r="J1170" i="1"/>
  <c r="I1170" i="1"/>
  <c r="K1170" i="1" s="1"/>
  <c r="L1170" i="1" s="1"/>
  <c r="J1169" i="1"/>
  <c r="I1169" i="1"/>
  <c r="K1169" i="1" s="1"/>
  <c r="L1169" i="1" s="1"/>
  <c r="J1168" i="1"/>
  <c r="I1168" i="1"/>
  <c r="K1168" i="1" s="1"/>
  <c r="L1168" i="1" s="1"/>
  <c r="L1167" i="1"/>
  <c r="L1166" i="1"/>
  <c r="L1165" i="1"/>
  <c r="L1164" i="1"/>
  <c r="L1163" i="1"/>
  <c r="J1162" i="1"/>
  <c r="I1162" i="1"/>
  <c r="K1162" i="1" s="1"/>
  <c r="L1162" i="1" s="1"/>
  <c r="L1161" i="1"/>
  <c r="L1160" i="1"/>
  <c r="J1159" i="1"/>
  <c r="I1159" i="1"/>
  <c r="K1159" i="1" s="1"/>
  <c r="L1159" i="1" s="1"/>
  <c r="L1158" i="1"/>
  <c r="J1157" i="1"/>
  <c r="I1157" i="1"/>
  <c r="K1157" i="1" s="1"/>
  <c r="L1157" i="1" s="1"/>
  <c r="J1156" i="1"/>
  <c r="I1156" i="1"/>
  <c r="K1156" i="1" s="1"/>
  <c r="L1156" i="1" s="1"/>
  <c r="J1155" i="1"/>
  <c r="I1155" i="1"/>
  <c r="K1155" i="1" s="1"/>
  <c r="L1155" i="1" s="1"/>
  <c r="L1154" i="1"/>
  <c r="J1153" i="1"/>
  <c r="I1153" i="1"/>
  <c r="K1153" i="1" s="1"/>
  <c r="L1153" i="1" s="1"/>
  <c r="J1152" i="1"/>
  <c r="I1152" i="1"/>
  <c r="K1152" i="1" s="1"/>
  <c r="L1152" i="1" s="1"/>
  <c r="L1151" i="1"/>
  <c r="J1150" i="1"/>
  <c r="I1150" i="1"/>
  <c r="K1150" i="1" s="1"/>
  <c r="L1150" i="1" s="1"/>
  <c r="J1149" i="1"/>
  <c r="I1149" i="1"/>
  <c r="K1149" i="1" s="1"/>
  <c r="L1149" i="1" s="1"/>
  <c r="L1148" i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J1144" i="1"/>
  <c r="I1144" i="1"/>
  <c r="K1144" i="1" s="1"/>
  <c r="L1144" i="1" s="1"/>
  <c r="L1143" i="1"/>
  <c r="J1142" i="1"/>
  <c r="I1142" i="1"/>
  <c r="K1142" i="1" s="1"/>
  <c r="L1142" i="1" s="1"/>
  <c r="J1141" i="1"/>
  <c r="I1141" i="1"/>
  <c r="K1141" i="1" s="1"/>
  <c r="L1141" i="1" s="1"/>
  <c r="J1140" i="1"/>
  <c r="I1140" i="1"/>
  <c r="K1140" i="1" s="1"/>
  <c r="L1140" i="1" s="1"/>
  <c r="L1139" i="1"/>
  <c r="L1138" i="1"/>
  <c r="J1137" i="1"/>
  <c r="I1137" i="1"/>
  <c r="K1137" i="1" s="1"/>
  <c r="L1137" i="1" s="1"/>
  <c r="L1136" i="1"/>
  <c r="J1135" i="1"/>
  <c r="I1135" i="1"/>
  <c r="K1135" i="1" s="1"/>
  <c r="L1135" i="1" s="1"/>
  <c r="J1134" i="1"/>
  <c r="I1134" i="1"/>
  <c r="K1134" i="1" s="1"/>
  <c r="L1134" i="1" s="1"/>
  <c r="L1133" i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J1128" i="1"/>
  <c r="I1128" i="1"/>
  <c r="K1128" i="1" s="1"/>
  <c r="L1128" i="1" s="1"/>
  <c r="L1127" i="1"/>
  <c r="J1126" i="1"/>
  <c r="I1126" i="1"/>
  <c r="K1126" i="1" s="1"/>
  <c r="L1126" i="1" s="1"/>
  <c r="J1125" i="1"/>
  <c r="I1125" i="1"/>
  <c r="K1125" i="1" s="1"/>
  <c r="L1125" i="1" s="1"/>
  <c r="J1124" i="1"/>
  <c r="I1124" i="1"/>
  <c r="K1124" i="1" s="1"/>
  <c r="L1124" i="1" s="1"/>
  <c r="L1123" i="1"/>
  <c r="L1122" i="1"/>
  <c r="L1121" i="1"/>
  <c r="L1120" i="1"/>
  <c r="L1119" i="1"/>
  <c r="L1118" i="1"/>
  <c r="L1117" i="1"/>
  <c r="L1116" i="1"/>
  <c r="J1115" i="1"/>
  <c r="I1115" i="1"/>
  <c r="K1115" i="1" s="1"/>
  <c r="L1115" i="1" s="1"/>
  <c r="L1114" i="1"/>
  <c r="J1113" i="1"/>
  <c r="I1113" i="1"/>
  <c r="K1113" i="1" s="1"/>
  <c r="L1113" i="1" s="1"/>
  <c r="J1112" i="1"/>
  <c r="I1112" i="1"/>
  <c r="K1112" i="1" s="1"/>
  <c r="L1112" i="1" s="1"/>
  <c r="J1111" i="1"/>
  <c r="I1111" i="1"/>
  <c r="K1111" i="1" s="1"/>
  <c r="L1111" i="1" s="1"/>
  <c r="L1110" i="1"/>
  <c r="J1109" i="1"/>
  <c r="I1109" i="1"/>
  <c r="K1109" i="1" s="1"/>
  <c r="L1109" i="1" s="1"/>
  <c r="J1108" i="1"/>
  <c r="I1108" i="1"/>
  <c r="K1108" i="1" s="1"/>
  <c r="L1108" i="1" s="1"/>
  <c r="L1107" i="1"/>
  <c r="J1106" i="1"/>
  <c r="I1106" i="1"/>
  <c r="K1106" i="1" s="1"/>
  <c r="L1106" i="1" s="1"/>
  <c r="J1105" i="1"/>
  <c r="I1105" i="1"/>
  <c r="K1105" i="1" s="1"/>
  <c r="L1105" i="1" s="1"/>
  <c r="L1104" i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J1096" i="1"/>
  <c r="I1096" i="1"/>
  <c r="K1096" i="1" s="1"/>
  <c r="L1096" i="1" s="1"/>
  <c r="L1095" i="1"/>
  <c r="L1094" i="1"/>
  <c r="J1093" i="1"/>
  <c r="I1093" i="1"/>
  <c r="K1093" i="1" s="1"/>
  <c r="L1093" i="1" s="1"/>
  <c r="L1092" i="1"/>
  <c r="J1091" i="1"/>
  <c r="I1091" i="1"/>
  <c r="K1091" i="1" s="1"/>
  <c r="L1091" i="1" s="1"/>
  <c r="J1090" i="1"/>
  <c r="I1090" i="1"/>
  <c r="K1090" i="1" s="1"/>
  <c r="L1090" i="1" s="1"/>
  <c r="L1089" i="1"/>
  <c r="J1088" i="1"/>
  <c r="I1088" i="1"/>
  <c r="K1088" i="1" s="1"/>
  <c r="L1088" i="1" s="1"/>
  <c r="J1087" i="1"/>
  <c r="I1087" i="1"/>
  <c r="K1087" i="1" s="1"/>
  <c r="L1087" i="1" s="1"/>
  <c r="L1086" i="1"/>
  <c r="J1085" i="1"/>
  <c r="I1085" i="1"/>
  <c r="K1085" i="1" s="1"/>
  <c r="L1085" i="1" s="1"/>
  <c r="J1084" i="1"/>
  <c r="I1084" i="1"/>
  <c r="K1084" i="1" s="1"/>
  <c r="L1084" i="1" s="1"/>
  <c r="L1083" i="1"/>
  <c r="J1082" i="1"/>
  <c r="I1082" i="1"/>
  <c r="K1082" i="1" s="1"/>
  <c r="L1082" i="1" s="1"/>
  <c r="J1081" i="1"/>
  <c r="I1081" i="1"/>
  <c r="K1081" i="1" s="1"/>
  <c r="L1081" i="1" s="1"/>
  <c r="J1080" i="1"/>
  <c r="I1080" i="1"/>
  <c r="K1080" i="1" s="1"/>
  <c r="L1080" i="1" s="1"/>
  <c r="L1079" i="1"/>
  <c r="L1078" i="1"/>
  <c r="L1077" i="1"/>
  <c r="L1076" i="1"/>
  <c r="L1075" i="1"/>
  <c r="L1074" i="1"/>
  <c r="L1073" i="1"/>
  <c r="L1072" i="1"/>
  <c r="J1071" i="1"/>
  <c r="I1071" i="1"/>
  <c r="K1071" i="1" s="1"/>
  <c r="L1071" i="1" s="1"/>
  <c r="L1070" i="1"/>
  <c r="J1069" i="1"/>
  <c r="I1069" i="1"/>
  <c r="K1069" i="1" s="1"/>
  <c r="L1069" i="1" s="1"/>
  <c r="J1068" i="1"/>
  <c r="I1068" i="1"/>
  <c r="K1068" i="1" s="1"/>
  <c r="L1068" i="1" s="1"/>
  <c r="J1067" i="1"/>
  <c r="I1067" i="1"/>
  <c r="K1067" i="1" s="1"/>
  <c r="L1067" i="1" s="1"/>
  <c r="L1066" i="1"/>
  <c r="J1065" i="1"/>
  <c r="I1065" i="1"/>
  <c r="K1065" i="1" s="1"/>
  <c r="L1065" i="1" s="1"/>
  <c r="J1064" i="1"/>
  <c r="I1064" i="1"/>
  <c r="K1064" i="1" s="1"/>
  <c r="L1064" i="1" s="1"/>
  <c r="L1063" i="1"/>
  <c r="J1062" i="1"/>
  <c r="I1062" i="1"/>
  <c r="K1062" i="1" s="1"/>
  <c r="L1062" i="1" s="1"/>
  <c r="J1061" i="1"/>
  <c r="I1061" i="1"/>
  <c r="K1061" i="1" s="1"/>
  <c r="L1061" i="1" s="1"/>
  <c r="L1060" i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J1052" i="1"/>
  <c r="I1052" i="1"/>
  <c r="K1052" i="1" s="1"/>
  <c r="L1052" i="1" s="1"/>
  <c r="L1051" i="1"/>
  <c r="L1050" i="1"/>
  <c r="J1049" i="1"/>
  <c r="I1049" i="1"/>
  <c r="K1049" i="1" s="1"/>
  <c r="L1049" i="1" s="1"/>
  <c r="L1048" i="1"/>
  <c r="J1047" i="1"/>
  <c r="I1047" i="1"/>
  <c r="K1047" i="1" s="1"/>
  <c r="L1047" i="1" s="1"/>
  <c r="J1046" i="1"/>
  <c r="I1046" i="1"/>
  <c r="K1046" i="1" s="1"/>
  <c r="L1046" i="1" s="1"/>
  <c r="L1045" i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J1040" i="1"/>
  <c r="I1040" i="1"/>
  <c r="K1040" i="1" s="1"/>
  <c r="L1040" i="1" s="1"/>
  <c r="L1039" i="1"/>
  <c r="J1038" i="1"/>
  <c r="I1038" i="1"/>
  <c r="K1038" i="1" s="1"/>
  <c r="L1038" i="1" s="1"/>
  <c r="J1037" i="1"/>
  <c r="I1037" i="1"/>
  <c r="K1037" i="1" s="1"/>
  <c r="L1037" i="1" s="1"/>
  <c r="J1036" i="1"/>
  <c r="I1036" i="1"/>
  <c r="K1036" i="1" s="1"/>
  <c r="L1036" i="1" s="1"/>
  <c r="L1035" i="1"/>
  <c r="L1034" i="1"/>
  <c r="L1033" i="1"/>
  <c r="L1032" i="1"/>
  <c r="L1031" i="1"/>
  <c r="J1030" i="1"/>
  <c r="I1030" i="1"/>
  <c r="K1030" i="1" s="1"/>
  <c r="L1030" i="1" s="1"/>
  <c r="L1029" i="1"/>
  <c r="L1028" i="1"/>
  <c r="J1027" i="1"/>
  <c r="I1027" i="1"/>
  <c r="K1027" i="1" s="1"/>
  <c r="L1027" i="1" s="1"/>
  <c r="L1026" i="1"/>
  <c r="J1025" i="1"/>
  <c r="I1025" i="1"/>
  <c r="K1025" i="1" s="1"/>
  <c r="L1025" i="1" s="1"/>
  <c r="J1024" i="1"/>
  <c r="I1024" i="1"/>
  <c r="K1024" i="1" s="1"/>
  <c r="L1024" i="1" s="1"/>
  <c r="J1023" i="1"/>
  <c r="I1023" i="1"/>
  <c r="K1023" i="1" s="1"/>
  <c r="L1023" i="1" s="1"/>
  <c r="L1022" i="1"/>
  <c r="J1021" i="1"/>
  <c r="I1021" i="1"/>
  <c r="K1021" i="1" s="1"/>
  <c r="L1021" i="1" s="1"/>
  <c r="J1020" i="1"/>
  <c r="I1020" i="1"/>
  <c r="K1020" i="1" s="1"/>
  <c r="L1020" i="1" s="1"/>
  <c r="L1019" i="1"/>
  <c r="J1018" i="1"/>
  <c r="I1018" i="1"/>
  <c r="K1018" i="1" s="1"/>
  <c r="L1018" i="1" s="1"/>
  <c r="J1017" i="1"/>
  <c r="I1017" i="1"/>
  <c r="K1017" i="1" s="1"/>
  <c r="L1017" i="1" s="1"/>
  <c r="L1016" i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J1008" i="1"/>
  <c r="I1008" i="1"/>
  <c r="K1008" i="1" s="1"/>
  <c r="L1008" i="1" s="1"/>
  <c r="L1007" i="1"/>
  <c r="L1006" i="1"/>
  <c r="J1005" i="1"/>
  <c r="I1005" i="1"/>
  <c r="K1005" i="1" s="1"/>
  <c r="L1005" i="1" s="1"/>
  <c r="L1004" i="1"/>
  <c r="J1003" i="1"/>
  <c r="I1003" i="1"/>
  <c r="K1003" i="1" s="1"/>
  <c r="L1003" i="1" s="1"/>
  <c r="J1002" i="1"/>
  <c r="I1002" i="1"/>
  <c r="K1002" i="1" s="1"/>
  <c r="L1002" i="1" s="1"/>
  <c r="L1001" i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J996" i="1"/>
  <c r="I996" i="1"/>
  <c r="K996" i="1" s="1"/>
  <c r="L996" i="1" s="1"/>
  <c r="L995" i="1"/>
  <c r="J994" i="1"/>
  <c r="I994" i="1"/>
  <c r="K994" i="1" s="1"/>
  <c r="L994" i="1" s="1"/>
  <c r="J993" i="1"/>
  <c r="I993" i="1"/>
  <c r="K993" i="1" s="1"/>
  <c r="L993" i="1" s="1"/>
  <c r="J992" i="1"/>
  <c r="I992" i="1"/>
  <c r="K992" i="1" s="1"/>
  <c r="L992" i="1" s="1"/>
  <c r="L991" i="1"/>
  <c r="L990" i="1"/>
  <c r="L989" i="1"/>
  <c r="L988" i="1"/>
  <c r="L987" i="1"/>
  <c r="L986" i="1"/>
  <c r="L985" i="1"/>
  <c r="L984" i="1"/>
  <c r="J983" i="1"/>
  <c r="I983" i="1"/>
  <c r="K983" i="1" s="1"/>
  <c r="L983" i="1" s="1"/>
  <c r="L982" i="1"/>
  <c r="J981" i="1"/>
  <c r="I981" i="1"/>
  <c r="K981" i="1" s="1"/>
  <c r="L981" i="1" s="1"/>
  <c r="J980" i="1"/>
  <c r="I980" i="1"/>
  <c r="K980" i="1" s="1"/>
  <c r="L980" i="1" s="1"/>
  <c r="J979" i="1"/>
  <c r="I979" i="1"/>
  <c r="K979" i="1" s="1"/>
  <c r="L979" i="1" s="1"/>
  <c r="L978" i="1"/>
  <c r="J977" i="1"/>
  <c r="I977" i="1"/>
  <c r="K977" i="1" s="1"/>
  <c r="L977" i="1" s="1"/>
  <c r="J976" i="1"/>
  <c r="I976" i="1"/>
  <c r="K976" i="1" s="1"/>
  <c r="L976" i="1" s="1"/>
  <c r="L975" i="1"/>
  <c r="J974" i="1"/>
  <c r="I974" i="1"/>
  <c r="K974" i="1" s="1"/>
  <c r="L974" i="1" s="1"/>
  <c r="J973" i="1"/>
  <c r="I973" i="1"/>
  <c r="K973" i="1" s="1"/>
  <c r="L973" i="1" s="1"/>
  <c r="L972" i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J964" i="1"/>
  <c r="I964" i="1"/>
  <c r="K964" i="1" s="1"/>
  <c r="L964" i="1" s="1"/>
  <c r="L963" i="1"/>
  <c r="L962" i="1"/>
  <c r="J961" i="1"/>
  <c r="I961" i="1"/>
  <c r="K961" i="1" s="1"/>
  <c r="L961" i="1" s="1"/>
  <c r="L960" i="1"/>
  <c r="J959" i="1"/>
  <c r="I959" i="1"/>
  <c r="K959" i="1" s="1"/>
  <c r="L959" i="1" s="1"/>
  <c r="J958" i="1"/>
  <c r="I958" i="1"/>
  <c r="K958" i="1" s="1"/>
  <c r="L958" i="1" s="1"/>
  <c r="L957" i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J952" i="1"/>
  <c r="I952" i="1"/>
  <c r="K952" i="1" s="1"/>
  <c r="L952" i="1" s="1"/>
  <c r="L951" i="1"/>
  <c r="J950" i="1"/>
  <c r="I950" i="1"/>
  <c r="K950" i="1" s="1"/>
  <c r="L950" i="1" s="1"/>
  <c r="J949" i="1"/>
  <c r="I949" i="1"/>
  <c r="K949" i="1" s="1"/>
  <c r="L949" i="1" s="1"/>
  <c r="J948" i="1"/>
  <c r="I948" i="1"/>
  <c r="K948" i="1" s="1"/>
  <c r="L948" i="1" s="1"/>
  <c r="L947" i="1"/>
  <c r="L946" i="1"/>
  <c r="L945" i="1"/>
  <c r="L944" i="1"/>
  <c r="L943" i="1"/>
  <c r="L942" i="1"/>
  <c r="L941" i="1"/>
  <c r="L940" i="1"/>
  <c r="J939" i="1"/>
  <c r="I939" i="1"/>
  <c r="K939" i="1" s="1"/>
  <c r="L939" i="1" s="1"/>
  <c r="L938" i="1"/>
  <c r="J937" i="1"/>
  <c r="I937" i="1"/>
  <c r="K937" i="1" s="1"/>
  <c r="L937" i="1" s="1"/>
  <c r="J936" i="1"/>
  <c r="I936" i="1"/>
  <c r="K936" i="1" s="1"/>
  <c r="L936" i="1" s="1"/>
  <c r="J935" i="1"/>
  <c r="I935" i="1"/>
  <c r="K935" i="1" s="1"/>
  <c r="L935" i="1" s="1"/>
  <c r="L934" i="1"/>
  <c r="J933" i="1"/>
  <c r="I933" i="1"/>
  <c r="K933" i="1" s="1"/>
  <c r="L933" i="1" s="1"/>
  <c r="J932" i="1"/>
  <c r="I932" i="1"/>
  <c r="K932" i="1" s="1"/>
  <c r="L932" i="1" s="1"/>
  <c r="L931" i="1"/>
  <c r="J930" i="1"/>
  <c r="I930" i="1"/>
  <c r="K930" i="1" s="1"/>
  <c r="L930" i="1" s="1"/>
  <c r="J929" i="1"/>
  <c r="I929" i="1"/>
  <c r="K929" i="1" s="1"/>
  <c r="L929" i="1" s="1"/>
  <c r="L928" i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J920" i="1"/>
  <c r="I920" i="1"/>
  <c r="K920" i="1" s="1"/>
  <c r="L920" i="1" s="1"/>
  <c r="L919" i="1"/>
  <c r="L918" i="1"/>
  <c r="J917" i="1"/>
  <c r="I917" i="1"/>
  <c r="K917" i="1" s="1"/>
  <c r="L917" i="1" s="1"/>
  <c r="L916" i="1"/>
  <c r="J915" i="1"/>
  <c r="I915" i="1"/>
  <c r="K915" i="1" s="1"/>
  <c r="L915" i="1" s="1"/>
  <c r="J914" i="1"/>
  <c r="I914" i="1"/>
  <c r="K914" i="1" s="1"/>
  <c r="L914" i="1" s="1"/>
  <c r="L913" i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J908" i="1"/>
  <c r="I908" i="1"/>
  <c r="K908" i="1" s="1"/>
  <c r="L908" i="1" s="1"/>
  <c r="L907" i="1"/>
  <c r="J906" i="1"/>
  <c r="I906" i="1"/>
  <c r="K906" i="1" s="1"/>
  <c r="L906" i="1" s="1"/>
  <c r="J905" i="1"/>
  <c r="I905" i="1"/>
  <c r="K905" i="1" s="1"/>
  <c r="L905" i="1" s="1"/>
  <c r="J904" i="1"/>
  <c r="I904" i="1"/>
  <c r="K904" i="1" s="1"/>
  <c r="L904" i="1" s="1"/>
  <c r="L903" i="1"/>
  <c r="L902" i="1"/>
  <c r="L901" i="1"/>
  <c r="L900" i="1"/>
  <c r="L899" i="1"/>
  <c r="L898" i="1"/>
  <c r="L897" i="1"/>
  <c r="L896" i="1"/>
  <c r="J895" i="1"/>
  <c r="I895" i="1"/>
  <c r="K895" i="1" s="1"/>
  <c r="L895" i="1" s="1"/>
  <c r="L894" i="1"/>
  <c r="J893" i="1"/>
  <c r="I893" i="1"/>
  <c r="K893" i="1" s="1"/>
  <c r="L893" i="1" s="1"/>
  <c r="J892" i="1"/>
  <c r="I892" i="1"/>
  <c r="K892" i="1" s="1"/>
  <c r="L892" i="1" s="1"/>
  <c r="J891" i="1"/>
  <c r="I891" i="1"/>
  <c r="K891" i="1" s="1"/>
  <c r="L891" i="1" s="1"/>
  <c r="L890" i="1"/>
  <c r="J889" i="1"/>
  <c r="I889" i="1"/>
  <c r="K889" i="1" s="1"/>
  <c r="L889" i="1" s="1"/>
  <c r="J888" i="1"/>
  <c r="I888" i="1"/>
  <c r="K888" i="1" s="1"/>
  <c r="L888" i="1" s="1"/>
  <c r="L887" i="1"/>
  <c r="L886" i="1"/>
  <c r="J885" i="1"/>
  <c r="I885" i="1"/>
  <c r="K885" i="1" s="1"/>
  <c r="L885" i="1" s="1"/>
  <c r="L884" i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J876" i="1"/>
  <c r="I876" i="1"/>
  <c r="K876" i="1" s="1"/>
  <c r="L876" i="1" s="1"/>
  <c r="L875" i="1"/>
  <c r="L874" i="1"/>
  <c r="J873" i="1"/>
  <c r="I873" i="1"/>
  <c r="K873" i="1" s="1"/>
  <c r="L873" i="1" s="1"/>
  <c r="L872" i="1"/>
  <c r="J871" i="1"/>
  <c r="I871" i="1"/>
  <c r="K871" i="1" s="1"/>
  <c r="L871" i="1" s="1"/>
  <c r="J870" i="1"/>
  <c r="I870" i="1"/>
  <c r="K870" i="1" s="1"/>
  <c r="L870" i="1" s="1"/>
  <c r="L869" i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J864" i="1"/>
  <c r="I864" i="1"/>
  <c r="K864" i="1" s="1"/>
  <c r="L864" i="1" s="1"/>
  <c r="L863" i="1"/>
  <c r="J862" i="1"/>
  <c r="I862" i="1"/>
  <c r="K862" i="1" s="1"/>
  <c r="L862" i="1" s="1"/>
  <c r="J861" i="1"/>
  <c r="I861" i="1"/>
  <c r="K861" i="1" s="1"/>
  <c r="L861" i="1" s="1"/>
  <c r="J860" i="1"/>
  <c r="I860" i="1"/>
  <c r="K860" i="1" s="1"/>
  <c r="L860" i="1" s="1"/>
  <c r="L859" i="1"/>
  <c r="L858" i="1"/>
  <c r="L857" i="1"/>
  <c r="L856" i="1"/>
  <c r="L855" i="1"/>
  <c r="L854" i="1"/>
  <c r="L853" i="1"/>
  <c r="L852" i="1"/>
  <c r="J851" i="1"/>
  <c r="I851" i="1"/>
  <c r="K851" i="1" s="1"/>
  <c r="L851" i="1" s="1"/>
  <c r="L850" i="1"/>
  <c r="J849" i="1"/>
  <c r="I849" i="1"/>
  <c r="K849" i="1" s="1"/>
  <c r="L849" i="1" s="1"/>
  <c r="J848" i="1"/>
  <c r="I848" i="1"/>
  <c r="K848" i="1" s="1"/>
  <c r="L848" i="1" s="1"/>
  <c r="J847" i="1"/>
  <c r="I847" i="1"/>
  <c r="K847" i="1" s="1"/>
  <c r="L847" i="1" s="1"/>
  <c r="L846" i="1"/>
  <c r="J845" i="1"/>
  <c r="I845" i="1"/>
  <c r="K845" i="1" s="1"/>
  <c r="L845" i="1" s="1"/>
  <c r="J844" i="1"/>
  <c r="I844" i="1"/>
  <c r="K844" i="1" s="1"/>
  <c r="L844" i="1" s="1"/>
  <c r="L843" i="1"/>
  <c r="L842" i="1"/>
  <c r="J841" i="1"/>
  <c r="I841" i="1"/>
  <c r="K841" i="1" s="1"/>
  <c r="L841" i="1" s="1"/>
  <c r="L840" i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J832" i="1"/>
  <c r="I832" i="1"/>
  <c r="K832" i="1" s="1"/>
  <c r="L832" i="1" s="1"/>
  <c r="L831" i="1"/>
  <c r="L830" i="1"/>
  <c r="J829" i="1"/>
  <c r="I829" i="1"/>
  <c r="K829" i="1" s="1"/>
  <c r="L829" i="1" s="1"/>
  <c r="L828" i="1"/>
  <c r="J827" i="1"/>
  <c r="I827" i="1"/>
  <c r="K827" i="1" s="1"/>
  <c r="L827" i="1" s="1"/>
  <c r="J826" i="1"/>
  <c r="I826" i="1"/>
  <c r="K826" i="1" s="1"/>
  <c r="L826" i="1" s="1"/>
  <c r="L825" i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J820" i="1"/>
  <c r="I820" i="1"/>
  <c r="K820" i="1" s="1"/>
  <c r="L820" i="1" s="1"/>
  <c r="L819" i="1"/>
  <c r="J818" i="1"/>
  <c r="I818" i="1"/>
  <c r="K818" i="1" s="1"/>
  <c r="L818" i="1" s="1"/>
  <c r="J817" i="1"/>
  <c r="I817" i="1"/>
  <c r="K817" i="1" s="1"/>
  <c r="L817" i="1" s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K804" i="1" s="1"/>
  <c r="L804" i="1" s="1"/>
  <c r="J803" i="1"/>
  <c r="I803" i="1"/>
  <c r="K803" i="1" s="1"/>
  <c r="L803" i="1" s="1"/>
  <c r="L802" i="1"/>
  <c r="J801" i="1"/>
  <c r="I801" i="1"/>
  <c r="K801" i="1" s="1"/>
  <c r="L801" i="1" s="1"/>
  <c r="L800" i="1"/>
  <c r="L799" i="1"/>
  <c r="L798" i="1"/>
  <c r="J797" i="1"/>
  <c r="I797" i="1"/>
  <c r="K797" i="1" s="1"/>
  <c r="L797" i="1" s="1"/>
  <c r="L796" i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J788" i="1"/>
  <c r="I788" i="1"/>
  <c r="K788" i="1" s="1"/>
  <c r="L788" i="1" s="1"/>
  <c r="L787" i="1"/>
  <c r="L786" i="1"/>
  <c r="J785" i="1"/>
  <c r="I785" i="1"/>
  <c r="K785" i="1" s="1"/>
  <c r="L785" i="1" s="1"/>
  <c r="L784" i="1"/>
  <c r="L783" i="1"/>
  <c r="L782" i="1"/>
  <c r="L781" i="1"/>
  <c r="J780" i="1"/>
  <c r="I780" i="1"/>
  <c r="K780" i="1" s="1"/>
  <c r="L780" i="1" s="1"/>
  <c r="J779" i="1"/>
  <c r="I779" i="1"/>
  <c r="K779" i="1" s="1"/>
  <c r="L779" i="1" s="1"/>
  <c r="L778" i="1"/>
  <c r="J777" i="1"/>
  <c r="I777" i="1"/>
  <c r="K777" i="1" s="1"/>
  <c r="L777" i="1" s="1"/>
  <c r="J776" i="1"/>
  <c r="I776" i="1"/>
  <c r="K776" i="1" s="1"/>
  <c r="L776" i="1" s="1"/>
  <c r="L775" i="1"/>
  <c r="J774" i="1"/>
  <c r="I774" i="1"/>
  <c r="K774" i="1" s="1"/>
  <c r="L774" i="1" s="1"/>
  <c r="J773" i="1"/>
  <c r="I773" i="1"/>
  <c r="K773" i="1" s="1"/>
  <c r="L773" i="1" s="1"/>
  <c r="L772" i="1"/>
  <c r="J771" i="1"/>
  <c r="I771" i="1"/>
  <c r="K771" i="1" s="1"/>
  <c r="L771" i="1" s="1"/>
  <c r="J770" i="1"/>
  <c r="I770" i="1"/>
  <c r="K770" i="1" s="1"/>
  <c r="L770" i="1" s="1"/>
  <c r="J769" i="1"/>
  <c r="I769" i="1"/>
  <c r="K769" i="1" s="1"/>
  <c r="L769" i="1" s="1"/>
  <c r="L768" i="1"/>
  <c r="L767" i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L763" i="1"/>
  <c r="J762" i="1"/>
  <c r="I762" i="1"/>
  <c r="K762" i="1" s="1"/>
  <c r="L762" i="1" s="1"/>
  <c r="L761" i="1"/>
  <c r="J760" i="1"/>
  <c r="I760" i="1"/>
  <c r="K760" i="1" s="1"/>
  <c r="L760" i="1" s="1"/>
  <c r="J759" i="1"/>
  <c r="I759" i="1"/>
  <c r="K759" i="1" s="1"/>
  <c r="L759" i="1" s="1"/>
  <c r="J758" i="1"/>
  <c r="I758" i="1"/>
  <c r="K758" i="1" s="1"/>
  <c r="L758" i="1" s="1"/>
  <c r="L757" i="1"/>
  <c r="L756" i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L752" i="1"/>
  <c r="J751" i="1"/>
  <c r="I751" i="1"/>
  <c r="K751" i="1" s="1"/>
  <c r="L751" i="1" s="1"/>
  <c r="L750" i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J744" i="1"/>
  <c r="I744" i="1"/>
  <c r="K744" i="1" s="1"/>
  <c r="L744" i="1" s="1"/>
  <c r="L743" i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L739" i="1"/>
  <c r="J738" i="1"/>
  <c r="I738" i="1"/>
  <c r="K738" i="1" s="1"/>
  <c r="L738" i="1" s="1"/>
  <c r="L737" i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L732" i="1"/>
  <c r="J731" i="1"/>
  <c r="I731" i="1"/>
  <c r="K731" i="1" s="1"/>
  <c r="L731" i="1" s="1"/>
  <c r="J730" i="1"/>
  <c r="I730" i="1"/>
  <c r="K730" i="1" s="1"/>
  <c r="L730" i="1" s="1"/>
  <c r="J729" i="1"/>
  <c r="I729" i="1"/>
  <c r="K729" i="1" s="1"/>
  <c r="L729" i="1" s="1"/>
  <c r="L664" i="1"/>
  <c r="J663" i="1"/>
  <c r="I663" i="1"/>
  <c r="K663" i="1" s="1"/>
  <c r="L663" i="1" s="1"/>
  <c r="L662" i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L657" i="1"/>
  <c r="J656" i="1"/>
  <c r="I656" i="1"/>
  <c r="K656" i="1" s="1"/>
  <c r="L656" i="1" s="1"/>
  <c r="J655" i="1"/>
  <c r="I655" i="1"/>
  <c r="K655" i="1" s="1"/>
  <c r="L655" i="1" s="1"/>
  <c r="J654" i="1"/>
  <c r="I654" i="1"/>
  <c r="K654" i="1" s="1"/>
  <c r="L654" i="1" s="1"/>
  <c r="L653" i="1"/>
  <c r="J652" i="1"/>
  <c r="I652" i="1"/>
  <c r="K652" i="1" s="1"/>
  <c r="L652" i="1" s="1"/>
  <c r="L651" i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L646" i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L642" i="1"/>
  <c r="J641" i="1"/>
  <c r="I641" i="1"/>
  <c r="K641" i="1" s="1"/>
  <c r="L641" i="1" s="1"/>
  <c r="L640" i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J631" i="1"/>
  <c r="I631" i="1"/>
  <c r="K631" i="1" s="1"/>
  <c r="L631" i="1" s="1"/>
  <c r="J630" i="1"/>
  <c r="I630" i="1"/>
  <c r="K630" i="1" s="1"/>
  <c r="L630" i="1" s="1"/>
  <c r="L629" i="1"/>
  <c r="J628" i="1"/>
  <c r="I628" i="1"/>
  <c r="K628" i="1" s="1"/>
  <c r="L628" i="1" s="1"/>
  <c r="L627" i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L622" i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L618" i="1"/>
  <c r="J617" i="1"/>
  <c r="I617" i="1"/>
  <c r="K617" i="1" s="1"/>
  <c r="L617" i="1" s="1"/>
  <c r="L616" i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J612" i="1"/>
  <c r="I612" i="1"/>
  <c r="K612" i="1" s="1"/>
  <c r="L612" i="1" s="1"/>
  <c r="L611" i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L607" i="1"/>
  <c r="J606" i="1"/>
  <c r="I606" i="1"/>
  <c r="K606" i="1" s="1"/>
  <c r="L606" i="1" s="1"/>
  <c r="L605" i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L600" i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L596" i="1"/>
  <c r="J595" i="1"/>
  <c r="I595" i="1"/>
  <c r="K595" i="1" s="1"/>
  <c r="L595" i="1" s="1"/>
  <c r="L594" i="1"/>
  <c r="L593" i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L587" i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L583" i="1"/>
  <c r="J582" i="1"/>
  <c r="I582" i="1"/>
  <c r="K582" i="1" s="1"/>
  <c r="L582" i="1" s="1"/>
  <c r="L581" i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L571" i="1"/>
  <c r="L570" i="1"/>
  <c r="L569" i="1"/>
  <c r="L568" i="1"/>
  <c r="L567" i="1"/>
  <c r="L566" i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8" i="1"/>
  <c r="I548" i="1"/>
  <c r="K548" i="1" s="1"/>
  <c r="L548" i="1" s="1"/>
  <c r="J547" i="1"/>
  <c r="I547" i="1"/>
  <c r="K547" i="1" s="1"/>
  <c r="L547" i="1" s="1"/>
  <c r="J549" i="1"/>
  <c r="I549" i="1"/>
  <c r="K549" i="1" s="1"/>
  <c r="L549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L360" i="1"/>
  <c r="J359" i="1"/>
  <c r="I359" i="1"/>
  <c r="J358" i="1"/>
  <c r="I358" i="1"/>
  <c r="J357" i="1"/>
  <c r="I357" i="1"/>
  <c r="J356" i="1"/>
  <c r="I356" i="1"/>
  <c r="L355" i="1"/>
  <c r="J354" i="1"/>
  <c r="I354" i="1"/>
  <c r="J353" i="1"/>
  <c r="I353" i="1"/>
  <c r="L352" i="1"/>
  <c r="J351" i="1"/>
  <c r="I351" i="1"/>
  <c r="J350" i="1"/>
  <c r="I350" i="1"/>
  <c r="L349" i="1"/>
  <c r="L348" i="1"/>
  <c r="J347" i="1"/>
  <c r="I347" i="1"/>
  <c r="J346" i="1"/>
  <c r="I346" i="1"/>
  <c r="L345" i="1"/>
  <c r="J344" i="1"/>
  <c r="I344" i="1"/>
  <c r="J343" i="1"/>
  <c r="I343" i="1"/>
  <c r="J342" i="1"/>
  <c r="I342" i="1"/>
  <c r="J341" i="1"/>
  <c r="I341" i="1"/>
  <c r="L340" i="1"/>
  <c r="J339" i="1"/>
  <c r="I339" i="1"/>
  <c r="J338" i="1"/>
  <c r="I338" i="1"/>
  <c r="L337" i="1"/>
  <c r="J336" i="1"/>
  <c r="I336" i="1"/>
  <c r="J335" i="1"/>
  <c r="I335" i="1"/>
  <c r="L334" i="1"/>
  <c r="L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L324" i="1"/>
  <c r="J323" i="1"/>
  <c r="I323" i="1"/>
  <c r="J322" i="1"/>
  <c r="I322" i="1"/>
  <c r="L321" i="1"/>
  <c r="J320" i="1"/>
  <c r="I320" i="1"/>
  <c r="J319" i="1"/>
  <c r="I319" i="1"/>
  <c r="L318" i="1"/>
  <c r="L317" i="1"/>
  <c r="J316" i="1"/>
  <c r="I316" i="1"/>
  <c r="J315" i="1"/>
  <c r="I315" i="1"/>
  <c r="L314" i="1"/>
  <c r="J313" i="1"/>
  <c r="I313" i="1"/>
  <c r="J312" i="1"/>
  <c r="I312" i="1"/>
  <c r="J311" i="1"/>
  <c r="I311" i="1"/>
  <c r="J310" i="1"/>
  <c r="I310" i="1"/>
  <c r="L309" i="1"/>
  <c r="J308" i="1"/>
  <c r="I308" i="1"/>
  <c r="J307" i="1"/>
  <c r="I307" i="1"/>
  <c r="L306" i="1"/>
  <c r="J305" i="1"/>
  <c r="I305" i="1"/>
  <c r="J304" i="1"/>
  <c r="I304" i="1"/>
  <c r="L303" i="1"/>
  <c r="L302" i="1"/>
  <c r="J301" i="1"/>
  <c r="I301" i="1"/>
  <c r="J300" i="1"/>
  <c r="I300" i="1"/>
  <c r="L299" i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L291" i="1"/>
  <c r="J290" i="1"/>
  <c r="I290" i="1"/>
  <c r="J289" i="1"/>
  <c r="I289" i="1"/>
  <c r="L288" i="1"/>
  <c r="L287" i="1"/>
  <c r="J286" i="1"/>
  <c r="I286" i="1"/>
  <c r="J285" i="1"/>
  <c r="I285" i="1"/>
  <c r="L284" i="1"/>
  <c r="L283" i="1"/>
  <c r="J282" i="1"/>
  <c r="I282" i="1"/>
  <c r="J281" i="1"/>
  <c r="I281" i="1"/>
  <c r="J280" i="1"/>
  <c r="I280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L271" i="1"/>
  <c r="L270" i="1"/>
  <c r="L269" i="1"/>
  <c r="J268" i="1"/>
  <c r="I268" i="1"/>
  <c r="J267" i="1"/>
  <c r="I267" i="1"/>
  <c r="J266" i="1"/>
  <c r="I266" i="1"/>
  <c r="L264" i="1"/>
  <c r="L263" i="1"/>
  <c r="L262" i="1"/>
  <c r="L261" i="1"/>
  <c r="L260" i="1"/>
  <c r="L259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0" i="1"/>
  <c r="I250" i="1"/>
  <c r="J249" i="1"/>
  <c r="I249" i="1"/>
  <c r="J248" i="1"/>
  <c r="I248" i="1"/>
  <c r="J247" i="1"/>
  <c r="I247" i="1"/>
  <c r="L246" i="1"/>
  <c r="L245" i="1"/>
  <c r="J243" i="1"/>
  <c r="I243" i="1"/>
  <c r="L242" i="1"/>
  <c r="L241" i="1"/>
  <c r="L240" i="1"/>
  <c r="L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L92" i="1"/>
  <c r="L91" i="1"/>
  <c r="L90" i="1"/>
  <c r="L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1406" i="1" l="1"/>
  <c r="L1406" i="1" s="1"/>
  <c r="K1404" i="1"/>
  <c r="L1404" i="1" s="1"/>
  <c r="K1399" i="1"/>
  <c r="L1399" i="1" s="1"/>
  <c r="K1396" i="1"/>
  <c r="L1396" i="1" s="1"/>
  <c r="K1394" i="1"/>
  <c r="L1394" i="1" s="1"/>
  <c r="K1392" i="1"/>
  <c r="L1392" i="1" s="1"/>
  <c r="K1405" i="1"/>
  <c r="L1405" i="1" s="1"/>
  <c r="K1401" i="1"/>
  <c r="L1401" i="1" s="1"/>
  <c r="K1398" i="1"/>
  <c r="L1398" i="1" s="1"/>
  <c r="K1395" i="1"/>
  <c r="L1395" i="1" s="1"/>
  <c r="K1393" i="1"/>
  <c r="L1393" i="1" s="1"/>
  <c r="K3453" i="1"/>
  <c r="L3453" i="1" s="1"/>
  <c r="K3454" i="1"/>
  <c r="L3454" i="1" s="1"/>
  <c r="K3455" i="1"/>
  <c r="L3455" i="1" s="1"/>
  <c r="K3456" i="1"/>
  <c r="L3456" i="1" s="1"/>
  <c r="K281" i="1"/>
  <c r="L281" i="1" s="1"/>
  <c r="K273" i="1"/>
  <c r="L273" i="1" s="1"/>
  <c r="K268" i="1"/>
  <c r="L268" i="1" s="1"/>
  <c r="K256" i="1"/>
  <c r="L256" i="1" s="1"/>
  <c r="K253" i="1"/>
  <c r="L253" i="1" s="1"/>
  <c r="K248" i="1"/>
  <c r="L248" i="1" s="1"/>
  <c r="K226" i="1"/>
  <c r="L226" i="1" s="1"/>
  <c r="K221" i="1"/>
  <c r="L221" i="1" s="1"/>
  <c r="K217" i="1"/>
  <c r="L217" i="1" s="1"/>
  <c r="K207" i="1"/>
  <c r="L207" i="1" s="1"/>
  <c r="K203" i="1"/>
  <c r="L203" i="1" s="1"/>
  <c r="K199" i="1"/>
  <c r="L199" i="1" s="1"/>
  <c r="K195" i="1"/>
  <c r="L195" i="1" s="1"/>
  <c r="K191" i="1"/>
  <c r="L191" i="1" s="1"/>
  <c r="K187" i="1"/>
  <c r="L187" i="1" s="1"/>
  <c r="K1390" i="1"/>
  <c r="L1390" i="1" s="1"/>
  <c r="K1388" i="1"/>
  <c r="L1388" i="1" s="1"/>
  <c r="K1382" i="1"/>
  <c r="L1382" i="1" s="1"/>
  <c r="K1379" i="1"/>
  <c r="L1379" i="1" s="1"/>
  <c r="K1377" i="1"/>
  <c r="L1377" i="1" s="1"/>
  <c r="K1375" i="1"/>
  <c r="L1375" i="1" s="1"/>
  <c r="K1372" i="1"/>
  <c r="L1372" i="1" s="1"/>
  <c r="K1369" i="1"/>
  <c r="L1369" i="1" s="1"/>
  <c r="K1365" i="1"/>
  <c r="L1365" i="1" s="1"/>
  <c r="K1363" i="1"/>
  <c r="L1363" i="1" s="1"/>
  <c r="K1361" i="1"/>
  <c r="L1361" i="1" s="1"/>
  <c r="K1357" i="1"/>
  <c r="L1357" i="1" s="1"/>
  <c r="K1354" i="1"/>
  <c r="L1354" i="1" s="1"/>
  <c r="K1351" i="1"/>
  <c r="L1351" i="1" s="1"/>
  <c r="K1349" i="1"/>
  <c r="L1349" i="1" s="1"/>
  <c r="K1346" i="1"/>
  <c r="L1346" i="1" s="1"/>
  <c r="K1344" i="1"/>
  <c r="L1344" i="1" s="1"/>
  <c r="K1338" i="1"/>
  <c r="L1338" i="1" s="1"/>
  <c r="K1334" i="1"/>
  <c r="L1334" i="1" s="1"/>
  <c r="K1332" i="1"/>
  <c r="L1332" i="1" s="1"/>
  <c r="K1329" i="1"/>
  <c r="L1329" i="1" s="1"/>
  <c r="K1326" i="1"/>
  <c r="L1326" i="1" s="1"/>
  <c r="K1323" i="1"/>
  <c r="L1323" i="1" s="1"/>
  <c r="K1321" i="1"/>
  <c r="L1321" i="1" s="1"/>
  <c r="K1319" i="1"/>
  <c r="L1319" i="1" s="1"/>
  <c r="K1317" i="1"/>
  <c r="L1317" i="1" s="1"/>
  <c r="K1313" i="1"/>
  <c r="L1313" i="1" s="1"/>
  <c r="K1310" i="1"/>
  <c r="L1310" i="1" s="1"/>
  <c r="K1307" i="1"/>
  <c r="L1307" i="1" s="1"/>
  <c r="K1305" i="1"/>
  <c r="L1305" i="1" s="1"/>
  <c r="K1302" i="1"/>
  <c r="L1302" i="1" s="1"/>
  <c r="K1300" i="1"/>
  <c r="L1300" i="1" s="1"/>
  <c r="K1292" i="1"/>
  <c r="L1292" i="1" s="1"/>
  <c r="K1289" i="1"/>
  <c r="L1289" i="1" s="1"/>
  <c r="K1287" i="1"/>
  <c r="L1287" i="1" s="1"/>
  <c r="K1284" i="1"/>
  <c r="L1284" i="1" s="1"/>
  <c r="K1281" i="1"/>
  <c r="L1281" i="1" s="1"/>
  <c r="K1278" i="1"/>
  <c r="L1278" i="1" s="1"/>
  <c r="K358" i="1"/>
  <c r="L358" i="1" s="1"/>
  <c r="K354" i="1"/>
  <c r="L354" i="1" s="1"/>
  <c r="K350" i="1"/>
  <c r="L350" i="1" s="1"/>
  <c r="K344" i="1"/>
  <c r="L344" i="1" s="1"/>
  <c r="K341" i="1"/>
  <c r="L341" i="1" s="1"/>
  <c r="K336" i="1"/>
  <c r="L336" i="1" s="1"/>
  <c r="K331" i="1"/>
  <c r="L331" i="1" s="1"/>
  <c r="K327" i="1"/>
  <c r="L327" i="1" s="1"/>
  <c r="K323" i="1"/>
  <c r="L323" i="1" s="1"/>
  <c r="K319" i="1"/>
  <c r="L319" i="1" s="1"/>
  <c r="K313" i="1"/>
  <c r="L313" i="1" s="1"/>
  <c r="K310" i="1"/>
  <c r="L310" i="1" s="1"/>
  <c r="K305" i="1"/>
  <c r="L305" i="1" s="1"/>
  <c r="K300" i="1"/>
  <c r="L300" i="1" s="1"/>
  <c r="K296" i="1"/>
  <c r="L296" i="1" s="1"/>
  <c r="K292" i="1"/>
  <c r="L292" i="1" s="1"/>
  <c r="K286" i="1"/>
  <c r="L286" i="1" s="1"/>
  <c r="K280" i="1"/>
  <c r="L280" i="1" s="1"/>
  <c r="K275" i="1"/>
  <c r="L275" i="1" s="1"/>
  <c r="K267" i="1"/>
  <c r="L267" i="1" s="1"/>
  <c r="K255" i="1"/>
  <c r="L255" i="1" s="1"/>
  <c r="K250" i="1"/>
  <c r="L250" i="1" s="1"/>
  <c r="K243" i="1"/>
  <c r="L243" i="1" s="1"/>
  <c r="K227" i="1"/>
  <c r="L227" i="1" s="1"/>
  <c r="K222" i="1"/>
  <c r="L222" i="1" s="1"/>
  <c r="K218" i="1"/>
  <c r="L218" i="1" s="1"/>
  <c r="K208" i="1"/>
  <c r="L208" i="1" s="1"/>
  <c r="K204" i="1"/>
  <c r="L204" i="1" s="1"/>
  <c r="K200" i="1"/>
  <c r="L200" i="1" s="1"/>
  <c r="K196" i="1"/>
  <c r="L196" i="1" s="1"/>
  <c r="K192" i="1"/>
  <c r="L192" i="1" s="1"/>
  <c r="K188" i="1"/>
  <c r="L188" i="1" s="1"/>
  <c r="K184" i="1"/>
  <c r="L184" i="1" s="1"/>
  <c r="K1389" i="1"/>
  <c r="L1389" i="1" s="1"/>
  <c r="K1387" i="1"/>
  <c r="L1387" i="1" s="1"/>
  <c r="K1380" i="1"/>
  <c r="L1380" i="1" s="1"/>
  <c r="K1378" i="1"/>
  <c r="L1378" i="1" s="1"/>
  <c r="K1376" i="1"/>
  <c r="L1376" i="1" s="1"/>
  <c r="K1373" i="1"/>
  <c r="L1373" i="1" s="1"/>
  <c r="K1370" i="1"/>
  <c r="L1370" i="1" s="1"/>
  <c r="K1366" i="1"/>
  <c r="L1366" i="1" s="1"/>
  <c r="K1364" i="1"/>
  <c r="L1364" i="1" s="1"/>
  <c r="K1362" i="1"/>
  <c r="L1362" i="1" s="1"/>
  <c r="K1360" i="1"/>
  <c r="L1360" i="1" s="1"/>
  <c r="K1355" i="1"/>
  <c r="L1355" i="1" s="1"/>
  <c r="K1352" i="1"/>
  <c r="L1352" i="1" s="1"/>
  <c r="K1350" i="1"/>
  <c r="L1350" i="1" s="1"/>
  <c r="K1348" i="1"/>
  <c r="L1348" i="1" s="1"/>
  <c r="K1345" i="1"/>
  <c r="L1345" i="1" s="1"/>
  <c r="K1343" i="1"/>
  <c r="L1343" i="1" s="1"/>
  <c r="K1335" i="1"/>
  <c r="L1335" i="1" s="1"/>
  <c r="K1333" i="1"/>
  <c r="L1333" i="1" s="1"/>
  <c r="K1331" i="1"/>
  <c r="L1331" i="1" s="1"/>
  <c r="K1328" i="1"/>
  <c r="L1328" i="1" s="1"/>
  <c r="K1325" i="1"/>
  <c r="L1325" i="1" s="1"/>
  <c r="K1322" i="1"/>
  <c r="L1322" i="1" s="1"/>
  <c r="K1320" i="1"/>
  <c r="L1320" i="1" s="1"/>
  <c r="K1318" i="1"/>
  <c r="L1318" i="1" s="1"/>
  <c r="K1316" i="1"/>
  <c r="L1316" i="1" s="1"/>
  <c r="K1311" i="1"/>
  <c r="L1311" i="1" s="1"/>
  <c r="K1308" i="1"/>
  <c r="L1308" i="1" s="1"/>
  <c r="K1306" i="1"/>
  <c r="L1306" i="1" s="1"/>
  <c r="K1304" i="1"/>
  <c r="L1304" i="1" s="1"/>
  <c r="K1301" i="1"/>
  <c r="L1301" i="1" s="1"/>
  <c r="K1294" i="1"/>
  <c r="L1294" i="1" s="1"/>
  <c r="K1290" i="1"/>
  <c r="L1290" i="1" s="1"/>
  <c r="K1288" i="1"/>
  <c r="L1288" i="1" s="1"/>
  <c r="K1285" i="1"/>
  <c r="L1285" i="1" s="1"/>
  <c r="K1282" i="1"/>
  <c r="L1282" i="1" s="1"/>
  <c r="K1279" i="1"/>
  <c r="L1279" i="1" s="1"/>
  <c r="K1277" i="1"/>
  <c r="L1277" i="1" s="1"/>
  <c r="K361" i="1"/>
  <c r="L361" i="1" s="1"/>
  <c r="K357" i="1"/>
  <c r="L357" i="1" s="1"/>
  <c r="K353" i="1"/>
  <c r="L353" i="1" s="1"/>
  <c r="K347" i="1"/>
  <c r="L347" i="1" s="1"/>
  <c r="K343" i="1"/>
  <c r="L343" i="1" s="1"/>
  <c r="K339" i="1"/>
  <c r="L339" i="1" s="1"/>
  <c r="K335" i="1"/>
  <c r="L335" i="1" s="1"/>
  <c r="K329" i="1"/>
  <c r="L329" i="1" s="1"/>
  <c r="K326" i="1"/>
  <c r="L326" i="1" s="1"/>
  <c r="K322" i="1"/>
  <c r="L322" i="1" s="1"/>
  <c r="K316" i="1"/>
  <c r="L316" i="1" s="1"/>
  <c r="K315" i="1"/>
  <c r="L315" i="1" s="1"/>
  <c r="K311" i="1"/>
  <c r="L311" i="1" s="1"/>
  <c r="K307" i="1"/>
  <c r="L307" i="1" s="1"/>
  <c r="K301" i="1"/>
  <c r="L301" i="1" s="1"/>
  <c r="K297" i="1"/>
  <c r="L297" i="1" s="1"/>
  <c r="K293" i="1"/>
  <c r="L293" i="1" s="1"/>
  <c r="K289" i="1"/>
  <c r="L289" i="1" s="1"/>
  <c r="K278" i="1"/>
  <c r="L278" i="1" s="1"/>
  <c r="K274" i="1"/>
  <c r="L274" i="1" s="1"/>
  <c r="K266" i="1"/>
  <c r="L266" i="1" s="1"/>
  <c r="K254" i="1"/>
  <c r="L254" i="1" s="1"/>
  <c r="K249" i="1"/>
  <c r="L249" i="1" s="1"/>
  <c r="K230" i="1"/>
  <c r="L230" i="1" s="1"/>
  <c r="K229" i="1"/>
  <c r="L229" i="1" s="1"/>
  <c r="K225" i="1"/>
  <c r="L225" i="1" s="1"/>
  <c r="K220" i="1"/>
  <c r="L220" i="1" s="1"/>
  <c r="K216" i="1"/>
  <c r="L216" i="1" s="1"/>
  <c r="K202" i="1"/>
  <c r="L202" i="1" s="1"/>
  <c r="K198" i="1"/>
  <c r="L198" i="1" s="1"/>
  <c r="K197" i="1"/>
  <c r="L197" i="1" s="1"/>
  <c r="K193" i="1"/>
  <c r="L193" i="1" s="1"/>
  <c r="K189" i="1"/>
  <c r="L189" i="1" s="1"/>
  <c r="K185" i="1"/>
  <c r="L185" i="1" s="1"/>
  <c r="K359" i="1"/>
  <c r="L359" i="1" s="1"/>
  <c r="K356" i="1"/>
  <c r="L356" i="1" s="1"/>
  <c r="K351" i="1"/>
  <c r="L351" i="1" s="1"/>
  <c r="K346" i="1"/>
  <c r="L346" i="1" s="1"/>
  <c r="K342" i="1"/>
  <c r="L342" i="1" s="1"/>
  <c r="K338" i="1"/>
  <c r="L338" i="1" s="1"/>
  <c r="K332" i="1"/>
  <c r="L332" i="1" s="1"/>
  <c r="K328" i="1"/>
  <c r="L328" i="1" s="1"/>
  <c r="K325" i="1"/>
  <c r="L325" i="1" s="1"/>
  <c r="K320" i="1"/>
  <c r="L320" i="1" s="1"/>
  <c r="K312" i="1"/>
  <c r="L312" i="1" s="1"/>
  <c r="K308" i="1"/>
  <c r="L308" i="1" s="1"/>
  <c r="K304" i="1"/>
  <c r="L304" i="1" s="1"/>
  <c r="K298" i="1"/>
  <c r="L298" i="1" s="1"/>
  <c r="K295" i="1"/>
  <c r="L295" i="1" s="1"/>
  <c r="K290" i="1"/>
  <c r="L290" i="1" s="1"/>
  <c r="K285" i="1"/>
  <c r="L285" i="1" s="1"/>
  <c r="K282" i="1"/>
  <c r="L282" i="1" s="1"/>
  <c r="K277" i="1"/>
  <c r="L277" i="1" s="1"/>
  <c r="K276" i="1"/>
  <c r="L276" i="1" s="1"/>
  <c r="K257" i="1"/>
  <c r="L257" i="1" s="1"/>
  <c r="K252" i="1"/>
  <c r="L252" i="1" s="1"/>
  <c r="K247" i="1"/>
  <c r="L247" i="1" s="1"/>
  <c r="K228" i="1"/>
  <c r="L228" i="1" s="1"/>
  <c r="K224" i="1"/>
  <c r="L224" i="1" s="1"/>
  <c r="K219" i="1"/>
  <c r="L219" i="1" s="1"/>
  <c r="K209" i="1"/>
  <c r="L209" i="1" s="1"/>
  <c r="K206" i="1"/>
  <c r="L206" i="1" s="1"/>
  <c r="K205" i="1"/>
  <c r="L205" i="1" s="1"/>
  <c r="K201" i="1"/>
  <c r="L201" i="1" s="1"/>
  <c r="K194" i="1"/>
  <c r="L194" i="1" s="1"/>
  <c r="K190" i="1"/>
  <c r="L190" i="1" s="1"/>
  <c r="K186" i="1"/>
  <c r="L186" i="1" s="1"/>
  <c r="K3624" i="1"/>
  <c r="L3624" i="1" s="1"/>
  <c r="K3621" i="1"/>
  <c r="L3621" i="1" s="1"/>
  <c r="K3617" i="1"/>
  <c r="L3617" i="1" s="1"/>
  <c r="K3614" i="1"/>
  <c r="L3614" i="1" s="1"/>
  <c r="K3610" i="1"/>
  <c r="L3610" i="1" s="1"/>
  <c r="K3606" i="1"/>
  <c r="L3606" i="1" s="1"/>
  <c r="K3603" i="1"/>
  <c r="L3603" i="1" s="1"/>
  <c r="K3598" i="1"/>
  <c r="L3598" i="1" s="1"/>
  <c r="K3595" i="1"/>
  <c r="L3595" i="1" s="1"/>
  <c r="K3592" i="1"/>
  <c r="L3592" i="1" s="1"/>
  <c r="K3588" i="1"/>
  <c r="L3588" i="1" s="1"/>
  <c r="K3585" i="1"/>
  <c r="L3585" i="1" s="1"/>
  <c r="K3582" i="1"/>
  <c r="L3582" i="1" s="1"/>
  <c r="K3579" i="1"/>
  <c r="L3579" i="1" s="1"/>
  <c r="K3575" i="1"/>
  <c r="L3575" i="1" s="1"/>
  <c r="K3571" i="1"/>
  <c r="L3571" i="1" s="1"/>
  <c r="K3567" i="1"/>
  <c r="L3567" i="1" s="1"/>
  <c r="K3564" i="1"/>
  <c r="L3564" i="1" s="1"/>
  <c r="K3560" i="1"/>
  <c r="L3560" i="1" s="1"/>
  <c r="K3554" i="1"/>
  <c r="L3554" i="1" s="1"/>
  <c r="K3551" i="1"/>
  <c r="L3551" i="1" s="1"/>
  <c r="K3548" i="1"/>
  <c r="L3548" i="1" s="1"/>
  <c r="K3544" i="1"/>
  <c r="L3544" i="1" s="1"/>
  <c r="K3541" i="1"/>
  <c r="L3541" i="1" s="1"/>
  <c r="K3538" i="1"/>
  <c r="L3538" i="1" s="1"/>
  <c r="K3535" i="1"/>
  <c r="L3535" i="1" s="1"/>
  <c r="K3532" i="1"/>
  <c r="L3532" i="1" s="1"/>
  <c r="K3528" i="1"/>
  <c r="L3528" i="1" s="1"/>
  <c r="K3469" i="1"/>
  <c r="L3469" i="1" s="1"/>
  <c r="K2376" i="1"/>
  <c r="L2376" i="1" s="1"/>
  <c r="K15" i="1"/>
  <c r="L15" i="1" s="1"/>
  <c r="K13" i="1"/>
  <c r="L13" i="1" s="1"/>
  <c r="K10" i="1"/>
  <c r="L10" i="1" s="1"/>
  <c r="K8" i="1"/>
  <c r="L8" i="1" s="1"/>
  <c r="K3626" i="1"/>
  <c r="L3626" i="1" s="1"/>
  <c r="K3623" i="1"/>
  <c r="L3623" i="1" s="1"/>
  <c r="K3620" i="1"/>
  <c r="L3620" i="1" s="1"/>
  <c r="K3616" i="1"/>
  <c r="L3616" i="1" s="1"/>
  <c r="K3613" i="1"/>
  <c r="L3613" i="1" s="1"/>
  <c r="K3609" i="1"/>
  <c r="L3609" i="1" s="1"/>
  <c r="K3605" i="1"/>
  <c r="L3605" i="1" s="1"/>
  <c r="K3601" i="1"/>
  <c r="L3601" i="1" s="1"/>
  <c r="K3597" i="1"/>
  <c r="L3597" i="1" s="1"/>
  <c r="K3594" i="1"/>
  <c r="L3594" i="1" s="1"/>
  <c r="K3590" i="1"/>
  <c r="L3590" i="1" s="1"/>
  <c r="K3587" i="1"/>
  <c r="L3587" i="1" s="1"/>
  <c r="K3584" i="1"/>
  <c r="L3584" i="1" s="1"/>
  <c r="K3581" i="1"/>
  <c r="L3581" i="1" s="1"/>
  <c r="K3578" i="1"/>
  <c r="L3578" i="1" s="1"/>
  <c r="K3573" i="1"/>
  <c r="L3573" i="1" s="1"/>
  <c r="K3570" i="1"/>
  <c r="L3570" i="1" s="1"/>
  <c r="K3566" i="1"/>
  <c r="L3566" i="1" s="1"/>
  <c r="K3562" i="1"/>
  <c r="L3562" i="1" s="1"/>
  <c r="K3557" i="1"/>
  <c r="L3557" i="1" s="1"/>
  <c r="K3553" i="1"/>
  <c r="L3553" i="1" s="1"/>
  <c r="K3550" i="1"/>
  <c r="L3550" i="1" s="1"/>
  <c r="K3546" i="1"/>
  <c r="L3546" i="1" s="1"/>
  <c r="K3543" i="1"/>
  <c r="L3543" i="1" s="1"/>
  <c r="K3540" i="1"/>
  <c r="L3540" i="1" s="1"/>
  <c r="K3537" i="1"/>
  <c r="L3537" i="1" s="1"/>
  <c r="K3534" i="1"/>
  <c r="L3534" i="1" s="1"/>
  <c r="K3531" i="1"/>
  <c r="L3531" i="1" s="1"/>
  <c r="K3527" i="1"/>
  <c r="L3527" i="1" s="1"/>
  <c r="K3523" i="1"/>
  <c r="L3523" i="1" s="1"/>
  <c r="K44" i="1"/>
  <c r="L44" i="1" s="1"/>
  <c r="K36" i="1"/>
  <c r="L36" i="1" s="1"/>
  <c r="K18" i="1"/>
  <c r="L18" i="1" s="1"/>
  <c r="K16" i="1"/>
  <c r="L16" i="1" s="1"/>
  <c r="K14" i="1"/>
  <c r="L14" i="1" s="1"/>
  <c r="K12" i="1"/>
  <c r="L12" i="1" s="1"/>
  <c r="K9" i="1"/>
  <c r="L9" i="1" s="1"/>
  <c r="K3625" i="1"/>
  <c r="L3625" i="1" s="1"/>
  <c r="K3622" i="1"/>
  <c r="L3622" i="1" s="1"/>
  <c r="K3619" i="1"/>
  <c r="L3619" i="1" s="1"/>
  <c r="K3615" i="1"/>
  <c r="L3615" i="1" s="1"/>
  <c r="K3611" i="1"/>
  <c r="L3611" i="1" s="1"/>
  <c r="K3608" i="1"/>
  <c r="L3608" i="1" s="1"/>
  <c r="K3604" i="1"/>
  <c r="L3604" i="1" s="1"/>
  <c r="K3599" i="1"/>
  <c r="L3599" i="1" s="1"/>
  <c r="K3596" i="1"/>
  <c r="L3596" i="1" s="1"/>
  <c r="K3593" i="1"/>
  <c r="L3593" i="1" s="1"/>
  <c r="K3589" i="1"/>
  <c r="L3589" i="1" s="1"/>
  <c r="K3586" i="1"/>
  <c r="L3586" i="1" s="1"/>
  <c r="K3583" i="1"/>
  <c r="L3583" i="1" s="1"/>
  <c r="K3580" i="1"/>
  <c r="L3580" i="1" s="1"/>
  <c r="K3576" i="1"/>
  <c r="L3576" i="1" s="1"/>
  <c r="K3572" i="1"/>
  <c r="L3572" i="1" s="1"/>
  <c r="K3569" i="1"/>
  <c r="L3569" i="1" s="1"/>
  <c r="K3565" i="1"/>
  <c r="L3565" i="1" s="1"/>
  <c r="K3561" i="1"/>
  <c r="L3561" i="1" s="1"/>
  <c r="K3555" i="1"/>
  <c r="L3555" i="1" s="1"/>
  <c r="K3552" i="1"/>
  <c r="L3552" i="1" s="1"/>
  <c r="K3549" i="1"/>
  <c r="L3549" i="1" s="1"/>
  <c r="K3545" i="1"/>
  <c r="L3545" i="1" s="1"/>
  <c r="K3542" i="1"/>
  <c r="L3542" i="1" s="1"/>
  <c r="K3539" i="1"/>
  <c r="L3539" i="1" s="1"/>
  <c r="K3536" i="1"/>
  <c r="L3536" i="1" s="1"/>
  <c r="K3533" i="1"/>
  <c r="L3533" i="1" s="1"/>
  <c r="K3529" i="1"/>
  <c r="L3529" i="1" s="1"/>
  <c r="K3526" i="1"/>
  <c r="L3526" i="1" s="1"/>
  <c r="K3525" i="1"/>
  <c r="L3525" i="1" s="1"/>
  <c r="K3520" i="1"/>
  <c r="L3520" i="1" s="1"/>
  <c r="K3516" i="1"/>
  <c r="L3516" i="1" s="1"/>
  <c r="K3511" i="1"/>
  <c r="L3511" i="1" s="1"/>
  <c r="K3508" i="1"/>
  <c r="L3508" i="1" s="1"/>
  <c r="K3505" i="1"/>
  <c r="L3505" i="1" s="1"/>
  <c r="K3501" i="1"/>
  <c r="L3501" i="1" s="1"/>
  <c r="K3498" i="1"/>
  <c r="L3498" i="1" s="1"/>
  <c r="K3495" i="1"/>
  <c r="L3495" i="1" s="1"/>
  <c r="K3493" i="1"/>
  <c r="L3493" i="1" s="1"/>
  <c r="K3490" i="1"/>
  <c r="L3490" i="1" s="1"/>
  <c r="K3485" i="1"/>
  <c r="L3485" i="1" s="1"/>
  <c r="K3482" i="1"/>
  <c r="L3482" i="1" s="1"/>
  <c r="K3477" i="1"/>
  <c r="L3477" i="1" s="1"/>
  <c r="K3472" i="1"/>
  <c r="L3472" i="1" s="1"/>
  <c r="K3466" i="1"/>
  <c r="L3466" i="1" s="1"/>
  <c r="K3464" i="1"/>
  <c r="L3464" i="1" s="1"/>
  <c r="K3462" i="1"/>
  <c r="L3462" i="1" s="1"/>
  <c r="K3460" i="1"/>
  <c r="L3460" i="1" s="1"/>
  <c r="K2423" i="1"/>
  <c r="L2423" i="1" s="1"/>
  <c r="K2408" i="1"/>
  <c r="L2408" i="1" s="1"/>
  <c r="K2404" i="1"/>
  <c r="L2404" i="1" s="1"/>
  <c r="K2402" i="1"/>
  <c r="L2402" i="1" s="1"/>
  <c r="K2389" i="1"/>
  <c r="L2389" i="1" s="1"/>
  <c r="K2388" i="1"/>
  <c r="L2388" i="1" s="1"/>
  <c r="K2381" i="1"/>
  <c r="L2381" i="1" s="1"/>
  <c r="K2425" i="1"/>
  <c r="L2425" i="1" s="1"/>
  <c r="K2420" i="1"/>
  <c r="L2420" i="1" s="1"/>
  <c r="K2419" i="1"/>
  <c r="L2419" i="1" s="1"/>
  <c r="K2416" i="1"/>
  <c r="L2416" i="1" s="1"/>
  <c r="K2415" i="1"/>
  <c r="L2415" i="1" s="1"/>
  <c r="K2407" i="1"/>
  <c r="L2407" i="1" s="1"/>
  <c r="K2399" i="1"/>
  <c r="L2399" i="1" s="1"/>
  <c r="K2392" i="1"/>
  <c r="L2392" i="1" s="1"/>
  <c r="K2382" i="1"/>
  <c r="L2382" i="1" s="1"/>
  <c r="K2377" i="1"/>
  <c r="L2377" i="1" s="1"/>
  <c r="K183" i="1"/>
  <c r="L183" i="1" s="1"/>
  <c r="K181" i="1"/>
  <c r="L181" i="1" s="1"/>
  <c r="K179" i="1"/>
  <c r="L179" i="1" s="1"/>
  <c r="K177" i="1"/>
  <c r="L177" i="1" s="1"/>
  <c r="K175" i="1"/>
  <c r="L175" i="1" s="1"/>
  <c r="K173" i="1"/>
  <c r="L173" i="1" s="1"/>
  <c r="K171" i="1"/>
  <c r="L171" i="1" s="1"/>
  <c r="K169" i="1"/>
  <c r="L169" i="1" s="1"/>
  <c r="K167" i="1"/>
  <c r="L167" i="1" s="1"/>
  <c r="K165" i="1"/>
  <c r="L165" i="1" s="1"/>
  <c r="K162" i="1"/>
  <c r="L162" i="1" s="1"/>
  <c r="K160" i="1"/>
  <c r="L160" i="1" s="1"/>
  <c r="K158" i="1"/>
  <c r="L158" i="1" s="1"/>
  <c r="K156" i="1"/>
  <c r="L156" i="1" s="1"/>
  <c r="K154" i="1"/>
  <c r="L154" i="1" s="1"/>
  <c r="K152" i="1"/>
  <c r="L152" i="1" s="1"/>
  <c r="K150" i="1"/>
  <c r="L150" i="1" s="1"/>
  <c r="K148" i="1"/>
  <c r="L148" i="1" s="1"/>
  <c r="K146" i="1"/>
  <c r="L146" i="1" s="1"/>
  <c r="K143" i="1"/>
  <c r="L143" i="1" s="1"/>
  <c r="K141" i="1"/>
  <c r="L141" i="1" s="1"/>
  <c r="K138" i="1"/>
  <c r="L138" i="1" s="1"/>
  <c r="K136" i="1"/>
  <c r="L136" i="1" s="1"/>
  <c r="K134" i="1"/>
  <c r="L134" i="1" s="1"/>
  <c r="K132" i="1"/>
  <c r="L132" i="1" s="1"/>
  <c r="K130" i="1"/>
  <c r="L130" i="1" s="1"/>
  <c r="K128" i="1"/>
  <c r="L128" i="1" s="1"/>
  <c r="K120" i="1"/>
  <c r="L120" i="1" s="1"/>
  <c r="K118" i="1"/>
  <c r="L118" i="1" s="1"/>
  <c r="K116" i="1"/>
  <c r="L116" i="1" s="1"/>
  <c r="K114" i="1"/>
  <c r="L114" i="1" s="1"/>
  <c r="K112" i="1"/>
  <c r="L112" i="1" s="1"/>
  <c r="K109" i="1"/>
  <c r="L109" i="1" s="1"/>
  <c r="K107" i="1"/>
  <c r="L107" i="1" s="1"/>
  <c r="K105" i="1"/>
  <c r="L105" i="1" s="1"/>
  <c r="K103" i="1"/>
  <c r="L103" i="1" s="1"/>
  <c r="K101" i="1"/>
  <c r="L101" i="1" s="1"/>
  <c r="K97" i="1"/>
  <c r="L97" i="1" s="1"/>
  <c r="K95" i="1"/>
  <c r="L95" i="1" s="1"/>
  <c r="K88" i="1"/>
  <c r="L88" i="1" s="1"/>
  <c r="K86" i="1"/>
  <c r="L86" i="1" s="1"/>
  <c r="K84" i="1"/>
  <c r="L84" i="1" s="1"/>
  <c r="K82" i="1"/>
  <c r="L82" i="1" s="1"/>
  <c r="K80" i="1"/>
  <c r="L80" i="1" s="1"/>
  <c r="K78" i="1"/>
  <c r="L78" i="1" s="1"/>
  <c r="K76" i="1"/>
  <c r="L76" i="1" s="1"/>
  <c r="K74" i="1"/>
  <c r="L74" i="1" s="1"/>
  <c r="K72" i="1"/>
  <c r="L72" i="1" s="1"/>
  <c r="K70" i="1"/>
  <c r="L70" i="1" s="1"/>
  <c r="K68" i="1"/>
  <c r="L68" i="1" s="1"/>
  <c r="K66" i="1"/>
  <c r="L66" i="1" s="1"/>
  <c r="K64" i="1"/>
  <c r="L64" i="1" s="1"/>
  <c r="K62" i="1"/>
  <c r="L62" i="1" s="1"/>
  <c r="K60" i="1"/>
  <c r="L60" i="1" s="1"/>
  <c r="K58" i="1"/>
  <c r="L58" i="1" s="1"/>
  <c r="K56" i="1"/>
  <c r="L56" i="1" s="1"/>
  <c r="K54" i="1"/>
  <c r="L54" i="1" s="1"/>
  <c r="K52" i="1"/>
  <c r="L52" i="1" s="1"/>
  <c r="K50" i="1"/>
  <c r="L50" i="1" s="1"/>
  <c r="K48" i="1"/>
  <c r="L48" i="1" s="1"/>
  <c r="K46" i="1"/>
  <c r="L46" i="1" s="1"/>
  <c r="K43" i="1"/>
  <c r="L43" i="1" s="1"/>
  <c r="K41" i="1"/>
  <c r="L41" i="1" s="1"/>
  <c r="K39" i="1"/>
  <c r="L39" i="1" s="1"/>
  <c r="K37" i="1"/>
  <c r="L37" i="1" s="1"/>
  <c r="K35" i="1"/>
  <c r="L35" i="1" s="1"/>
  <c r="K33" i="1"/>
  <c r="L33" i="1" s="1"/>
  <c r="K31" i="1"/>
  <c r="L31" i="1" s="1"/>
  <c r="K29" i="1"/>
  <c r="L29" i="1" s="1"/>
  <c r="K27" i="1"/>
  <c r="L27" i="1" s="1"/>
  <c r="K25" i="1"/>
  <c r="L25" i="1" s="1"/>
  <c r="K23" i="1"/>
  <c r="L23" i="1" s="1"/>
  <c r="K21" i="1"/>
  <c r="L21" i="1" s="1"/>
  <c r="K17" i="1"/>
  <c r="L17" i="1" s="1"/>
  <c r="K6" i="1"/>
  <c r="L6" i="1" s="1"/>
  <c r="K4" i="1"/>
  <c r="L4" i="1" s="1"/>
  <c r="K2" i="1"/>
  <c r="L2" i="1" s="1"/>
  <c r="K3521" i="1"/>
  <c r="L3521" i="1" s="1"/>
  <c r="K3518" i="1"/>
  <c r="L3518" i="1" s="1"/>
  <c r="K3513" i="1"/>
  <c r="L3513" i="1" s="1"/>
  <c r="K3509" i="1"/>
  <c r="L3509" i="1" s="1"/>
  <c r="K3506" i="1"/>
  <c r="L3506" i="1" s="1"/>
  <c r="K3502" i="1"/>
  <c r="L3502" i="1" s="1"/>
  <c r="K3499" i="1"/>
  <c r="L3499" i="1" s="1"/>
  <c r="K3496" i="1"/>
  <c r="L3496" i="1" s="1"/>
  <c r="K3492" i="1"/>
  <c r="L3492" i="1" s="1"/>
  <c r="K3489" i="1"/>
  <c r="L3489" i="1" s="1"/>
  <c r="K3484" i="1"/>
  <c r="L3484" i="1" s="1"/>
  <c r="K3481" i="1"/>
  <c r="L3481" i="1" s="1"/>
  <c r="K3476" i="1"/>
  <c r="L3476" i="1" s="1"/>
  <c r="K3471" i="1"/>
  <c r="L3471" i="1" s="1"/>
  <c r="K3465" i="1"/>
  <c r="L3465" i="1" s="1"/>
  <c r="K3463" i="1"/>
  <c r="L3463" i="1" s="1"/>
  <c r="K3461" i="1"/>
  <c r="L3461" i="1" s="1"/>
  <c r="K3457" i="1"/>
  <c r="L3457" i="1" s="1"/>
  <c r="K2426" i="1"/>
  <c r="L2426" i="1" s="1"/>
  <c r="K2421" i="1"/>
  <c r="L2421" i="1" s="1"/>
  <c r="K2417" i="1"/>
  <c r="L2417" i="1" s="1"/>
  <c r="K2410" i="1"/>
  <c r="L2410" i="1" s="1"/>
  <c r="K2405" i="1"/>
  <c r="L2405" i="1" s="1"/>
  <c r="K2400" i="1"/>
  <c r="L2400" i="1" s="1"/>
  <c r="K2390" i="1"/>
  <c r="L2390" i="1" s="1"/>
  <c r="K2384" i="1"/>
  <c r="L2384" i="1" s="1"/>
  <c r="K2378" i="1"/>
  <c r="L2378" i="1" s="1"/>
  <c r="K182" i="1"/>
  <c r="L182" i="1" s="1"/>
  <c r="K180" i="1"/>
  <c r="L180" i="1" s="1"/>
  <c r="K178" i="1"/>
  <c r="L178" i="1" s="1"/>
  <c r="K176" i="1"/>
  <c r="L176" i="1" s="1"/>
  <c r="K174" i="1"/>
  <c r="L174" i="1" s="1"/>
  <c r="K172" i="1"/>
  <c r="L172" i="1" s="1"/>
  <c r="K170" i="1"/>
  <c r="L170" i="1" s="1"/>
  <c r="K168" i="1"/>
  <c r="L168" i="1" s="1"/>
  <c r="K166" i="1"/>
  <c r="L166" i="1" s="1"/>
  <c r="K163" i="1"/>
  <c r="L163" i="1" s="1"/>
  <c r="K161" i="1"/>
  <c r="L161" i="1" s="1"/>
  <c r="K159" i="1"/>
  <c r="L159" i="1" s="1"/>
  <c r="K157" i="1"/>
  <c r="L157" i="1" s="1"/>
  <c r="K155" i="1"/>
  <c r="L155" i="1" s="1"/>
  <c r="K153" i="1"/>
  <c r="L153" i="1" s="1"/>
  <c r="K151" i="1"/>
  <c r="L151" i="1" s="1"/>
  <c r="K149" i="1"/>
  <c r="L149" i="1" s="1"/>
  <c r="K147" i="1"/>
  <c r="L147" i="1" s="1"/>
  <c r="K145" i="1"/>
  <c r="L145" i="1" s="1"/>
  <c r="K142" i="1"/>
  <c r="L142" i="1" s="1"/>
  <c r="K140" i="1"/>
  <c r="L140" i="1" s="1"/>
  <c r="K137" i="1"/>
  <c r="L137" i="1" s="1"/>
  <c r="K135" i="1"/>
  <c r="L135" i="1" s="1"/>
  <c r="K133" i="1"/>
  <c r="L133" i="1" s="1"/>
  <c r="K131" i="1"/>
  <c r="L131" i="1" s="1"/>
  <c r="K129" i="1"/>
  <c r="L129" i="1" s="1"/>
  <c r="K127" i="1"/>
  <c r="L127" i="1" s="1"/>
  <c r="K119" i="1"/>
  <c r="L119" i="1" s="1"/>
  <c r="K117" i="1"/>
  <c r="L117" i="1" s="1"/>
  <c r="K115" i="1"/>
  <c r="L115" i="1" s="1"/>
  <c r="K113" i="1"/>
  <c r="L113" i="1" s="1"/>
  <c r="K110" i="1"/>
  <c r="L110" i="1" s="1"/>
  <c r="K108" i="1"/>
  <c r="L108" i="1" s="1"/>
  <c r="K106" i="1"/>
  <c r="L106" i="1" s="1"/>
  <c r="K104" i="1"/>
  <c r="L104" i="1" s="1"/>
  <c r="K102" i="1"/>
  <c r="L102" i="1" s="1"/>
  <c r="K98" i="1"/>
  <c r="L98" i="1" s="1"/>
  <c r="K96" i="1"/>
  <c r="L96" i="1" s="1"/>
  <c r="K94" i="1"/>
  <c r="L94" i="1" s="1"/>
  <c r="K87" i="1"/>
  <c r="L87" i="1" s="1"/>
  <c r="K85" i="1"/>
  <c r="L85" i="1" s="1"/>
  <c r="K83" i="1"/>
  <c r="L83" i="1" s="1"/>
  <c r="K81" i="1"/>
  <c r="L81" i="1" s="1"/>
  <c r="K79" i="1"/>
  <c r="L79" i="1" s="1"/>
  <c r="K77" i="1"/>
  <c r="L77" i="1" s="1"/>
  <c r="K75" i="1"/>
  <c r="L75" i="1" s="1"/>
  <c r="K73" i="1"/>
  <c r="L73" i="1" s="1"/>
  <c r="K71" i="1"/>
  <c r="L71" i="1" s="1"/>
  <c r="K69" i="1"/>
  <c r="L69" i="1" s="1"/>
  <c r="K67" i="1"/>
  <c r="L67" i="1" s="1"/>
  <c r="K65" i="1"/>
  <c r="L65" i="1" s="1"/>
  <c r="K63" i="1"/>
  <c r="L63" i="1" s="1"/>
  <c r="K61" i="1"/>
  <c r="L61" i="1" s="1"/>
  <c r="K59" i="1"/>
  <c r="L59" i="1" s="1"/>
  <c r="K57" i="1"/>
  <c r="L57" i="1" s="1"/>
  <c r="K55" i="1"/>
  <c r="L55" i="1" s="1"/>
  <c r="K53" i="1"/>
  <c r="L53" i="1" s="1"/>
  <c r="K51" i="1"/>
  <c r="L51" i="1" s="1"/>
  <c r="K49" i="1"/>
  <c r="L49" i="1" s="1"/>
  <c r="K47" i="1"/>
  <c r="L47" i="1" s="1"/>
  <c r="K45" i="1"/>
  <c r="L45" i="1" s="1"/>
  <c r="K42" i="1"/>
  <c r="L42" i="1" s="1"/>
  <c r="K40" i="1"/>
  <c r="L40" i="1" s="1"/>
  <c r="K38" i="1"/>
  <c r="L38" i="1" s="1"/>
  <c r="K34" i="1"/>
  <c r="L34" i="1" s="1"/>
  <c r="K32" i="1"/>
  <c r="L32" i="1" s="1"/>
  <c r="K30" i="1"/>
  <c r="L30" i="1" s="1"/>
  <c r="K28" i="1"/>
  <c r="L28" i="1" s="1"/>
  <c r="K26" i="1"/>
  <c r="L26" i="1" s="1"/>
  <c r="K24" i="1"/>
  <c r="L24" i="1" s="1"/>
  <c r="K22" i="1"/>
  <c r="L22" i="1" s="1"/>
  <c r="K20" i="1"/>
  <c r="L20" i="1" s="1"/>
  <c r="K19" i="1"/>
  <c r="L19" i="1" s="1"/>
  <c r="K7" i="1"/>
  <c r="L7" i="1" s="1"/>
  <c r="K5" i="1"/>
  <c r="L5" i="1" s="1"/>
  <c r="K3" i="1"/>
  <c r="L3" i="1" s="1"/>
  <c r="K3519" i="1"/>
  <c r="L3519" i="1" s="1"/>
  <c r="K3515" i="1"/>
  <c r="L3515" i="1" s="1"/>
  <c r="K3510" i="1"/>
  <c r="L3510" i="1" s="1"/>
  <c r="K3507" i="1"/>
  <c r="L3507" i="1" s="1"/>
  <c r="K3504" i="1"/>
  <c r="L3504" i="1" s="1"/>
  <c r="K3500" i="1"/>
  <c r="L3500" i="1" s="1"/>
  <c r="K3497" i="1"/>
  <c r="L3497" i="1" s="1"/>
  <c r="K3494" i="1"/>
  <c r="L3494" i="1" s="1"/>
  <c r="K3491" i="1"/>
  <c r="L3491" i="1" s="1"/>
  <c r="K3488" i="1"/>
  <c r="L3488" i="1" s="1"/>
  <c r="K3483" i="1"/>
  <c r="L3483" i="1" s="1"/>
  <c r="K3478" i="1"/>
  <c r="L3478" i="1" s="1"/>
  <c r="K3458" i="1"/>
  <c r="L3458" i="1" s="1"/>
  <c r="K2422" i="1"/>
  <c r="L2422" i="1" s="1"/>
  <c r="K2418" i="1"/>
  <c r="L2418" i="1" s="1"/>
  <c r="K2413" i="1"/>
  <c r="L2413" i="1" s="1"/>
  <c r="K2406" i="1"/>
  <c r="L2406" i="1" s="1"/>
  <c r="K2401" i="1"/>
  <c r="L2401" i="1" s="1"/>
  <c r="K2391" i="1"/>
  <c r="L2391" i="1" s="1"/>
  <c r="K2385" i="1"/>
  <c r="L2385" i="1" s="1"/>
  <c r="K2379" i="1"/>
  <c r="L2379" i="1" s="1"/>
</calcChain>
</file>

<file path=xl/sharedStrings.xml><?xml version="1.0" encoding="utf-8"?>
<sst xmlns="http://schemas.openxmlformats.org/spreadsheetml/2006/main" count="9412" uniqueCount="125">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</sst>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92"/>
  <sheetViews>
    <sheetView tabSelected="1" zoomScale="85" zoomScaleNormal="85" workbookViewId="0">
      <selection activeCell="H4615" sqref="H461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1">I2-J2</f>
        <v>26</v>
      </c>
      <c r="L2" s="3" t="str">
        <f t="shared" ref="L2:L33" si="2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  <c r="P2"/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 t="shared" si="1"/>
        <v>-2</v>
      </c>
      <c r="L3" s="3" t="str">
        <f t="shared" si="2"/>
        <v>ATENÇÃO</v>
      </c>
      <c r="M3" s="9">
        <v>7</v>
      </c>
      <c r="N3" s="9">
        <v>97.14</v>
      </c>
      <c r="O3" s="9">
        <v>24.761904761904759</v>
      </c>
      <c r="P3"/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 t="shared" si="1"/>
        <v>-2</v>
      </c>
      <c r="L4" s="3" t="str">
        <f t="shared" si="2"/>
        <v>ATENÇÃO</v>
      </c>
      <c r="M4" s="9">
        <v>8</v>
      </c>
      <c r="N4" s="9">
        <v>100</v>
      </c>
      <c r="O4" s="9">
        <v>28.94736842105263</v>
      </c>
      <c r="P4"/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 t="shared" si="1"/>
        <v>15</v>
      </c>
      <c r="L5" s="3" t="str">
        <f t="shared" si="2"/>
        <v>EXCELENTE</v>
      </c>
      <c r="M5" s="9">
        <v>0</v>
      </c>
      <c r="N5" s="9">
        <v>100</v>
      </c>
      <c r="O5" s="9">
        <v>12.941176470588241</v>
      </c>
      <c r="P5"/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10</v>
      </c>
      <c r="K6" s="3">
        <f t="shared" si="1"/>
        <v>-3</v>
      </c>
      <c r="L6" s="3" t="str">
        <f t="shared" si="2"/>
        <v>ATENÇÃO</v>
      </c>
      <c r="M6" s="9">
        <v>4</v>
      </c>
      <c r="N6" s="9">
        <v>100</v>
      </c>
      <c r="O6" s="9">
        <v>17.1875</v>
      </c>
      <c r="P6"/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10</v>
      </c>
      <c r="K7" s="3">
        <f t="shared" si="1"/>
        <v>5</v>
      </c>
      <c r="L7" s="3" t="str">
        <f t="shared" si="2"/>
        <v>BOM</v>
      </c>
      <c r="M7" s="9">
        <v>12</v>
      </c>
      <c r="N7" s="9">
        <v>98.36</v>
      </c>
      <c r="O7" s="9">
        <v>21.917808219178081</v>
      </c>
      <c r="P7"/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 t="shared" si="1"/>
        <v>25</v>
      </c>
      <c r="L8" s="3" t="str">
        <f t="shared" si="2"/>
        <v>EXCELENTE</v>
      </c>
      <c r="M8" s="3">
        <v>33</v>
      </c>
      <c r="N8" s="3">
        <v>99.25</v>
      </c>
      <c r="O8" s="3">
        <v>20.408163265306118</v>
      </c>
      <c r="P8"/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 t="shared" si="1"/>
        <v>0</v>
      </c>
      <c r="L9" s="3" t="str">
        <f t="shared" si="2"/>
        <v>BOM</v>
      </c>
      <c r="M9" s="3">
        <v>9</v>
      </c>
      <c r="N9" s="3">
        <v>97.14</v>
      </c>
      <c r="O9" s="3">
        <v>24.761904761904759</v>
      </c>
      <c r="P9"/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 t="shared" si="1"/>
        <v>22</v>
      </c>
      <c r="L10" s="3" t="str">
        <f t="shared" si="2"/>
        <v>EXCELENTE</v>
      </c>
      <c r="M10" s="3">
        <v>0</v>
      </c>
      <c r="N10" s="3">
        <v>100</v>
      </c>
      <c r="O10" s="3">
        <v>28.94736842105263</v>
      </c>
      <c r="P10"/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2"/>
        <v>BOM</v>
      </c>
      <c r="M11" s="3">
        <v>0</v>
      </c>
      <c r="N11" s="3">
        <v>100</v>
      </c>
      <c r="O11" s="3">
        <v>12.941176470588241</v>
      </c>
      <c r="P11"/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3">E12+G12+H12</f>
        <v>11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4">I12-J12</f>
        <v>1</v>
      </c>
      <c r="L12" s="3" t="str">
        <f t="shared" si="2"/>
        <v>BOM</v>
      </c>
      <c r="M12" s="3">
        <v>10</v>
      </c>
      <c r="N12" s="3">
        <v>100</v>
      </c>
      <c r="O12" s="3">
        <v>17.1875</v>
      </c>
      <c r="P12"/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3"/>
        <v>19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10</v>
      </c>
      <c r="K13" s="3">
        <f t="shared" si="4"/>
        <v>9</v>
      </c>
      <c r="L13" s="3" t="str">
        <f t="shared" si="2"/>
        <v>EXCELENTE</v>
      </c>
      <c r="M13" s="3">
        <v>18</v>
      </c>
      <c r="N13" s="3">
        <v>98.36</v>
      </c>
      <c r="O13" s="3">
        <v>21.917808219178081</v>
      </c>
      <c r="P13"/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3"/>
        <v>26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 t="shared" si="4"/>
        <v>16</v>
      </c>
      <c r="L14" s="3" t="str">
        <f t="shared" si="2"/>
        <v>EXCELENTE</v>
      </c>
      <c r="M14" s="3">
        <v>25</v>
      </c>
      <c r="N14" s="3">
        <v>99.25</v>
      </c>
      <c r="O14" s="3">
        <v>20.408163265306118</v>
      </c>
      <c r="P14"/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3"/>
        <v>12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 t="shared" si="4"/>
        <v>2</v>
      </c>
      <c r="L15" s="3" t="str">
        <f t="shared" si="2"/>
        <v>BOM</v>
      </c>
      <c r="M15" s="3">
        <v>9</v>
      </c>
      <c r="N15" s="3">
        <v>97.14</v>
      </c>
      <c r="O15" s="3">
        <v>24.761904761904759</v>
      </c>
      <c r="P15"/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3"/>
        <v>43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10</v>
      </c>
      <c r="K16" s="3">
        <f t="shared" si="4"/>
        <v>33</v>
      </c>
      <c r="L16" s="3" t="str">
        <f t="shared" si="2"/>
        <v>EXCELENTE</v>
      </c>
      <c r="M16" s="3">
        <v>2</v>
      </c>
      <c r="N16" s="3">
        <v>100</v>
      </c>
      <c r="O16" s="3">
        <v>28.94736842105263</v>
      </c>
      <c r="P16"/>
    </row>
    <row r="17" spans="1:15" customFormat="1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3"/>
        <v>38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10</v>
      </c>
      <c r="K17" s="3">
        <f t="shared" si="4"/>
        <v>28</v>
      </c>
      <c r="L17" s="3" t="str">
        <f t="shared" si="2"/>
        <v>EXCELENTE</v>
      </c>
      <c r="M17" s="3">
        <v>3</v>
      </c>
      <c r="N17" s="3">
        <v>100</v>
      </c>
      <c r="O17" s="3">
        <v>12.941176470588241</v>
      </c>
    </row>
    <row r="18" spans="1:15" customFormat="1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3"/>
        <v>8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10</v>
      </c>
      <c r="K18" s="3">
        <f t="shared" si="4"/>
        <v>-2</v>
      </c>
      <c r="L18" s="3" t="str">
        <f t="shared" si="2"/>
        <v>ATENÇÃO</v>
      </c>
      <c r="M18" s="3">
        <v>7</v>
      </c>
      <c r="N18" s="3">
        <v>100</v>
      </c>
      <c r="O18" s="3">
        <v>17.1875</v>
      </c>
    </row>
    <row r="19" spans="1:15" customFormat="1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G19" s="3"/>
      <c r="H19" s="3"/>
      <c r="I19" s="3">
        <f t="shared" si="3"/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 t="shared" si="4"/>
        <v>8</v>
      </c>
      <c r="L19" s="3" t="str">
        <f t="shared" si="2"/>
        <v>EXCELENTE</v>
      </c>
      <c r="M19">
        <v>14</v>
      </c>
      <c r="N19">
        <v>98.91</v>
      </c>
      <c r="O19">
        <v>31.367292225201069</v>
      </c>
    </row>
    <row r="20" spans="1:15" customFormat="1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3"/>
        <v>15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10</v>
      </c>
      <c r="K20" s="3">
        <f t="shared" si="4"/>
        <v>5</v>
      </c>
      <c r="L20" s="3" t="str">
        <f t="shared" si="2"/>
        <v>BOM</v>
      </c>
      <c r="M20" s="3">
        <v>14</v>
      </c>
      <c r="N20" s="3">
        <v>98.36</v>
      </c>
      <c r="O20" s="3">
        <v>21.917808219178081</v>
      </c>
    </row>
    <row r="21" spans="1:15" customFormat="1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3"/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 t="shared" si="4"/>
        <v>23</v>
      </c>
      <c r="L21" s="3" t="str">
        <f t="shared" si="2"/>
        <v>EXCELENTE</v>
      </c>
      <c r="M21" s="3">
        <v>30</v>
      </c>
      <c r="N21" s="3">
        <v>99.25</v>
      </c>
      <c r="O21" s="3">
        <v>20.408163265306118</v>
      </c>
    </row>
    <row r="22" spans="1:15" customFormat="1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3"/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 t="shared" si="4"/>
        <v>3</v>
      </c>
      <c r="L22" s="3" t="str">
        <f t="shared" si="2"/>
        <v>BOM</v>
      </c>
      <c r="M22" s="3">
        <v>9</v>
      </c>
      <c r="N22" s="3">
        <v>97.14</v>
      </c>
      <c r="O22" s="3">
        <v>24.761904761904759</v>
      </c>
    </row>
    <row r="23" spans="1:15" customFormat="1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3"/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 t="shared" si="4"/>
        <v>23</v>
      </c>
      <c r="L23" s="3" t="str">
        <f t="shared" si="2"/>
        <v>EXCELENTE</v>
      </c>
      <c r="M23" s="3">
        <v>1</v>
      </c>
      <c r="N23" s="3">
        <v>100</v>
      </c>
      <c r="O23" s="3">
        <v>28.94736842105263</v>
      </c>
    </row>
    <row r="24" spans="1:15" customFormat="1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3"/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 t="shared" si="4"/>
        <v>28</v>
      </c>
      <c r="L24" s="3" t="str">
        <f t="shared" si="2"/>
        <v>EXCELENTE</v>
      </c>
      <c r="M24" s="3">
        <v>4</v>
      </c>
      <c r="N24" s="3">
        <v>100</v>
      </c>
      <c r="O24" s="3">
        <v>12.941176470588241</v>
      </c>
    </row>
    <row r="25" spans="1:15" customFormat="1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3"/>
        <v>15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9</v>
      </c>
      <c r="K25" s="3">
        <f t="shared" si="4"/>
        <v>6</v>
      </c>
      <c r="L25" s="3" t="str">
        <f t="shared" si="2"/>
        <v>EXCELENTE</v>
      </c>
      <c r="M25" s="3">
        <v>13</v>
      </c>
      <c r="N25" s="3">
        <v>100</v>
      </c>
      <c r="O25" s="3">
        <v>17.1875</v>
      </c>
    </row>
    <row r="26" spans="1:15" customFormat="1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3"/>
        <v>15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9</v>
      </c>
      <c r="K26" s="3">
        <f t="shared" si="4"/>
        <v>6</v>
      </c>
      <c r="L26" s="3" t="str">
        <f t="shared" si="2"/>
        <v>EXCELENTE</v>
      </c>
      <c r="M26" s="3">
        <v>13</v>
      </c>
      <c r="N26" s="3">
        <v>98.36</v>
      </c>
      <c r="O26" s="3">
        <v>21.917808219178081</v>
      </c>
    </row>
    <row r="27" spans="1:15" customFormat="1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3"/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 t="shared" si="4"/>
        <v>27</v>
      </c>
      <c r="L27" s="3" t="str">
        <f t="shared" si="2"/>
        <v>EXCELENTE</v>
      </c>
      <c r="M27">
        <v>29</v>
      </c>
      <c r="N27">
        <v>99.25</v>
      </c>
      <c r="O27">
        <v>20.408163265306118</v>
      </c>
    </row>
    <row r="28" spans="1:15" customFormat="1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3"/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 t="shared" si="4"/>
        <v>1</v>
      </c>
      <c r="L28" s="3" t="str">
        <f t="shared" si="2"/>
        <v>BOM</v>
      </c>
      <c r="M28">
        <v>7</v>
      </c>
      <c r="N28">
        <v>97.14</v>
      </c>
      <c r="O28">
        <v>24.761904761904759</v>
      </c>
    </row>
    <row r="29" spans="1:15" customFormat="1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3"/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 t="shared" si="4"/>
        <v>0</v>
      </c>
      <c r="L29" s="3" t="str">
        <f t="shared" si="2"/>
        <v>BOM</v>
      </c>
      <c r="M29">
        <v>6</v>
      </c>
      <c r="N29">
        <v>100</v>
      </c>
      <c r="O29">
        <v>28.94736842105263</v>
      </c>
    </row>
    <row r="30" spans="1:15" customFormat="1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3"/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 t="shared" si="4"/>
        <v>26</v>
      </c>
      <c r="L30" s="3" t="str">
        <f t="shared" si="2"/>
        <v>EXCELENTE</v>
      </c>
      <c r="M30">
        <v>1</v>
      </c>
      <c r="N30">
        <v>100</v>
      </c>
      <c r="O30">
        <v>12.941176470588241</v>
      </c>
    </row>
    <row r="31" spans="1:15" customFormat="1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3"/>
        <v>13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 t="shared" si="4"/>
        <v>5</v>
      </c>
      <c r="L31" s="3" t="str">
        <f t="shared" si="2"/>
        <v>BOM</v>
      </c>
      <c r="M31">
        <v>9</v>
      </c>
      <c r="N31">
        <v>100</v>
      </c>
      <c r="O31">
        <v>17.1875</v>
      </c>
    </row>
    <row r="32" spans="1:15" customFormat="1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3"/>
        <v>17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8</v>
      </c>
      <c r="K32" s="3">
        <f t="shared" si="4"/>
        <v>9</v>
      </c>
      <c r="L32" s="3" t="str">
        <f t="shared" si="2"/>
        <v>EXCELENTE</v>
      </c>
      <c r="M32">
        <v>11</v>
      </c>
      <c r="N32">
        <v>98.36</v>
      </c>
      <c r="O32">
        <v>21.917808219178081</v>
      </c>
    </row>
    <row r="33" spans="1:15" customFormat="1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3"/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 t="shared" si="4"/>
        <v>23</v>
      </c>
      <c r="L33" s="3" t="str">
        <f t="shared" si="2"/>
        <v>EXCELENTE</v>
      </c>
      <c r="M33">
        <v>29</v>
      </c>
      <c r="N33">
        <v>99.25</v>
      </c>
      <c r="O33">
        <v>20.408163265306118</v>
      </c>
    </row>
    <row r="34" spans="1:15" customFormat="1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3"/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 t="shared" si="4"/>
        <v>-8</v>
      </c>
      <c r="L34" s="3" t="str">
        <f t="shared" ref="L34:L65" si="5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customFormat="1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3"/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 t="shared" si="4"/>
        <v>-4</v>
      </c>
      <c r="L35" s="3" t="str">
        <f t="shared" si="5"/>
        <v>ATENÇÃO</v>
      </c>
      <c r="M35">
        <v>2</v>
      </c>
      <c r="N35">
        <v>100</v>
      </c>
      <c r="O35">
        <v>28.94736842105263</v>
      </c>
    </row>
    <row r="36" spans="1:15" customFormat="1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3"/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 t="shared" si="4"/>
        <v>23</v>
      </c>
      <c r="L36" s="3" t="str">
        <f t="shared" si="5"/>
        <v>EXCELENTE</v>
      </c>
      <c r="M36">
        <v>4</v>
      </c>
      <c r="N36">
        <v>100</v>
      </c>
      <c r="O36">
        <v>12.941176470588241</v>
      </c>
    </row>
    <row r="37" spans="1:15" customFormat="1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3"/>
        <v>7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9</v>
      </c>
      <c r="K37" s="3">
        <f t="shared" si="4"/>
        <v>-2</v>
      </c>
      <c r="L37" s="3" t="str">
        <f t="shared" si="5"/>
        <v>ATENÇÃO</v>
      </c>
      <c r="M37">
        <v>4</v>
      </c>
      <c r="N37">
        <v>100</v>
      </c>
      <c r="O37">
        <v>17.1875</v>
      </c>
    </row>
    <row r="38" spans="1:15" customFormat="1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3"/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9</v>
      </c>
      <c r="K38" s="3">
        <f t="shared" si="4"/>
        <v>7</v>
      </c>
      <c r="L38" s="3" t="str">
        <f t="shared" si="5"/>
        <v>EXCELENTE</v>
      </c>
      <c r="M38">
        <v>15</v>
      </c>
      <c r="N38">
        <v>98.36</v>
      </c>
      <c r="O38">
        <v>21.917808219178081</v>
      </c>
    </row>
    <row r="39" spans="1:15" customFormat="1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3"/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 t="shared" si="4"/>
        <v>16</v>
      </c>
      <c r="L39" s="3" t="str">
        <f t="shared" si="5"/>
        <v>EXCELENTE</v>
      </c>
      <c r="M39">
        <v>18</v>
      </c>
      <c r="N39">
        <v>99.25</v>
      </c>
      <c r="O39">
        <v>20.408163265306118</v>
      </c>
    </row>
    <row r="40" spans="1:15" customFormat="1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3"/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 t="shared" si="4"/>
        <v>-2</v>
      </c>
      <c r="L40" s="3" t="str">
        <f t="shared" si="5"/>
        <v>ATENÇÃO</v>
      </c>
      <c r="M40">
        <v>6</v>
      </c>
      <c r="N40">
        <v>97.14</v>
      </c>
      <c r="O40">
        <v>24.761904761904759</v>
      </c>
    </row>
    <row r="41" spans="1:15" customFormat="1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3"/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 t="shared" si="4"/>
        <v>7</v>
      </c>
      <c r="L41" s="3" t="str">
        <f t="shared" si="5"/>
        <v>EXCELENTE</v>
      </c>
      <c r="M41">
        <v>0</v>
      </c>
      <c r="N41">
        <v>100</v>
      </c>
      <c r="O41">
        <v>28.94736842105263</v>
      </c>
    </row>
    <row r="42" spans="1:15" customFormat="1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3"/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 t="shared" si="4"/>
        <v>18</v>
      </c>
      <c r="L42" s="3" t="str">
        <f t="shared" si="5"/>
        <v>EXCELENTE</v>
      </c>
      <c r="M42">
        <v>1</v>
      </c>
      <c r="N42">
        <v>100</v>
      </c>
      <c r="O42">
        <v>12.941176470588241</v>
      </c>
    </row>
    <row r="43" spans="1:15" customFormat="1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3"/>
        <v>7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9</v>
      </c>
      <c r="K43" s="3">
        <f t="shared" si="4"/>
        <v>-2</v>
      </c>
      <c r="L43" s="3" t="str">
        <f t="shared" si="5"/>
        <v>ATENÇÃO</v>
      </c>
      <c r="M43">
        <v>4</v>
      </c>
      <c r="N43">
        <v>100</v>
      </c>
      <c r="O43">
        <v>17.1875</v>
      </c>
    </row>
    <row r="44" spans="1:15" customFormat="1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6">E44+G44+H44</f>
        <v>17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7">I44-J44</f>
        <v>8</v>
      </c>
      <c r="L44" s="3" t="str">
        <f t="shared" si="5"/>
        <v>EXCELENTE</v>
      </c>
      <c r="M44">
        <v>13</v>
      </c>
      <c r="N44">
        <v>98.36</v>
      </c>
      <c r="O44">
        <v>21.917808219178081</v>
      </c>
    </row>
    <row r="45" spans="1:15" customFormat="1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6"/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 t="shared" si="7"/>
        <v>15</v>
      </c>
      <c r="L45" s="3" t="str">
        <f t="shared" si="5"/>
        <v>EXCELENTE</v>
      </c>
      <c r="M45">
        <v>18</v>
      </c>
      <c r="N45">
        <v>99.25</v>
      </c>
      <c r="O45">
        <v>20.408163265306118</v>
      </c>
    </row>
    <row r="46" spans="1:15" customFormat="1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6"/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 t="shared" si="7"/>
        <v>-3</v>
      </c>
      <c r="L46" s="3" t="str">
        <f t="shared" si="5"/>
        <v>ATENÇÃO</v>
      </c>
      <c r="M46">
        <v>5</v>
      </c>
      <c r="N46">
        <v>97.14</v>
      </c>
      <c r="O46">
        <v>24.761904761904759</v>
      </c>
    </row>
    <row r="47" spans="1:15" customFormat="1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6"/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 t="shared" si="7"/>
        <v>11</v>
      </c>
      <c r="L47" s="3" t="str">
        <f t="shared" si="5"/>
        <v>EXCELENTE</v>
      </c>
      <c r="M47">
        <v>0</v>
      </c>
      <c r="N47">
        <v>100</v>
      </c>
      <c r="O47">
        <v>28.94736842105263</v>
      </c>
    </row>
    <row r="48" spans="1:15" customFormat="1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6"/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 t="shared" si="7"/>
        <v>15</v>
      </c>
      <c r="L48" s="3" t="str">
        <f t="shared" si="5"/>
        <v>EXCELENTE</v>
      </c>
      <c r="M48">
        <v>1</v>
      </c>
      <c r="N48">
        <v>100</v>
      </c>
      <c r="O48">
        <v>12.941176470588241</v>
      </c>
    </row>
    <row r="49" spans="1:15" customFormat="1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6"/>
        <v>6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8</v>
      </c>
      <c r="K49" s="3">
        <f t="shared" si="7"/>
        <v>-2</v>
      </c>
      <c r="L49" s="3" t="str">
        <f t="shared" si="5"/>
        <v>ATENÇÃO</v>
      </c>
      <c r="M49">
        <v>5</v>
      </c>
      <c r="N49">
        <v>100</v>
      </c>
      <c r="O49">
        <v>17.1875</v>
      </c>
    </row>
    <row r="50" spans="1:15" customFormat="1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6"/>
        <v>18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8</v>
      </c>
      <c r="K50" s="3">
        <f t="shared" si="7"/>
        <v>10</v>
      </c>
      <c r="L50" s="3" t="str">
        <f t="shared" si="5"/>
        <v>EXCELENTE</v>
      </c>
      <c r="M50">
        <v>13</v>
      </c>
      <c r="N50">
        <v>98.36</v>
      </c>
      <c r="O50">
        <v>21.917808219178081</v>
      </c>
    </row>
    <row r="51" spans="1:15" customFormat="1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6"/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 t="shared" si="7"/>
        <v>21</v>
      </c>
      <c r="L51" s="3" t="str">
        <f t="shared" si="5"/>
        <v>EXCELENTE</v>
      </c>
      <c r="M51">
        <v>26</v>
      </c>
      <c r="N51">
        <v>99.25</v>
      </c>
      <c r="O51">
        <v>20.408163265306118</v>
      </c>
    </row>
    <row r="52" spans="1:15" customFormat="1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6"/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 t="shared" si="7"/>
        <v>1</v>
      </c>
      <c r="L52" s="3" t="str">
        <f t="shared" si="5"/>
        <v>BOM</v>
      </c>
      <c r="M52">
        <v>6</v>
      </c>
      <c r="N52">
        <v>97.14</v>
      </c>
      <c r="O52">
        <v>24.761904761904759</v>
      </c>
    </row>
    <row r="53" spans="1:15" customFormat="1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6"/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 t="shared" si="7"/>
        <v>7</v>
      </c>
      <c r="L53" s="3" t="str">
        <f t="shared" si="5"/>
        <v>EXCELENTE</v>
      </c>
      <c r="M53">
        <v>0</v>
      </c>
      <c r="N53">
        <v>100</v>
      </c>
      <c r="O53">
        <v>28.94736842105263</v>
      </c>
    </row>
    <row r="54" spans="1:15" customFormat="1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6"/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 t="shared" si="7"/>
        <v>35</v>
      </c>
      <c r="L54" s="3" t="str">
        <f t="shared" si="5"/>
        <v>EXCELENTE</v>
      </c>
      <c r="M54">
        <v>2</v>
      </c>
      <c r="N54">
        <v>100</v>
      </c>
      <c r="O54">
        <v>12.941176470588241</v>
      </c>
    </row>
    <row r="55" spans="1:15" customFormat="1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6"/>
        <v>4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8</v>
      </c>
      <c r="K55" s="3">
        <f t="shared" si="7"/>
        <v>-4</v>
      </c>
      <c r="L55" s="3" t="str">
        <f t="shared" si="5"/>
        <v>ATENÇÃO</v>
      </c>
      <c r="M55">
        <v>3</v>
      </c>
      <c r="N55">
        <v>100</v>
      </c>
      <c r="O55">
        <v>17.1875</v>
      </c>
    </row>
    <row r="56" spans="1:15" customFormat="1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6"/>
        <v>18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8</v>
      </c>
      <c r="K56" s="3">
        <f t="shared" si="7"/>
        <v>10</v>
      </c>
      <c r="L56" s="3" t="str">
        <f t="shared" si="5"/>
        <v>EXCELENTE</v>
      </c>
      <c r="M56">
        <v>15</v>
      </c>
      <c r="N56">
        <v>98.36</v>
      </c>
      <c r="O56">
        <v>21.917808219178081</v>
      </c>
    </row>
    <row r="57" spans="1:15" customFormat="1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6"/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 t="shared" si="7"/>
        <v>32</v>
      </c>
      <c r="L57" s="3" t="str">
        <f t="shared" si="5"/>
        <v>EXCELENTE</v>
      </c>
      <c r="M57">
        <v>34</v>
      </c>
      <c r="N57">
        <v>99.25</v>
      </c>
      <c r="O57">
        <v>20.408163265306118</v>
      </c>
    </row>
    <row r="58" spans="1:15" customFormat="1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6"/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 t="shared" si="7"/>
        <v>2</v>
      </c>
      <c r="L58" s="3" t="str">
        <f t="shared" si="5"/>
        <v>BOM</v>
      </c>
      <c r="M58">
        <v>8</v>
      </c>
      <c r="N58">
        <v>97.14</v>
      </c>
      <c r="O58">
        <v>24.761904761904759</v>
      </c>
    </row>
    <row r="59" spans="1:15" customFormat="1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6"/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 t="shared" si="7"/>
        <v>16</v>
      </c>
      <c r="L59" s="3" t="str">
        <f t="shared" si="5"/>
        <v>EXCELENTE</v>
      </c>
      <c r="M59">
        <v>0</v>
      </c>
      <c r="N59">
        <v>100</v>
      </c>
      <c r="O59">
        <v>28.94736842105263</v>
      </c>
    </row>
    <row r="60" spans="1:15" customFormat="1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6"/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 t="shared" si="7"/>
        <v>24</v>
      </c>
      <c r="L60" s="3" t="str">
        <f t="shared" si="5"/>
        <v>EXCELENTE</v>
      </c>
      <c r="M60">
        <v>1</v>
      </c>
      <c r="N60">
        <v>100</v>
      </c>
      <c r="O60">
        <v>12.941176470588241</v>
      </c>
    </row>
    <row r="61" spans="1:15" customFormat="1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6"/>
        <v>8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8</v>
      </c>
      <c r="K61" s="3">
        <f t="shared" si="7"/>
        <v>0</v>
      </c>
      <c r="L61" s="3" t="str">
        <f t="shared" si="5"/>
        <v>BOM</v>
      </c>
      <c r="M61">
        <v>7</v>
      </c>
      <c r="N61">
        <v>100</v>
      </c>
      <c r="O61">
        <v>17.1875</v>
      </c>
    </row>
    <row r="62" spans="1:15" customFormat="1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6"/>
        <v>15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8</v>
      </c>
      <c r="K62" s="3">
        <f t="shared" si="7"/>
        <v>7</v>
      </c>
      <c r="L62" s="3" t="str">
        <f t="shared" si="5"/>
        <v>EXCELENTE</v>
      </c>
      <c r="M62">
        <v>14</v>
      </c>
      <c r="N62">
        <v>98.36</v>
      </c>
      <c r="O62">
        <v>21.917808219178081</v>
      </c>
    </row>
    <row r="63" spans="1:15" customFormat="1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6"/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 t="shared" si="7"/>
        <v>-1</v>
      </c>
      <c r="L63" s="3" t="str">
        <f t="shared" si="5"/>
        <v>ATENÇÃO</v>
      </c>
      <c r="M63">
        <v>6</v>
      </c>
      <c r="N63">
        <v>97.14</v>
      </c>
      <c r="O63">
        <v>24.761904761904759</v>
      </c>
    </row>
    <row r="64" spans="1:15" customFormat="1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6"/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 t="shared" si="7"/>
        <v>6</v>
      </c>
      <c r="L64" s="3" t="str">
        <f t="shared" si="5"/>
        <v>EXCELENTE</v>
      </c>
      <c r="M64">
        <v>0</v>
      </c>
      <c r="N64">
        <v>100</v>
      </c>
      <c r="O64">
        <v>28.94736842105263</v>
      </c>
    </row>
    <row r="65" spans="1:15" customFormat="1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6"/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 t="shared" si="7"/>
        <v>38</v>
      </c>
      <c r="L65" s="3" t="str">
        <f t="shared" si="5"/>
        <v>EXCELENTE</v>
      </c>
      <c r="M65">
        <v>11</v>
      </c>
      <c r="N65">
        <v>100</v>
      </c>
      <c r="O65">
        <v>12.941176470588241</v>
      </c>
    </row>
    <row r="66" spans="1:15" customFormat="1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6"/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 t="shared" si="7"/>
        <v>2</v>
      </c>
      <c r="L66" s="3" t="str">
        <f t="shared" ref="L66:L97" si="8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customFormat="1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6"/>
        <v>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7</v>
      </c>
      <c r="K67" s="3">
        <f t="shared" si="7"/>
        <v>0</v>
      </c>
      <c r="L67" s="3" t="str">
        <f t="shared" si="8"/>
        <v>BOM</v>
      </c>
      <c r="M67">
        <v>6</v>
      </c>
      <c r="N67">
        <v>100</v>
      </c>
      <c r="O67">
        <v>17.1875</v>
      </c>
    </row>
    <row r="68" spans="1:15" customFormat="1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6"/>
        <v>13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7</v>
      </c>
      <c r="K68" s="3">
        <f t="shared" si="7"/>
        <v>6</v>
      </c>
      <c r="L68" s="3" t="str">
        <f t="shared" si="8"/>
        <v>EXCELENTE</v>
      </c>
      <c r="M68">
        <v>9</v>
      </c>
      <c r="N68">
        <v>98.36</v>
      </c>
      <c r="O68">
        <v>21.917808219178081</v>
      </c>
    </row>
    <row r="69" spans="1:15" customFormat="1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6"/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 t="shared" si="7"/>
        <v>1</v>
      </c>
      <c r="L69" s="3" t="str">
        <f t="shared" si="8"/>
        <v>BOM</v>
      </c>
      <c r="M69">
        <v>7</v>
      </c>
      <c r="N69">
        <v>97.14</v>
      </c>
      <c r="O69">
        <v>24.761904761904759</v>
      </c>
    </row>
    <row r="70" spans="1:15" customFormat="1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6"/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 t="shared" si="7"/>
        <v>-3</v>
      </c>
      <c r="L70" s="3" t="str">
        <f t="shared" si="8"/>
        <v>ATENÇÃO</v>
      </c>
      <c r="M70">
        <v>0</v>
      </c>
      <c r="N70">
        <v>100</v>
      </c>
      <c r="O70">
        <v>28.94736842105263</v>
      </c>
    </row>
    <row r="71" spans="1:15" customFormat="1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6"/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 t="shared" si="7"/>
        <v>16</v>
      </c>
      <c r="L71" s="3" t="str">
        <f t="shared" si="8"/>
        <v>EXCELENTE</v>
      </c>
      <c r="M71">
        <v>12</v>
      </c>
      <c r="N71">
        <v>100</v>
      </c>
      <c r="O71">
        <v>12.941176470588241</v>
      </c>
    </row>
    <row r="72" spans="1:15" customFormat="1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6"/>
        <v>13</v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8</v>
      </c>
      <c r="K72" s="3">
        <f t="shared" si="7"/>
        <v>5</v>
      </c>
      <c r="L72" s="3" t="str">
        <f t="shared" si="8"/>
        <v>BOM</v>
      </c>
      <c r="M72">
        <v>9</v>
      </c>
      <c r="N72">
        <v>100</v>
      </c>
      <c r="O72">
        <v>17.1875</v>
      </c>
    </row>
    <row r="73" spans="1:15" customFormat="1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6"/>
        <v>19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8</v>
      </c>
      <c r="K73" s="3">
        <f t="shared" si="7"/>
        <v>11</v>
      </c>
      <c r="L73" s="3" t="str">
        <f t="shared" si="8"/>
        <v>EXCELENTE</v>
      </c>
      <c r="M73">
        <v>16</v>
      </c>
      <c r="N73">
        <v>98.36</v>
      </c>
      <c r="O73">
        <v>21.917808219178081</v>
      </c>
    </row>
    <row r="74" spans="1:15" customFormat="1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6"/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 t="shared" si="7"/>
        <v>3</v>
      </c>
      <c r="L74" s="3" t="str">
        <f t="shared" ref="L74:L109" si="9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customFormat="1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6"/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 t="shared" si="7"/>
        <v>-3</v>
      </c>
      <c r="L75" s="3" t="str">
        <f t="shared" si="9"/>
        <v>ATENÇÃO</v>
      </c>
      <c r="M75" s="9">
        <v>0</v>
      </c>
      <c r="N75" s="9">
        <v>100</v>
      </c>
      <c r="O75" s="9">
        <v>28.94736842105263</v>
      </c>
    </row>
    <row r="76" spans="1:15" customFormat="1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0"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1">I76-J76</f>
        <v>3</v>
      </c>
      <c r="L76" s="3" t="str">
        <f t="shared" si="9"/>
        <v>OPORTUNO</v>
      </c>
      <c r="M76" s="9">
        <v>5</v>
      </c>
      <c r="N76" s="9">
        <v>100</v>
      </c>
      <c r="O76" s="9">
        <v>12.941176470588241</v>
      </c>
    </row>
    <row r="77" spans="1:15" customFormat="1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0"/>
        <v>17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7</v>
      </c>
      <c r="K77" s="3">
        <f t="shared" si="11"/>
        <v>10</v>
      </c>
      <c r="L77" s="3" t="str">
        <f t="shared" si="9"/>
        <v>MUITO BOM</v>
      </c>
      <c r="M77" s="9">
        <v>14</v>
      </c>
      <c r="N77" s="9">
        <v>100</v>
      </c>
      <c r="O77" s="9">
        <v>17.1875</v>
      </c>
    </row>
    <row r="78" spans="1:15" customFormat="1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0"/>
        <v>15</v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>7</v>
      </c>
      <c r="K78" s="3">
        <f t="shared" si="11"/>
        <v>8</v>
      </c>
      <c r="L78" s="3" t="str">
        <f t="shared" si="9"/>
        <v>MUITO BOM</v>
      </c>
      <c r="M78" s="9">
        <v>13</v>
      </c>
      <c r="N78" s="9">
        <v>98.36</v>
      </c>
      <c r="O78" s="9">
        <v>21.917808219178081</v>
      </c>
    </row>
    <row r="79" spans="1:15" customFormat="1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0"/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 t="shared" si="11"/>
        <v>0</v>
      </c>
      <c r="L79" s="3" t="str">
        <f t="shared" si="9"/>
        <v>OPORTUNO</v>
      </c>
      <c r="M79" s="3">
        <v>4</v>
      </c>
      <c r="N79" s="3">
        <v>97.14</v>
      </c>
      <c r="O79" s="3">
        <v>24.761904761904759</v>
      </c>
    </row>
    <row r="80" spans="1:15" customFormat="1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0"/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 t="shared" si="11"/>
        <v>2</v>
      </c>
      <c r="L80" s="3" t="str">
        <f t="shared" si="9"/>
        <v>OPORTUNO</v>
      </c>
      <c r="M80" s="3">
        <v>6</v>
      </c>
      <c r="N80" s="3">
        <v>100</v>
      </c>
      <c r="O80" s="3">
        <v>28.94736842105263</v>
      </c>
    </row>
    <row r="81" spans="1:15" customFormat="1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0"/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 t="shared" si="11"/>
        <v>6</v>
      </c>
      <c r="L81" s="3" t="str">
        <f t="shared" si="9"/>
        <v>MUITO BOM</v>
      </c>
      <c r="M81" s="3">
        <v>8</v>
      </c>
      <c r="N81" s="3">
        <v>100</v>
      </c>
      <c r="O81" s="3">
        <v>12.941176470588241</v>
      </c>
    </row>
    <row r="82" spans="1:15" customFormat="1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0"/>
        <v>13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 t="shared" si="11"/>
        <v>7</v>
      </c>
      <c r="L82" s="3" t="str">
        <f t="shared" si="9"/>
        <v>MUITO BOM</v>
      </c>
      <c r="M82" s="3">
        <v>8</v>
      </c>
      <c r="N82" s="3">
        <v>100</v>
      </c>
      <c r="O82" s="3">
        <v>17.1875</v>
      </c>
    </row>
    <row r="83" spans="1:15" customFormat="1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0"/>
        <v>18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6</v>
      </c>
      <c r="K83" s="3">
        <f t="shared" si="11"/>
        <v>12</v>
      </c>
      <c r="L83" s="3" t="str">
        <f t="shared" si="9"/>
        <v>MUITO BOM</v>
      </c>
      <c r="M83" s="3">
        <v>13</v>
      </c>
      <c r="N83" s="3">
        <v>98.36</v>
      </c>
      <c r="O83" s="3">
        <v>21.917808219178081</v>
      </c>
    </row>
    <row r="84" spans="1:15" customFormat="1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0"/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 t="shared" si="11"/>
        <v>1</v>
      </c>
      <c r="L84" s="3" t="str">
        <f t="shared" si="9"/>
        <v>OPORTUNO</v>
      </c>
      <c r="M84" s="3">
        <v>3</v>
      </c>
      <c r="N84" s="3">
        <v>97.14</v>
      </c>
      <c r="O84" s="3">
        <v>24.761904761904759</v>
      </c>
    </row>
    <row r="85" spans="1:15" customFormat="1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0"/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 t="shared" si="11"/>
        <v>0</v>
      </c>
      <c r="L85" s="3" t="str">
        <f t="shared" si="9"/>
        <v>OPORTUNO</v>
      </c>
      <c r="M85" s="3">
        <v>6</v>
      </c>
      <c r="N85" s="3">
        <v>100</v>
      </c>
      <c r="O85" s="3">
        <v>28.94736842105263</v>
      </c>
    </row>
    <row r="86" spans="1:15" customFormat="1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0"/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 t="shared" si="11"/>
        <v>2</v>
      </c>
      <c r="L86" s="3" t="str">
        <f t="shared" si="9"/>
        <v>OPORTUNO</v>
      </c>
      <c r="M86" s="3">
        <v>6</v>
      </c>
      <c r="N86" s="3">
        <v>100</v>
      </c>
      <c r="O86" s="3">
        <v>12.941176470588241</v>
      </c>
    </row>
    <row r="87" spans="1:15" customFormat="1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0"/>
        <v>14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 t="shared" si="11"/>
        <v>8</v>
      </c>
      <c r="L87" s="3" t="str">
        <f t="shared" si="9"/>
        <v>MUITO BOM</v>
      </c>
      <c r="M87" s="3">
        <v>11</v>
      </c>
      <c r="N87" s="3">
        <v>100</v>
      </c>
      <c r="O87" s="3">
        <v>17.1875</v>
      </c>
    </row>
    <row r="88" spans="1:15" customFormat="1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0"/>
        <v>15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6</v>
      </c>
      <c r="K88" s="3">
        <f t="shared" si="11"/>
        <v>9</v>
      </c>
      <c r="L88" s="3" t="str">
        <f t="shared" si="9"/>
        <v>MUITO BOM</v>
      </c>
      <c r="M88" s="3">
        <v>9</v>
      </c>
      <c r="N88" s="3">
        <v>98.36</v>
      </c>
      <c r="O88" s="3">
        <v>21.917808219178081</v>
      </c>
    </row>
    <row r="89" spans="1:15" customFormat="1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9"/>
        <v>OPORTUNO</v>
      </c>
      <c r="M89">
        <v>3</v>
      </c>
      <c r="N89">
        <v>97.14</v>
      </c>
      <c r="O89">
        <v>24.761904761904759</v>
      </c>
    </row>
    <row r="90" spans="1:15" customFormat="1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9"/>
        <v>OPORTUNO</v>
      </c>
      <c r="M90">
        <v>1</v>
      </c>
      <c r="N90">
        <v>100</v>
      </c>
      <c r="O90">
        <v>28.94736842105263</v>
      </c>
    </row>
    <row r="91" spans="1:15" customFormat="1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9"/>
        <v>OPORTUNO</v>
      </c>
      <c r="M91">
        <v>6</v>
      </c>
      <c r="N91">
        <v>100</v>
      </c>
      <c r="O91">
        <v>12.941176470588241</v>
      </c>
    </row>
    <row r="92" spans="1:15" customFormat="1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9"/>
        <v>OPORTUNO</v>
      </c>
      <c r="M92">
        <v>5</v>
      </c>
      <c r="N92">
        <v>100</v>
      </c>
      <c r="O92">
        <v>17.1875</v>
      </c>
    </row>
    <row r="93" spans="1:15" customFormat="1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9"/>
        <v>OPORTUNO</v>
      </c>
      <c r="M93">
        <v>11</v>
      </c>
      <c r="N93">
        <v>98.36</v>
      </c>
      <c r="O93">
        <v>21.917808219178081</v>
      </c>
    </row>
    <row r="94" spans="1:15" customFormat="1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9"/>
        <v>MUITO BOM</v>
      </c>
      <c r="M94">
        <v>0</v>
      </c>
      <c r="N94">
        <v>100</v>
      </c>
      <c r="O94">
        <v>33.333333333333329</v>
      </c>
    </row>
    <row r="95" spans="1:15" customFormat="1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9"/>
        <v>ATENÇÃO</v>
      </c>
      <c r="M95">
        <v>3</v>
      </c>
      <c r="N95">
        <v>100</v>
      </c>
      <c r="O95">
        <v>33.333333333333329</v>
      </c>
    </row>
    <row r="96" spans="1:15" customFormat="1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9"/>
        <v>ATENÇÃO</v>
      </c>
      <c r="M96">
        <v>2</v>
      </c>
      <c r="N96">
        <v>100</v>
      </c>
      <c r="O96">
        <v>33.333333333333329</v>
      </c>
    </row>
    <row r="97" spans="1:15" customFormat="1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9"/>
        <v>ATENÇÃO</v>
      </c>
      <c r="M97">
        <v>3</v>
      </c>
      <c r="N97">
        <v>100</v>
      </c>
      <c r="O97">
        <v>33.333333333333329</v>
      </c>
    </row>
    <row r="98" spans="1:15" customFormat="1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9"/>
        <v>OPORTUNO</v>
      </c>
      <c r="M98" s="9">
        <v>6</v>
      </c>
      <c r="N98" s="9">
        <v>100</v>
      </c>
      <c r="O98" s="9">
        <v>33.333333333333329</v>
      </c>
    </row>
    <row r="99" spans="1:15" customFormat="1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9"/>
        <v>OPORTUNO</v>
      </c>
      <c r="M99" s="3">
        <v>0</v>
      </c>
      <c r="N99" s="3">
        <v>100</v>
      </c>
      <c r="O99" s="3">
        <v>33.333333333333329</v>
      </c>
    </row>
    <row r="100" spans="1:15" customFormat="1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9"/>
        <v>OPORTUNO</v>
      </c>
      <c r="M100" s="3">
        <v>0</v>
      </c>
      <c r="N100" s="3">
        <v>100</v>
      </c>
      <c r="O100" s="3">
        <v>33.333333333333329</v>
      </c>
    </row>
    <row r="101" spans="1:15" customFormat="1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2"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3">I101-J101</f>
        <v>17</v>
      </c>
      <c r="L101" s="3" t="str">
        <f t="shared" si="9"/>
        <v>MUITO BOM</v>
      </c>
      <c r="M101">
        <v>26</v>
      </c>
      <c r="N101">
        <v>96.74</v>
      </c>
      <c r="O101">
        <v>28.67647058823529</v>
      </c>
    </row>
    <row r="102" spans="1:15" customFormat="1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2"/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 t="shared" si="13"/>
        <v>-1</v>
      </c>
      <c r="L102" s="3" t="str">
        <f t="shared" si="9"/>
        <v>ATENÇÃO</v>
      </c>
      <c r="M102">
        <v>5</v>
      </c>
      <c r="N102">
        <v>100</v>
      </c>
      <c r="O102">
        <v>23.134328358208951</v>
      </c>
    </row>
    <row r="103" spans="1:15" customFormat="1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2"/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 t="shared" si="13"/>
        <v>-4</v>
      </c>
      <c r="L103" s="3" t="str">
        <f t="shared" si="9"/>
        <v>ATENÇÃO</v>
      </c>
      <c r="M103">
        <v>4</v>
      </c>
      <c r="N103">
        <v>100</v>
      </c>
      <c r="O103">
        <v>27.368421052631579</v>
      </c>
    </row>
    <row r="104" spans="1:15" customFormat="1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2"/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 t="shared" si="13"/>
        <v>37</v>
      </c>
      <c r="L104" s="3" t="str">
        <f t="shared" si="9"/>
        <v>MUITO BOM</v>
      </c>
      <c r="M104">
        <v>3</v>
      </c>
      <c r="N104">
        <v>100</v>
      </c>
      <c r="O104">
        <v>25</v>
      </c>
    </row>
    <row r="105" spans="1:15" customFormat="1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2"/>
        <v>13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10</v>
      </c>
      <c r="K105" s="3">
        <f t="shared" si="13"/>
        <v>3</v>
      </c>
      <c r="L105" s="3" t="str">
        <f t="shared" si="9"/>
        <v>OPORTUNO</v>
      </c>
      <c r="M105">
        <v>10</v>
      </c>
      <c r="N105">
        <v>100</v>
      </c>
      <c r="O105">
        <v>23.77622377622378</v>
      </c>
    </row>
    <row r="106" spans="1:15" customFormat="1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2"/>
        <v>13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10</v>
      </c>
      <c r="K106" s="3">
        <f t="shared" si="13"/>
        <v>3</v>
      </c>
      <c r="L106" s="3" t="str">
        <f t="shared" si="9"/>
        <v>OPORTUNO</v>
      </c>
      <c r="M106">
        <v>9</v>
      </c>
      <c r="N106">
        <v>94.12</v>
      </c>
      <c r="O106">
        <v>32.799999999999997</v>
      </c>
    </row>
    <row r="107" spans="1:15" customFormat="1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2"/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 t="shared" si="13"/>
        <v>21</v>
      </c>
      <c r="L107" s="3" t="str">
        <f t="shared" si="9"/>
        <v>MUITO BOM</v>
      </c>
      <c r="M107">
        <v>27</v>
      </c>
      <c r="N107">
        <v>96.74</v>
      </c>
      <c r="O107">
        <v>28.67647058823529</v>
      </c>
    </row>
    <row r="108" spans="1:15" customFormat="1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2"/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 t="shared" si="13"/>
        <v>7</v>
      </c>
      <c r="L108" s="3" t="str">
        <f t="shared" si="9"/>
        <v>MUITO BOM</v>
      </c>
      <c r="M108">
        <v>12</v>
      </c>
      <c r="N108">
        <v>100</v>
      </c>
      <c r="O108">
        <v>23.134328358208951</v>
      </c>
    </row>
    <row r="109" spans="1:15" customFormat="1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2"/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 t="shared" si="13"/>
        <v>-2</v>
      </c>
      <c r="L109" s="3" t="str">
        <f t="shared" si="9"/>
        <v>ATENÇÃO</v>
      </c>
      <c r="M109">
        <v>7</v>
      </c>
      <c r="N109">
        <v>100</v>
      </c>
      <c r="O109">
        <v>27.368421052631579</v>
      </c>
    </row>
    <row r="110" spans="1:15" customFormat="1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2"/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 t="shared" si="13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customFormat="1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4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customFormat="1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15"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16">I112-J112</f>
        <v>24</v>
      </c>
      <c r="L112" s="3" t="str">
        <f t="shared" si="14"/>
        <v>MUITO BOM</v>
      </c>
      <c r="M112">
        <v>0</v>
      </c>
      <c r="N112">
        <v>100</v>
      </c>
      <c r="O112">
        <v>25</v>
      </c>
    </row>
    <row r="113" spans="1:15" customFormat="1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15"/>
        <v>15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10</v>
      </c>
      <c r="K113" s="3">
        <f t="shared" si="16"/>
        <v>5</v>
      </c>
      <c r="L113" s="3" t="str">
        <f t="shared" si="14"/>
        <v>OPORTUNO</v>
      </c>
      <c r="M113">
        <v>11</v>
      </c>
      <c r="N113">
        <v>100</v>
      </c>
      <c r="O113">
        <v>23.77622377622378</v>
      </c>
    </row>
    <row r="114" spans="1:15" customFormat="1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15"/>
        <v>17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10</v>
      </c>
      <c r="K114" s="3">
        <f t="shared" si="16"/>
        <v>7</v>
      </c>
      <c r="L114" s="3" t="str">
        <f t="shared" si="14"/>
        <v>MUITO BOM</v>
      </c>
      <c r="M114">
        <v>11</v>
      </c>
      <c r="N114">
        <v>94.12</v>
      </c>
      <c r="O114">
        <v>32.799999999999997</v>
      </c>
    </row>
    <row r="115" spans="1:15" customFormat="1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15"/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 t="shared" si="16"/>
        <v>24</v>
      </c>
      <c r="L115" s="3" t="str">
        <f t="shared" si="14"/>
        <v>MUITO BOM</v>
      </c>
      <c r="M115">
        <v>33</v>
      </c>
      <c r="N115">
        <v>96.74</v>
      </c>
      <c r="O115">
        <v>28.67647058823529</v>
      </c>
    </row>
    <row r="116" spans="1:15" customFormat="1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15"/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 t="shared" si="16"/>
        <v>-3</v>
      </c>
      <c r="L116" s="3" t="str">
        <f t="shared" si="14"/>
        <v>ATENÇÃO</v>
      </c>
      <c r="M116">
        <v>5</v>
      </c>
      <c r="N116">
        <v>100</v>
      </c>
      <c r="O116">
        <v>23.134328358208951</v>
      </c>
    </row>
    <row r="117" spans="1:15" customFormat="1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15"/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 t="shared" si="16"/>
        <v>14</v>
      </c>
      <c r="L117" s="3" t="str">
        <f t="shared" si="14"/>
        <v>MUITO BOM</v>
      </c>
      <c r="M117">
        <v>1</v>
      </c>
      <c r="N117">
        <v>100</v>
      </c>
      <c r="O117">
        <v>27.368421052631579</v>
      </c>
    </row>
    <row r="118" spans="1:15" customFormat="1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15"/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 t="shared" si="16"/>
        <v>37</v>
      </c>
      <c r="L118" s="3" t="str">
        <f t="shared" si="14"/>
        <v>MUITO BOM</v>
      </c>
      <c r="M118">
        <v>0</v>
      </c>
      <c r="N118">
        <v>100</v>
      </c>
      <c r="O118">
        <v>25</v>
      </c>
    </row>
    <row r="119" spans="1:15" customFormat="1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15"/>
        <v>17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9</v>
      </c>
      <c r="K119" s="3">
        <f t="shared" si="16"/>
        <v>8</v>
      </c>
      <c r="L119" s="3" t="str">
        <f t="shared" si="14"/>
        <v>MUITO BOM</v>
      </c>
      <c r="M119">
        <v>7</v>
      </c>
      <c r="N119">
        <v>100</v>
      </c>
      <c r="O119">
        <v>23.77622377622378</v>
      </c>
    </row>
    <row r="120" spans="1:15" customFormat="1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15"/>
        <v>17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9</v>
      </c>
      <c r="K120" s="3">
        <f t="shared" si="16"/>
        <v>8</v>
      </c>
      <c r="L120" s="3" t="str">
        <f t="shared" si="14"/>
        <v>MUITO BOM</v>
      </c>
      <c r="M120">
        <v>13</v>
      </c>
      <c r="N120">
        <v>94.12</v>
      </c>
      <c r="O120">
        <v>32.799999999999997</v>
      </c>
    </row>
    <row r="121" spans="1:15" customFormat="1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H121" s="3"/>
      <c r="I121" s="3"/>
      <c r="J121" s="3"/>
      <c r="K121" s="3"/>
      <c r="L121" s="3"/>
      <c r="M121">
        <v>7</v>
      </c>
      <c r="N121">
        <v>97.14</v>
      </c>
      <c r="O121">
        <v>24.761904761904759</v>
      </c>
    </row>
    <row r="122" spans="1:15" customFormat="1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H122" s="3"/>
      <c r="I122" s="3"/>
      <c r="J122" s="3"/>
      <c r="K122" s="3"/>
      <c r="L122" s="3"/>
      <c r="M122">
        <v>6</v>
      </c>
      <c r="N122">
        <v>100</v>
      </c>
      <c r="O122">
        <v>31.578947368421051</v>
      </c>
    </row>
    <row r="123" spans="1:15" customFormat="1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H123" s="3"/>
      <c r="I123" s="3"/>
      <c r="J123" s="3"/>
      <c r="K123" s="3"/>
      <c r="L123" s="3"/>
      <c r="M123">
        <v>20</v>
      </c>
      <c r="N123">
        <v>100</v>
      </c>
      <c r="O123">
        <v>15.294117647058821</v>
      </c>
    </row>
    <row r="124" spans="1:15" customFormat="1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H124" s="3"/>
      <c r="I124" s="3"/>
      <c r="J124" s="3"/>
      <c r="K124" s="3"/>
      <c r="L124" s="3"/>
      <c r="M124">
        <v>10</v>
      </c>
      <c r="N124">
        <v>100</v>
      </c>
      <c r="O124">
        <v>17.96875</v>
      </c>
    </row>
    <row r="125" spans="1:15" customFormat="1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H125" s="3"/>
      <c r="I125" s="3"/>
      <c r="J125" s="3"/>
      <c r="K125" s="3"/>
      <c r="L125" s="3"/>
      <c r="M125">
        <v>12</v>
      </c>
      <c r="N125">
        <v>98.36</v>
      </c>
      <c r="O125">
        <v>24.200913242009129</v>
      </c>
    </row>
    <row r="126" spans="1:15" customFormat="1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H126" s="3"/>
      <c r="I126" s="3"/>
      <c r="J126" s="3"/>
      <c r="K126" s="3"/>
      <c r="L126" s="3"/>
      <c r="M126">
        <v>1</v>
      </c>
      <c r="N126">
        <v>100</v>
      </c>
      <c r="O126">
        <v>33.333333333333329</v>
      </c>
    </row>
    <row r="127" spans="1:15" customFormat="1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17">E127+G127+H127</f>
        <v>24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18">I127-J127</f>
        <v>4</v>
      </c>
      <c r="L127" s="3" t="str">
        <f t="shared" ref="L127:L158" si="19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customFormat="1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17"/>
        <v>15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 t="shared" si="18"/>
        <v>-5</v>
      </c>
      <c r="L128" s="3" t="str">
        <f t="shared" si="19"/>
        <v>ATENÇÃO</v>
      </c>
      <c r="M128" s="9">
        <v>15</v>
      </c>
      <c r="N128" s="9">
        <v>100</v>
      </c>
      <c r="O128" s="9">
        <v>19.072164948453612</v>
      </c>
    </row>
    <row r="129" spans="1:15" customFormat="1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17"/>
        <v>23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 t="shared" si="18"/>
        <v>3</v>
      </c>
      <c r="L129" s="3" t="str">
        <f t="shared" si="19"/>
        <v>BOM</v>
      </c>
      <c r="M129" s="9">
        <v>19</v>
      </c>
      <c r="N129" s="9">
        <v>96.83</v>
      </c>
      <c r="O129" s="9">
        <v>20.94017094017094</v>
      </c>
    </row>
    <row r="130" spans="1:15" customFormat="1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17"/>
        <v>23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20</v>
      </c>
      <c r="K130" s="3">
        <f t="shared" si="18"/>
        <v>3</v>
      </c>
      <c r="L130" s="3" t="str">
        <f t="shared" si="19"/>
        <v>BOM</v>
      </c>
      <c r="M130" s="9">
        <v>18</v>
      </c>
      <c r="N130" s="9">
        <v>100</v>
      </c>
      <c r="O130" s="9">
        <v>20.0836820083682</v>
      </c>
    </row>
    <row r="131" spans="1:15" customFormat="1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17"/>
        <v>21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20</v>
      </c>
      <c r="K131" s="3">
        <f t="shared" si="18"/>
        <v>1</v>
      </c>
      <c r="L131" s="3" t="str">
        <f t="shared" si="19"/>
        <v>BOM</v>
      </c>
      <c r="M131" s="9">
        <v>21</v>
      </c>
      <c r="N131" s="9">
        <v>100</v>
      </c>
      <c r="O131" s="9">
        <v>16.34241245136187</v>
      </c>
    </row>
    <row r="132" spans="1:15" customFormat="1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17"/>
        <v>20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20</v>
      </c>
      <c r="K132" s="3">
        <f t="shared" si="18"/>
        <v>0</v>
      </c>
      <c r="L132" s="3" t="str">
        <f t="shared" si="19"/>
        <v>BOM</v>
      </c>
      <c r="M132" s="3">
        <v>27</v>
      </c>
      <c r="N132" s="3">
        <v>97.62</v>
      </c>
      <c r="O132" s="3">
        <v>17.82477341389728</v>
      </c>
    </row>
    <row r="133" spans="1:15" customFormat="1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17"/>
        <v>22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20</v>
      </c>
      <c r="K133" s="3">
        <f t="shared" si="18"/>
        <v>2</v>
      </c>
      <c r="L133" s="3" t="str">
        <f t="shared" si="19"/>
        <v>BOM</v>
      </c>
      <c r="M133" s="3">
        <v>16</v>
      </c>
      <c r="N133" s="3">
        <v>100</v>
      </c>
      <c r="O133" s="3">
        <v>19.072164948453612</v>
      </c>
    </row>
    <row r="134" spans="1:15" customFormat="1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17"/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20</v>
      </c>
      <c r="K134" s="3">
        <f t="shared" si="18"/>
        <v>14</v>
      </c>
      <c r="L134" s="3" t="str">
        <f t="shared" si="19"/>
        <v>EXCELENTE</v>
      </c>
      <c r="M134" s="3">
        <v>22</v>
      </c>
      <c r="N134" s="3">
        <v>96.83</v>
      </c>
      <c r="O134" s="3">
        <v>20.94017094017094</v>
      </c>
    </row>
    <row r="135" spans="1:15" customFormat="1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17"/>
        <v>17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20</v>
      </c>
      <c r="K135" s="3">
        <f t="shared" si="18"/>
        <v>-3</v>
      </c>
      <c r="L135" s="3" t="str">
        <f t="shared" si="19"/>
        <v>ATENÇÃO</v>
      </c>
      <c r="M135" s="3">
        <v>17</v>
      </c>
      <c r="N135" s="3">
        <v>100</v>
      </c>
      <c r="O135" s="3">
        <v>20.0836820083682</v>
      </c>
    </row>
    <row r="136" spans="1:15" customFormat="1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17"/>
        <v>20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20</v>
      </c>
      <c r="K136" s="3">
        <f t="shared" si="18"/>
        <v>0</v>
      </c>
      <c r="L136" s="3" t="str">
        <f t="shared" si="19"/>
        <v>BOM</v>
      </c>
      <c r="M136" s="3">
        <v>19</v>
      </c>
      <c r="N136" s="3">
        <v>100</v>
      </c>
      <c r="O136" s="3">
        <v>16.34241245136187</v>
      </c>
    </row>
    <row r="137" spans="1:15" customFormat="1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17"/>
        <v>23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20</v>
      </c>
      <c r="K137" s="3">
        <f t="shared" si="18"/>
        <v>3</v>
      </c>
      <c r="L137" s="3" t="str">
        <f t="shared" si="19"/>
        <v>BOM</v>
      </c>
      <c r="M137" s="3">
        <v>22</v>
      </c>
      <c r="N137" s="3">
        <v>97.62</v>
      </c>
      <c r="O137" s="3">
        <v>17.82477341389728</v>
      </c>
    </row>
    <row r="138" spans="1:15" customFormat="1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17"/>
        <v>24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20</v>
      </c>
      <c r="K138" s="3">
        <f t="shared" si="18"/>
        <v>4</v>
      </c>
      <c r="L138" s="3" t="str">
        <f t="shared" si="19"/>
        <v>BOM</v>
      </c>
      <c r="M138" s="3">
        <v>17</v>
      </c>
      <c r="N138" s="3">
        <v>100</v>
      </c>
      <c r="O138" s="3">
        <v>19.072164948453612</v>
      </c>
    </row>
    <row r="139" spans="1:15" customFormat="1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19"/>
        <v>BOM</v>
      </c>
      <c r="M139" s="3">
        <v>0</v>
      </c>
      <c r="N139" s="3">
        <v>96.83</v>
      </c>
      <c r="O139" s="3">
        <v>20.94017094017094</v>
      </c>
    </row>
    <row r="140" spans="1:15" customFormat="1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19"/>
        <v>ATENÇÃO</v>
      </c>
      <c r="M140" s="3">
        <v>15</v>
      </c>
      <c r="N140" s="3">
        <v>100</v>
      </c>
      <c r="O140" s="3">
        <v>20.0836820083682</v>
      </c>
    </row>
    <row r="141" spans="1:15" customFormat="1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19"/>
        <v>BOM</v>
      </c>
      <c r="M141" s="3">
        <v>18</v>
      </c>
      <c r="N141" s="3">
        <v>100</v>
      </c>
      <c r="O141" s="3">
        <v>16.34241245136187</v>
      </c>
    </row>
    <row r="142" spans="1:15" customFormat="1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19"/>
        <v>EXCELENTE</v>
      </c>
      <c r="M142" s="3">
        <v>22</v>
      </c>
      <c r="N142" s="3">
        <v>97.62</v>
      </c>
      <c r="O142" s="3">
        <v>17.82477341389728</v>
      </c>
    </row>
    <row r="143" spans="1:15" customFormat="1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19"/>
        <v>ATENÇÃO</v>
      </c>
      <c r="M143" s="3">
        <v>8</v>
      </c>
      <c r="N143" s="3">
        <v>100</v>
      </c>
      <c r="O143" s="3">
        <v>19.072164948453612</v>
      </c>
    </row>
    <row r="144" spans="1:15" customFormat="1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19"/>
        <v>BOM</v>
      </c>
      <c r="M144" s="3">
        <v>0</v>
      </c>
      <c r="N144" s="3">
        <v>96.83</v>
      </c>
      <c r="O144" s="3">
        <v>20.94017094017094</v>
      </c>
    </row>
    <row r="145" spans="1:15" customFormat="1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0">E145+G145+H145</f>
        <v>24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1">I145-J145</f>
        <v>5</v>
      </c>
      <c r="L145" s="3" t="str">
        <f t="shared" si="19"/>
        <v>BOM</v>
      </c>
      <c r="M145" s="3">
        <v>18</v>
      </c>
      <c r="N145" s="3">
        <v>100</v>
      </c>
      <c r="O145" s="3">
        <v>20.0836820083682</v>
      </c>
    </row>
    <row r="146" spans="1:15" customFormat="1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0"/>
        <v>24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19</v>
      </c>
      <c r="K146" s="3">
        <f t="shared" si="21"/>
        <v>5</v>
      </c>
      <c r="L146" s="3" t="str">
        <f t="shared" si="19"/>
        <v>BOM</v>
      </c>
      <c r="M146" s="3">
        <v>25</v>
      </c>
      <c r="N146" s="3">
        <v>100</v>
      </c>
      <c r="O146" s="3">
        <v>16.34241245136187</v>
      </c>
    </row>
    <row r="147" spans="1:15" customFormat="1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0"/>
        <v>21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16</v>
      </c>
      <c r="K147" s="3">
        <f t="shared" si="21"/>
        <v>5</v>
      </c>
      <c r="L147" s="3" t="str">
        <f t="shared" si="19"/>
        <v>BOM</v>
      </c>
      <c r="M147">
        <v>16</v>
      </c>
      <c r="N147">
        <v>97.62</v>
      </c>
      <c r="O147">
        <v>17.82477341389728</v>
      </c>
    </row>
    <row r="148" spans="1:15" customFormat="1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0"/>
        <v>15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16</v>
      </c>
      <c r="K148" s="3">
        <f t="shared" si="21"/>
        <v>-1</v>
      </c>
      <c r="L148" s="3" t="str">
        <f t="shared" si="19"/>
        <v>ATENÇÃO</v>
      </c>
      <c r="M148">
        <v>14</v>
      </c>
      <c r="N148">
        <v>100</v>
      </c>
      <c r="O148">
        <v>19.072164948453612</v>
      </c>
    </row>
    <row r="149" spans="1:15" customFormat="1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0"/>
        <v>26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16</v>
      </c>
      <c r="K149" s="3">
        <f t="shared" si="21"/>
        <v>10</v>
      </c>
      <c r="L149" s="3" t="str">
        <f t="shared" si="19"/>
        <v>EXCELENTE</v>
      </c>
      <c r="M149">
        <v>20</v>
      </c>
      <c r="N149">
        <v>96.83</v>
      </c>
      <c r="O149">
        <v>20.94017094017094</v>
      </c>
    </row>
    <row r="150" spans="1:15" customFormat="1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0"/>
        <v>14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16</v>
      </c>
      <c r="K150" s="3">
        <f t="shared" si="21"/>
        <v>-2</v>
      </c>
      <c r="L150" s="3" t="str">
        <f t="shared" si="19"/>
        <v>ATENÇÃO</v>
      </c>
      <c r="M150">
        <v>14</v>
      </c>
      <c r="N150">
        <v>100</v>
      </c>
      <c r="O150">
        <v>20.0836820083682</v>
      </c>
    </row>
    <row r="151" spans="1:15" customFormat="1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0"/>
        <v>17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16</v>
      </c>
      <c r="K151" s="3">
        <f t="shared" si="21"/>
        <v>1</v>
      </c>
      <c r="L151" s="3" t="str">
        <f t="shared" si="19"/>
        <v>BOM</v>
      </c>
      <c r="M151">
        <v>16</v>
      </c>
      <c r="N151">
        <v>100</v>
      </c>
      <c r="O151">
        <v>16.34241245136187</v>
      </c>
    </row>
    <row r="152" spans="1:15" customFormat="1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0"/>
        <v>19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17</v>
      </c>
      <c r="K152" s="3">
        <f t="shared" si="21"/>
        <v>2</v>
      </c>
      <c r="L152" s="3" t="str">
        <f t="shared" si="19"/>
        <v>BOM</v>
      </c>
      <c r="M152">
        <v>18</v>
      </c>
      <c r="N152">
        <v>97.62</v>
      </c>
      <c r="O152">
        <v>17.82477341389728</v>
      </c>
    </row>
    <row r="153" spans="1:15" customFormat="1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0"/>
        <v>12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17</v>
      </c>
      <c r="K153" s="3">
        <f t="shared" si="21"/>
        <v>-5</v>
      </c>
      <c r="L153" s="3" t="str">
        <f t="shared" si="19"/>
        <v>ATENÇÃO</v>
      </c>
      <c r="M153">
        <v>11</v>
      </c>
      <c r="N153">
        <v>100</v>
      </c>
      <c r="O153">
        <v>19.072164948453612</v>
      </c>
    </row>
    <row r="154" spans="1:15" customFormat="1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0"/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 t="shared" si="21"/>
        <v>8</v>
      </c>
      <c r="L154" s="3" t="str">
        <f t="shared" si="19"/>
        <v>EXCELENTE</v>
      </c>
      <c r="M154">
        <v>23</v>
      </c>
      <c r="N154">
        <v>98.91</v>
      </c>
      <c r="O154">
        <v>31.367292225201069</v>
      </c>
    </row>
    <row r="155" spans="1:15" customFormat="1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0"/>
        <v>23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17</v>
      </c>
      <c r="K155" s="3">
        <f t="shared" si="21"/>
        <v>6</v>
      </c>
      <c r="L155" s="3" t="str">
        <f t="shared" si="19"/>
        <v>EXCELENTE</v>
      </c>
      <c r="M155">
        <v>13</v>
      </c>
      <c r="N155">
        <v>96.83</v>
      </c>
      <c r="O155">
        <v>20.94017094017094</v>
      </c>
    </row>
    <row r="156" spans="1:15" customFormat="1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0"/>
        <v>11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17</v>
      </c>
      <c r="K156" s="3">
        <f t="shared" si="21"/>
        <v>-6</v>
      </c>
      <c r="L156" s="3" t="str">
        <f t="shared" si="19"/>
        <v>CRÍTICO</v>
      </c>
      <c r="M156">
        <v>12</v>
      </c>
      <c r="N156">
        <v>100</v>
      </c>
      <c r="O156">
        <v>20.0836820083682</v>
      </c>
    </row>
    <row r="157" spans="1:15" customFormat="1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0"/>
        <v>20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17</v>
      </c>
      <c r="K157" s="3">
        <f t="shared" si="21"/>
        <v>3</v>
      </c>
      <c r="L157" s="3" t="str">
        <f t="shared" si="19"/>
        <v>BOM</v>
      </c>
      <c r="M157">
        <v>17</v>
      </c>
      <c r="N157">
        <v>100</v>
      </c>
      <c r="O157">
        <v>16.34241245136187</v>
      </c>
    </row>
    <row r="158" spans="1:15" customFormat="1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0"/>
        <v>22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18</v>
      </c>
      <c r="K158" s="3">
        <f t="shared" si="21"/>
        <v>4</v>
      </c>
      <c r="L158" s="3" t="str">
        <f t="shared" si="19"/>
        <v>BOM</v>
      </c>
      <c r="M158">
        <v>22</v>
      </c>
      <c r="N158">
        <v>97.62</v>
      </c>
      <c r="O158">
        <v>17.82477341389728</v>
      </c>
    </row>
    <row r="159" spans="1:15" customFormat="1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0"/>
        <v>13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18</v>
      </c>
      <c r="K159" s="3">
        <f t="shared" si="21"/>
        <v>-5</v>
      </c>
      <c r="L159" s="3" t="str">
        <f t="shared" ref="L159:L190" si="22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customFormat="1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0"/>
        <v>23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18</v>
      </c>
      <c r="K160" s="3">
        <f t="shared" si="21"/>
        <v>5</v>
      </c>
      <c r="L160" s="3" t="str">
        <f t="shared" si="22"/>
        <v>BOM</v>
      </c>
      <c r="M160">
        <v>15</v>
      </c>
      <c r="N160">
        <v>96.83</v>
      </c>
      <c r="O160">
        <v>20.94017094017094</v>
      </c>
    </row>
    <row r="161" spans="1:15" customFormat="1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0"/>
        <v>21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18</v>
      </c>
      <c r="K161" s="3">
        <f t="shared" si="21"/>
        <v>3</v>
      </c>
      <c r="L161" s="3" t="str">
        <f t="shared" si="22"/>
        <v>BOM</v>
      </c>
      <c r="M161">
        <v>19</v>
      </c>
      <c r="N161">
        <v>100</v>
      </c>
      <c r="O161">
        <v>20.0836820083682</v>
      </c>
    </row>
    <row r="162" spans="1:15" customFormat="1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0"/>
        <v>12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18</v>
      </c>
      <c r="K162" s="3">
        <f t="shared" si="21"/>
        <v>-6</v>
      </c>
      <c r="L162" s="3" t="str">
        <f t="shared" si="22"/>
        <v>CRÍTICO</v>
      </c>
      <c r="M162">
        <v>9</v>
      </c>
      <c r="N162">
        <v>100</v>
      </c>
      <c r="O162">
        <v>16.34241245136187</v>
      </c>
    </row>
    <row r="163" spans="1:15" customFormat="1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0"/>
        <v>20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16</v>
      </c>
      <c r="K163" s="3">
        <f t="shared" si="21"/>
        <v>4</v>
      </c>
      <c r="L163" s="3" t="str">
        <f t="shared" si="22"/>
        <v>BOM</v>
      </c>
      <c r="M163">
        <v>18</v>
      </c>
      <c r="N163">
        <v>97.62</v>
      </c>
      <c r="O163">
        <v>17.82477341389728</v>
      </c>
    </row>
    <row r="164" spans="1:15" customFormat="1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22"/>
        <v>BOM</v>
      </c>
      <c r="M164" s="9">
        <v>0</v>
      </c>
      <c r="N164" s="9">
        <v>100</v>
      </c>
      <c r="O164" s="9">
        <v>19.072164948453612</v>
      </c>
    </row>
    <row r="165" spans="1:15" customFormat="1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23">E165+G165+H165</f>
        <v>25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24">I165-J165</f>
        <v>9</v>
      </c>
      <c r="L165" s="3" t="str">
        <f t="shared" si="22"/>
        <v>EXCELENTE</v>
      </c>
      <c r="M165">
        <v>18</v>
      </c>
      <c r="N165">
        <v>96.83</v>
      </c>
      <c r="O165">
        <v>20.94017094017094</v>
      </c>
    </row>
    <row r="166" spans="1:15" customFormat="1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23"/>
        <v>11</v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>16</v>
      </c>
      <c r="K166" s="3">
        <f t="shared" si="24"/>
        <v>-5</v>
      </c>
      <c r="L166" s="3" t="str">
        <f t="shared" si="22"/>
        <v>ATENÇÃO</v>
      </c>
      <c r="M166">
        <v>14</v>
      </c>
      <c r="N166">
        <v>100</v>
      </c>
      <c r="O166">
        <v>20.0836820083682</v>
      </c>
    </row>
    <row r="167" spans="1:15" customFormat="1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23"/>
        <v>18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16</v>
      </c>
      <c r="K167" s="3">
        <f t="shared" si="24"/>
        <v>2</v>
      </c>
      <c r="L167" s="3" t="str">
        <f t="shared" si="22"/>
        <v>BOM</v>
      </c>
      <c r="M167">
        <v>18</v>
      </c>
      <c r="N167">
        <v>100</v>
      </c>
      <c r="O167">
        <v>16.34241245136187</v>
      </c>
    </row>
    <row r="168" spans="1:15" customFormat="1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23"/>
        <v>23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16</v>
      </c>
      <c r="K168" s="3">
        <f t="shared" si="24"/>
        <v>7</v>
      </c>
      <c r="L168" s="3" t="str">
        <f t="shared" si="22"/>
        <v>EXCELENTE</v>
      </c>
      <c r="M168">
        <v>22</v>
      </c>
      <c r="N168">
        <v>97.62</v>
      </c>
      <c r="O168">
        <v>17.82477341389728</v>
      </c>
    </row>
    <row r="169" spans="1:15" customFormat="1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23"/>
        <v>15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16</v>
      </c>
      <c r="K169" s="3">
        <f t="shared" si="24"/>
        <v>-1</v>
      </c>
      <c r="L169" s="3" t="str">
        <f t="shared" si="22"/>
        <v>ATENÇÃO</v>
      </c>
      <c r="M169">
        <v>9</v>
      </c>
      <c r="N169">
        <v>100</v>
      </c>
      <c r="O169">
        <v>19.072164948453612</v>
      </c>
    </row>
    <row r="170" spans="1:15" customFormat="1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23"/>
        <v>23</v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>16</v>
      </c>
      <c r="K170" s="3">
        <f t="shared" si="24"/>
        <v>7</v>
      </c>
      <c r="L170" s="3" t="str">
        <f t="shared" si="22"/>
        <v>EXCELENTE</v>
      </c>
      <c r="M170">
        <v>15</v>
      </c>
      <c r="N170">
        <v>96.83</v>
      </c>
      <c r="O170">
        <v>20.94017094017094</v>
      </c>
    </row>
    <row r="171" spans="1:15" customFormat="1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23"/>
        <v>15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16</v>
      </c>
      <c r="K171" s="3">
        <f t="shared" si="24"/>
        <v>-1</v>
      </c>
      <c r="L171" s="3" t="str">
        <f t="shared" si="22"/>
        <v>ATENÇÃO</v>
      </c>
      <c r="M171">
        <v>13</v>
      </c>
      <c r="N171">
        <v>100</v>
      </c>
      <c r="O171">
        <v>20.0836820083682</v>
      </c>
    </row>
    <row r="172" spans="1:15" customFormat="1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23"/>
        <v>6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16</v>
      </c>
      <c r="K172" s="3">
        <f t="shared" si="24"/>
        <v>-10</v>
      </c>
      <c r="L172" s="3" t="str">
        <f t="shared" si="22"/>
        <v>CRÍTICO</v>
      </c>
      <c r="M172">
        <v>5</v>
      </c>
      <c r="N172">
        <v>100</v>
      </c>
      <c r="O172">
        <v>16.34241245136187</v>
      </c>
    </row>
    <row r="173" spans="1:15" customFormat="1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23"/>
        <v>25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17</v>
      </c>
      <c r="K173" s="3">
        <f t="shared" si="24"/>
        <v>8</v>
      </c>
      <c r="L173" s="3" t="str">
        <f t="shared" si="22"/>
        <v>EXCELENTE</v>
      </c>
      <c r="M173">
        <v>23</v>
      </c>
      <c r="N173">
        <v>97.62</v>
      </c>
      <c r="O173">
        <v>17.82477341389728</v>
      </c>
    </row>
    <row r="174" spans="1:15" customFormat="1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23"/>
        <v>16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17</v>
      </c>
      <c r="K174" s="3">
        <f t="shared" si="24"/>
        <v>-1</v>
      </c>
      <c r="L174" s="3" t="str">
        <f t="shared" si="22"/>
        <v>ATENÇÃO</v>
      </c>
      <c r="M174">
        <v>11</v>
      </c>
      <c r="N174">
        <v>100</v>
      </c>
      <c r="O174">
        <v>19.072164948453612</v>
      </c>
    </row>
    <row r="175" spans="1:15" customFormat="1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23"/>
        <v>23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17</v>
      </c>
      <c r="K175" s="3">
        <f t="shared" si="24"/>
        <v>6</v>
      </c>
      <c r="L175" s="3" t="str">
        <f t="shared" si="22"/>
        <v>EXCELENTE</v>
      </c>
      <c r="M175">
        <v>19</v>
      </c>
      <c r="N175">
        <v>96.83</v>
      </c>
      <c r="O175">
        <v>20.94017094017094</v>
      </c>
    </row>
    <row r="176" spans="1:15" customFormat="1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23"/>
        <v>13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17</v>
      </c>
      <c r="K176" s="3">
        <f t="shared" si="24"/>
        <v>-4</v>
      </c>
      <c r="L176" s="3" t="str">
        <f t="shared" si="22"/>
        <v>ATENÇÃO</v>
      </c>
      <c r="M176">
        <v>14</v>
      </c>
      <c r="N176">
        <v>100</v>
      </c>
      <c r="O176">
        <v>20.0836820083682</v>
      </c>
    </row>
    <row r="177" spans="1:15" customFormat="1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23"/>
        <v>14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17</v>
      </c>
      <c r="K177" s="3">
        <f t="shared" si="24"/>
        <v>-3</v>
      </c>
      <c r="L177" s="3" t="str">
        <f t="shared" si="22"/>
        <v>ATENÇÃO</v>
      </c>
      <c r="M177">
        <v>16</v>
      </c>
      <c r="N177">
        <v>100</v>
      </c>
      <c r="O177">
        <v>16.34241245136187</v>
      </c>
    </row>
    <row r="178" spans="1:15" customFormat="1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23"/>
        <v>1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15</v>
      </c>
      <c r="K178" s="3">
        <f t="shared" si="24"/>
        <v>-14</v>
      </c>
      <c r="L178" s="3" t="str">
        <f t="shared" si="22"/>
        <v>CRÍTICO</v>
      </c>
      <c r="M178">
        <v>28</v>
      </c>
      <c r="N178">
        <v>99.25</v>
      </c>
      <c r="O178">
        <v>20.408163265306118</v>
      </c>
    </row>
    <row r="179" spans="1:15" customFormat="1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23"/>
        <v>19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15</v>
      </c>
      <c r="K179" s="3">
        <f t="shared" si="24"/>
        <v>4</v>
      </c>
      <c r="L179" s="3" t="str">
        <f t="shared" si="22"/>
        <v>BOM</v>
      </c>
      <c r="M179">
        <v>21</v>
      </c>
      <c r="N179">
        <v>97.62</v>
      </c>
      <c r="O179">
        <v>17.82477341389728</v>
      </c>
    </row>
    <row r="180" spans="1:15" customFormat="1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23"/>
        <v>17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15</v>
      </c>
      <c r="K180" s="3">
        <f t="shared" si="24"/>
        <v>2</v>
      </c>
      <c r="L180" s="3" t="str">
        <f t="shared" si="22"/>
        <v>BOM</v>
      </c>
      <c r="M180">
        <v>14</v>
      </c>
      <c r="N180">
        <v>100</v>
      </c>
      <c r="O180">
        <v>19.072164948453612</v>
      </c>
    </row>
    <row r="181" spans="1:15" customFormat="1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23"/>
        <v>10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15</v>
      </c>
      <c r="K181" s="3">
        <f t="shared" si="24"/>
        <v>-5</v>
      </c>
      <c r="L181" s="3" t="str">
        <f t="shared" si="22"/>
        <v>ATENÇÃO</v>
      </c>
      <c r="M181">
        <v>6</v>
      </c>
      <c r="N181">
        <v>96.83</v>
      </c>
      <c r="O181">
        <v>20.94017094017094</v>
      </c>
    </row>
    <row r="182" spans="1:15" customFormat="1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23"/>
        <v>10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15</v>
      </c>
      <c r="K182" s="3">
        <f t="shared" si="24"/>
        <v>-5</v>
      </c>
      <c r="L182" s="3" t="str">
        <f t="shared" si="22"/>
        <v>ATENÇÃO</v>
      </c>
      <c r="M182">
        <v>11</v>
      </c>
      <c r="N182">
        <v>100</v>
      </c>
      <c r="O182">
        <v>20.0836820083682</v>
      </c>
    </row>
    <row r="183" spans="1:15" customFormat="1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23"/>
        <v>15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15</v>
      </c>
      <c r="K183" s="3">
        <f t="shared" si="24"/>
        <v>0</v>
      </c>
      <c r="L183" s="3" t="str">
        <f t="shared" si="22"/>
        <v>BOM</v>
      </c>
      <c r="M183">
        <v>14</v>
      </c>
      <c r="N183">
        <v>100</v>
      </c>
      <c r="O183">
        <v>16.34241245136187</v>
      </c>
    </row>
    <row r="184" spans="1:15" customFormat="1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23"/>
        <v>29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17</v>
      </c>
      <c r="K184" s="3">
        <f t="shared" si="24"/>
        <v>12</v>
      </c>
      <c r="L184" s="3" t="str">
        <f t="shared" si="22"/>
        <v>EXCELENTE</v>
      </c>
      <c r="M184">
        <v>28</v>
      </c>
      <c r="N184">
        <v>99.25</v>
      </c>
      <c r="O184">
        <v>20.408163265306118</v>
      </c>
    </row>
    <row r="185" spans="1:15" customFormat="1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23"/>
        <v>21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17</v>
      </c>
      <c r="K185" s="3">
        <f t="shared" si="24"/>
        <v>4</v>
      </c>
      <c r="L185" s="3" t="str">
        <f t="shared" si="22"/>
        <v>BOM</v>
      </c>
      <c r="M185">
        <v>20</v>
      </c>
      <c r="N185">
        <v>97.62</v>
      </c>
      <c r="O185">
        <v>17.82477341389728</v>
      </c>
    </row>
    <row r="186" spans="1:15" customFormat="1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23"/>
        <v>18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17</v>
      </c>
      <c r="K186" s="3">
        <f t="shared" si="24"/>
        <v>1</v>
      </c>
      <c r="L186" s="3" t="str">
        <f t="shared" si="22"/>
        <v>BOM</v>
      </c>
      <c r="M186">
        <v>15</v>
      </c>
      <c r="N186">
        <v>100</v>
      </c>
      <c r="O186">
        <v>19.072164948453612</v>
      </c>
    </row>
    <row r="187" spans="1:15" customFormat="1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23"/>
        <v>23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17</v>
      </c>
      <c r="K187" s="3">
        <f t="shared" si="24"/>
        <v>6</v>
      </c>
      <c r="L187" s="3" t="str">
        <f t="shared" si="22"/>
        <v>EXCELENTE</v>
      </c>
      <c r="M187">
        <v>22</v>
      </c>
      <c r="N187">
        <v>96.83</v>
      </c>
      <c r="O187">
        <v>20.94017094017094</v>
      </c>
    </row>
    <row r="188" spans="1:15" customFormat="1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23"/>
        <v>13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17</v>
      </c>
      <c r="K188" s="3">
        <f t="shared" si="24"/>
        <v>-4</v>
      </c>
      <c r="L188" s="3" t="str">
        <f t="shared" si="22"/>
        <v>ATENÇÃO</v>
      </c>
      <c r="M188">
        <v>12</v>
      </c>
      <c r="N188">
        <v>100</v>
      </c>
      <c r="O188">
        <v>20.0836820083682</v>
      </c>
    </row>
    <row r="189" spans="1:15" customFormat="1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23"/>
        <v>17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17</v>
      </c>
      <c r="K189" s="3">
        <f t="shared" si="24"/>
        <v>0</v>
      </c>
      <c r="L189" s="3" t="str">
        <f t="shared" si="22"/>
        <v>BOM</v>
      </c>
      <c r="M189">
        <v>15</v>
      </c>
      <c r="N189">
        <v>100</v>
      </c>
      <c r="O189">
        <v>16.34241245136187</v>
      </c>
    </row>
    <row r="190" spans="1:15" customFormat="1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23"/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15</v>
      </c>
      <c r="K190" s="3">
        <f t="shared" si="24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customFormat="1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23"/>
        <v>20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15</v>
      </c>
      <c r="K191" s="3">
        <f t="shared" si="24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customFormat="1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23"/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 t="shared" si="24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customFormat="1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23"/>
        <v>12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15</v>
      </c>
      <c r="K193" s="3">
        <f t="shared" si="24"/>
        <v>-3</v>
      </c>
      <c r="L193" s="3" t="str">
        <f t="shared" ref="L193:L198" si="25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customFormat="1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23"/>
        <v>21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15</v>
      </c>
      <c r="K194" s="3">
        <f t="shared" si="24"/>
        <v>6</v>
      </c>
      <c r="L194" s="3" t="str">
        <f t="shared" si="25"/>
        <v>MUITO BOM</v>
      </c>
      <c r="M194" s="9">
        <v>19</v>
      </c>
      <c r="N194" s="9">
        <v>96.83</v>
      </c>
      <c r="O194" s="9">
        <v>20.94017094017094</v>
      </c>
    </row>
    <row r="195" spans="1:15" customFormat="1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23"/>
        <v>14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15</v>
      </c>
      <c r="K195" s="3">
        <f t="shared" si="24"/>
        <v>-1</v>
      </c>
      <c r="L195" s="3" t="str">
        <f t="shared" si="25"/>
        <v>ATENÇÃO</v>
      </c>
      <c r="M195" s="9">
        <v>11</v>
      </c>
      <c r="N195" s="9">
        <v>100</v>
      </c>
      <c r="O195" s="9">
        <v>20.0836820083682</v>
      </c>
    </row>
    <row r="196" spans="1:15" customFormat="1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23"/>
        <v>15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15</v>
      </c>
      <c r="K196" s="3">
        <f t="shared" si="24"/>
        <v>0</v>
      </c>
      <c r="L196" s="3" t="str">
        <f t="shared" si="25"/>
        <v>OPORTUNO</v>
      </c>
      <c r="M196" s="9">
        <v>15</v>
      </c>
      <c r="N196" s="9">
        <v>100</v>
      </c>
      <c r="O196" s="9">
        <v>16.34241245136187</v>
      </c>
    </row>
    <row r="197" spans="1:15" customFormat="1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23"/>
        <v>22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13</v>
      </c>
      <c r="K197" s="3">
        <f t="shared" si="24"/>
        <v>9</v>
      </c>
      <c r="L197" s="3" t="str">
        <f t="shared" si="25"/>
        <v>MUITO BOM</v>
      </c>
      <c r="M197" s="3">
        <v>20</v>
      </c>
      <c r="N197" s="3">
        <v>99.25</v>
      </c>
      <c r="O197" s="3">
        <v>20.408163265306118</v>
      </c>
    </row>
    <row r="198" spans="1:15" customFormat="1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23"/>
        <v>14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13</v>
      </c>
      <c r="K198" s="3">
        <f t="shared" si="24"/>
        <v>1</v>
      </c>
      <c r="L198" s="3" t="str">
        <f t="shared" si="25"/>
        <v>OPORTUNO</v>
      </c>
      <c r="M198" s="3">
        <v>15</v>
      </c>
      <c r="N198" s="3">
        <v>97.62</v>
      </c>
      <c r="O198" s="3">
        <v>17.82477341389728</v>
      </c>
    </row>
    <row r="199" spans="1:15" customFormat="1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23"/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 t="shared" si="24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customFormat="1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23"/>
        <v>12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13</v>
      </c>
      <c r="K200" s="3">
        <f t="shared" si="24"/>
        <v>-1</v>
      </c>
      <c r="L200" s="3" t="str">
        <f t="shared" ref="L200:L230" si="26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customFormat="1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23"/>
        <v>18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13</v>
      </c>
      <c r="K201" s="3">
        <f t="shared" si="24"/>
        <v>5</v>
      </c>
      <c r="L201" s="3" t="str">
        <f t="shared" si="26"/>
        <v>OPORTUNO</v>
      </c>
      <c r="M201" s="3">
        <v>16</v>
      </c>
      <c r="N201" s="3">
        <v>96.83</v>
      </c>
      <c r="O201" s="3">
        <v>20.94017094017094</v>
      </c>
    </row>
    <row r="202" spans="1:15" customFormat="1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23"/>
        <v>10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13</v>
      </c>
      <c r="K202" s="3">
        <f t="shared" si="24"/>
        <v>-3</v>
      </c>
      <c r="L202" s="3" t="str">
        <f t="shared" si="26"/>
        <v>ATENÇÃO</v>
      </c>
      <c r="M202" s="3">
        <v>12</v>
      </c>
      <c r="N202" s="3">
        <v>100</v>
      </c>
      <c r="O202" s="3">
        <v>20.0836820083682</v>
      </c>
    </row>
    <row r="203" spans="1:15" customFormat="1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23"/>
        <v>14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13</v>
      </c>
      <c r="K203" s="3">
        <f t="shared" si="24"/>
        <v>1</v>
      </c>
      <c r="L203" s="3" t="str">
        <f t="shared" si="26"/>
        <v>OPORTUNO</v>
      </c>
      <c r="M203" s="3">
        <v>12</v>
      </c>
      <c r="N203" s="3">
        <v>100</v>
      </c>
      <c r="O203" s="3">
        <v>16.34241245136187</v>
      </c>
    </row>
    <row r="204" spans="1:15" customFormat="1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23"/>
        <v>19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11</v>
      </c>
      <c r="K204" s="3">
        <f t="shared" si="24"/>
        <v>8</v>
      </c>
      <c r="L204" s="3" t="str">
        <f t="shared" si="26"/>
        <v>MUITO BOM</v>
      </c>
      <c r="M204" s="3">
        <v>18</v>
      </c>
      <c r="N204" s="3">
        <v>99.25</v>
      </c>
      <c r="O204" s="3">
        <v>20.408163265306118</v>
      </c>
    </row>
    <row r="205" spans="1:15" customFormat="1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23"/>
        <v>19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11</v>
      </c>
      <c r="K205" s="3">
        <f t="shared" si="24"/>
        <v>8</v>
      </c>
      <c r="L205" s="3" t="str">
        <f t="shared" si="26"/>
        <v>MUITO BOM</v>
      </c>
      <c r="M205" s="3">
        <v>20</v>
      </c>
      <c r="N205" s="3">
        <v>97.62</v>
      </c>
      <c r="O205" s="3">
        <v>17.82477341389728</v>
      </c>
    </row>
    <row r="206" spans="1:15" customFormat="1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23"/>
        <v>12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11</v>
      </c>
      <c r="K206" s="3">
        <f t="shared" si="24"/>
        <v>1</v>
      </c>
      <c r="L206" s="3" t="str">
        <f t="shared" si="26"/>
        <v>OPORTUNO</v>
      </c>
      <c r="M206" s="3">
        <v>8</v>
      </c>
      <c r="N206" s="3">
        <v>100</v>
      </c>
      <c r="O206" s="3">
        <v>19.072164948453612</v>
      </c>
    </row>
    <row r="207" spans="1:15" customFormat="1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23"/>
        <v>18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11</v>
      </c>
      <c r="K207" s="3">
        <f t="shared" si="24"/>
        <v>7</v>
      </c>
      <c r="L207" s="3" t="str">
        <f t="shared" si="26"/>
        <v>MUITO BOM</v>
      </c>
      <c r="M207" s="3">
        <v>16</v>
      </c>
      <c r="N207" s="3">
        <v>96.83</v>
      </c>
      <c r="O207" s="3">
        <v>20.94017094017094</v>
      </c>
    </row>
    <row r="208" spans="1:15" customFormat="1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23"/>
        <v>17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11</v>
      </c>
      <c r="K208" s="3">
        <f t="shared" si="24"/>
        <v>6</v>
      </c>
      <c r="L208" s="3" t="str">
        <f t="shared" si="26"/>
        <v>MUITO BOM</v>
      </c>
      <c r="M208" s="3">
        <v>9</v>
      </c>
      <c r="N208" s="3">
        <v>100</v>
      </c>
      <c r="O208" s="3">
        <v>20.0836820083682</v>
      </c>
    </row>
    <row r="209" spans="1:15" customFormat="1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23"/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11</v>
      </c>
      <c r="K209" s="3">
        <f t="shared" si="24"/>
        <v>8</v>
      </c>
      <c r="L209" s="3" t="str">
        <f t="shared" si="26"/>
        <v>MUITO BOM</v>
      </c>
      <c r="M209" s="3">
        <v>15</v>
      </c>
      <c r="N209" s="3">
        <v>100</v>
      </c>
      <c r="O209" s="3">
        <v>16.34241245136187</v>
      </c>
    </row>
    <row r="210" spans="1:15" customFormat="1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26"/>
        <v>OPORTUNO</v>
      </c>
      <c r="M210">
        <v>25</v>
      </c>
      <c r="N210">
        <v>99.25</v>
      </c>
      <c r="O210">
        <v>20.408163265306118</v>
      </c>
    </row>
    <row r="211" spans="1:15" customFormat="1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26"/>
        <v>OPORTUNO</v>
      </c>
      <c r="M211">
        <v>13</v>
      </c>
      <c r="N211">
        <v>97.62</v>
      </c>
      <c r="O211">
        <v>17.82477341389728</v>
      </c>
    </row>
    <row r="212" spans="1:15" customFormat="1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26"/>
        <v>OPORTUNO</v>
      </c>
      <c r="M212">
        <v>13</v>
      </c>
      <c r="N212">
        <v>100</v>
      </c>
      <c r="O212">
        <v>19.072164948453612</v>
      </c>
    </row>
    <row r="213" spans="1:15" customFormat="1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26"/>
        <v>OPORTUNO</v>
      </c>
      <c r="M213">
        <v>0</v>
      </c>
      <c r="N213">
        <v>96.83</v>
      </c>
      <c r="O213">
        <v>20.94017094017094</v>
      </c>
    </row>
    <row r="214" spans="1:15" customFormat="1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26"/>
        <v>OPORTUNO</v>
      </c>
      <c r="M214">
        <v>16</v>
      </c>
      <c r="N214">
        <v>100</v>
      </c>
      <c r="O214">
        <v>20.0836820083682</v>
      </c>
    </row>
    <row r="215" spans="1:15" customFormat="1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26"/>
        <v>OPORTUNO</v>
      </c>
      <c r="M215">
        <v>10</v>
      </c>
      <c r="N215">
        <v>100</v>
      </c>
      <c r="O215">
        <v>16.34241245136187</v>
      </c>
    </row>
    <row r="216" spans="1:15" customFormat="1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27"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28">I216-J216</f>
        <v>6</v>
      </c>
      <c r="L216" s="3" t="str">
        <f t="shared" si="26"/>
        <v>MUITO BOM</v>
      </c>
      <c r="M216">
        <v>26</v>
      </c>
      <c r="N216">
        <v>97.17</v>
      </c>
      <c r="O216">
        <v>28.81844380403458</v>
      </c>
    </row>
    <row r="217" spans="1:15" customFormat="1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27"/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 t="shared" si="28"/>
        <v>-5</v>
      </c>
      <c r="L217" s="3" t="str">
        <f t="shared" si="26"/>
        <v>ATENÇÃO</v>
      </c>
      <c r="M217">
        <v>12</v>
      </c>
      <c r="N217">
        <v>98.15</v>
      </c>
      <c r="O217">
        <v>27.1551724137931</v>
      </c>
    </row>
    <row r="218" spans="1:15" customFormat="1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27"/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 t="shared" si="28"/>
        <v>-1</v>
      </c>
      <c r="L218" s="3" t="str">
        <f t="shared" si="26"/>
        <v>ATENÇÃO</v>
      </c>
      <c r="M218">
        <v>12</v>
      </c>
      <c r="N218">
        <v>96.15</v>
      </c>
      <c r="O218">
        <v>24.045801526717561</v>
      </c>
    </row>
    <row r="219" spans="1:15" customFormat="1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27"/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 t="shared" si="28"/>
        <v>3</v>
      </c>
      <c r="L219" s="3" t="str">
        <f t="shared" si="26"/>
        <v>OPORTUNO</v>
      </c>
      <c r="M219">
        <v>20</v>
      </c>
      <c r="N219">
        <v>98.84</v>
      </c>
      <c r="O219">
        <v>31.868131868131869</v>
      </c>
    </row>
    <row r="220" spans="1:15" customFormat="1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27"/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 t="shared" si="28"/>
        <v>0</v>
      </c>
      <c r="L220" s="3" t="str">
        <f t="shared" si="26"/>
        <v>OPORTUNO</v>
      </c>
      <c r="M220">
        <v>15</v>
      </c>
      <c r="N220">
        <v>100</v>
      </c>
      <c r="O220">
        <v>34.666666666666671</v>
      </c>
    </row>
    <row r="221" spans="1:15" customFormat="1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27"/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 t="shared" si="28"/>
        <v>2</v>
      </c>
      <c r="L221" s="3" t="str">
        <f t="shared" si="26"/>
        <v>OPORTUNO</v>
      </c>
      <c r="M221">
        <v>22</v>
      </c>
      <c r="N221">
        <v>97.17</v>
      </c>
      <c r="O221">
        <v>28.81844380403458</v>
      </c>
    </row>
    <row r="222" spans="1:15" customFormat="1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27"/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 t="shared" si="28"/>
        <v>-6</v>
      </c>
      <c r="L222" s="3" t="str">
        <f t="shared" si="26"/>
        <v>CRÍTICO</v>
      </c>
      <c r="M222">
        <v>11</v>
      </c>
      <c r="N222">
        <v>98.15</v>
      </c>
      <c r="O222">
        <v>27.1551724137931</v>
      </c>
    </row>
    <row r="223" spans="1:15" customFormat="1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26"/>
        <v>OPORTUNO</v>
      </c>
      <c r="M223">
        <v>0</v>
      </c>
      <c r="N223">
        <v>96.15</v>
      </c>
      <c r="O223">
        <v>24.045801526717561</v>
      </c>
    </row>
    <row r="224" spans="1:15" customFormat="1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29"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30">I224-J224</f>
        <v>2</v>
      </c>
      <c r="L224" s="3" t="str">
        <f t="shared" si="26"/>
        <v>OPORTUNO</v>
      </c>
      <c r="M224">
        <v>17</v>
      </c>
      <c r="N224">
        <v>98.84</v>
      </c>
      <c r="O224">
        <v>31.868131868131869</v>
      </c>
    </row>
    <row r="225" spans="1:16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29"/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si="30"/>
        <v>3</v>
      </c>
      <c r="L225" s="3" t="str">
        <f t="shared" si="26"/>
        <v>OPORTUNO</v>
      </c>
      <c r="M225">
        <v>18</v>
      </c>
      <c r="N225">
        <v>100</v>
      </c>
      <c r="O225">
        <v>34.666666666666671</v>
      </c>
      <c r="P225"/>
    </row>
    <row r="226" spans="1:16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29"/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 t="shared" si="30"/>
        <v>-1</v>
      </c>
      <c r="L226" s="3" t="str">
        <f t="shared" si="26"/>
        <v>ATENÇÃO</v>
      </c>
      <c r="M226">
        <v>17</v>
      </c>
      <c r="N226">
        <v>97.17</v>
      </c>
      <c r="O226">
        <v>28.81844380403458</v>
      </c>
      <c r="P226"/>
    </row>
    <row r="227" spans="1:16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29"/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 t="shared" si="30"/>
        <v>3</v>
      </c>
      <c r="L227" s="3" t="str">
        <f t="shared" si="26"/>
        <v>OPORTUNO</v>
      </c>
      <c r="M227">
        <v>19</v>
      </c>
      <c r="N227">
        <v>98.15</v>
      </c>
      <c r="O227">
        <v>27.1551724137931</v>
      </c>
      <c r="P227"/>
    </row>
    <row r="228" spans="1:16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29"/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 t="shared" si="30"/>
        <v>2</v>
      </c>
      <c r="L228" s="3" t="str">
        <f t="shared" si="26"/>
        <v>OPORTUNO</v>
      </c>
      <c r="M228">
        <v>9</v>
      </c>
      <c r="N228">
        <v>96.15</v>
      </c>
      <c r="O228">
        <v>24.045801526717561</v>
      </c>
      <c r="P228"/>
    </row>
    <row r="229" spans="1:16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29"/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 t="shared" si="30"/>
        <v>1</v>
      </c>
      <c r="L229" s="3" t="str">
        <f t="shared" si="26"/>
        <v>OPORTUNO</v>
      </c>
      <c r="M229">
        <v>16</v>
      </c>
      <c r="N229">
        <v>98.84</v>
      </c>
      <c r="O229">
        <v>31.868131868131869</v>
      </c>
      <c r="P229"/>
    </row>
    <row r="230" spans="1:16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29"/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 t="shared" si="30"/>
        <v>-5</v>
      </c>
      <c r="L230" s="3" t="str">
        <f t="shared" si="26"/>
        <v>ATENÇÃO</v>
      </c>
      <c r="M230">
        <v>12</v>
      </c>
      <c r="N230">
        <v>100</v>
      </c>
      <c r="O230">
        <v>34.666666666666671</v>
      </c>
      <c r="P230"/>
    </row>
    <row r="231" spans="1:16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  <c r="P231"/>
    </row>
    <row r="232" spans="1:16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  <c r="P232"/>
    </row>
    <row r="233" spans="1:16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  <c r="P233"/>
    </row>
    <row r="234" spans="1:16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  <c r="P234"/>
    </row>
    <row r="235" spans="1:16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  <c r="P235"/>
    </row>
    <row r="236" spans="1:16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  <c r="P236"/>
    </row>
    <row r="237" spans="1:16" hidden="1" x14ac:dyDescent="0.25">
      <c r="A237" s="11">
        <v>46140</v>
      </c>
      <c r="B237" t="s">
        <v>31</v>
      </c>
      <c r="C237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6" hidden="1" x14ac:dyDescent="0.25">
      <c r="A238" s="11">
        <v>46141</v>
      </c>
      <c r="B238" t="s">
        <v>31</v>
      </c>
      <c r="C238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98.66</v>
      </c>
      <c r="O238" s="3">
        <v>35.416666666666671</v>
      </c>
    </row>
    <row r="239" spans="1:16" hidden="1" x14ac:dyDescent="0.25">
      <c r="A239" s="11">
        <v>46142</v>
      </c>
      <c r="B239" t="s">
        <v>31</v>
      </c>
      <c r="C239" t="s">
        <v>32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 s="3">
        <v>0</v>
      </c>
      <c r="N239" s="3">
        <v>98.66</v>
      </c>
      <c r="O239" s="3">
        <v>35.416666666666671</v>
      </c>
    </row>
    <row r="240" spans="1:16" hidden="1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3">
        <v>0</v>
      </c>
      <c r="N240" s="3">
        <v>100</v>
      </c>
      <c r="O240" s="3">
        <v>0</v>
      </c>
    </row>
    <row r="241" spans="1:16" hidden="1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3">
        <v>0</v>
      </c>
      <c r="N241" s="3">
        <v>100</v>
      </c>
      <c r="O241" s="3">
        <v>0</v>
      </c>
    </row>
    <row r="242" spans="1:16" hidden="1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3">
        <v>0</v>
      </c>
      <c r="N242" s="3">
        <v>100</v>
      </c>
      <c r="O242" s="3">
        <v>0</v>
      </c>
    </row>
    <row r="243" spans="1:16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  <c r="P243"/>
    </row>
    <row r="244" spans="1:16" hidden="1" x14ac:dyDescent="0.25">
      <c r="A244" s="11">
        <v>46168</v>
      </c>
      <c r="B244" t="s">
        <v>31</v>
      </c>
      <c r="C244" t="s">
        <v>32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M244" s="3">
        <v>0</v>
      </c>
      <c r="N244" s="3">
        <v>100</v>
      </c>
      <c r="O244" s="3">
        <v>0</v>
      </c>
    </row>
    <row r="245" spans="1:16" hidden="1" x14ac:dyDescent="0.25">
      <c r="A245" s="11">
        <v>46140</v>
      </c>
      <c r="B245" t="s">
        <v>33</v>
      </c>
      <c r="C24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100</v>
      </c>
      <c r="O245" s="3">
        <v>27.803738317757009</v>
      </c>
    </row>
    <row r="246" spans="1:16" hidden="1" x14ac:dyDescent="0.25">
      <c r="A246" s="11">
        <v>46141</v>
      </c>
      <c r="B246" t="s">
        <v>33</v>
      </c>
      <c r="C246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0</v>
      </c>
      <c r="N246" s="3">
        <v>100</v>
      </c>
      <c r="O246" s="3">
        <v>27.803738317757009</v>
      </c>
    </row>
    <row r="247" spans="1:16" hidden="1" x14ac:dyDescent="0.25">
      <c r="A247" s="11">
        <v>46142</v>
      </c>
      <c r="B247" t="s">
        <v>33</v>
      </c>
      <c r="C247" t="s">
        <v>32</v>
      </c>
      <c r="D247" s="3">
        <v>33</v>
      </c>
      <c r="E247" s="3">
        <v>32</v>
      </c>
      <c r="F247" s="3">
        <v>13.4</v>
      </c>
      <c r="G247" s="3">
        <v>0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 s="3">
        <v>28</v>
      </c>
      <c r="N247" s="3">
        <v>100</v>
      </c>
      <c r="O247" s="3">
        <v>27.803738317757009</v>
      </c>
    </row>
    <row r="248" spans="1:16" hidden="1" x14ac:dyDescent="0.25">
      <c r="A248" s="5">
        <v>46146</v>
      </c>
      <c r="B248" s="6" t="s">
        <v>33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3">
        <v>31</v>
      </c>
      <c r="N248" s="3">
        <v>96.94</v>
      </c>
      <c r="O248" s="3">
        <v>19.613259668508292</v>
      </c>
    </row>
    <row r="249" spans="1:16" hidden="1" x14ac:dyDescent="0.25">
      <c r="A249" s="5">
        <v>46147</v>
      </c>
      <c r="B249" s="6" t="s">
        <v>33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6" hidden="1" x14ac:dyDescent="0.25">
      <c r="A250" s="5">
        <v>46148</v>
      </c>
      <c r="B250" s="6" t="s">
        <v>33</v>
      </c>
      <c r="C250" s="9" t="s">
        <v>32</v>
      </c>
      <c r="D250" s="3">
        <v>22</v>
      </c>
      <c r="E250" s="3">
        <v>20</v>
      </c>
      <c r="F250" s="3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6" hidden="1" x14ac:dyDescent="0.25">
      <c r="A251" s="11">
        <v>46168</v>
      </c>
      <c r="B251" t="s">
        <v>33</v>
      </c>
      <c r="C251" t="s">
        <v>32</v>
      </c>
      <c r="D251" s="3">
        <v>33</v>
      </c>
      <c r="E251" s="3">
        <v>27</v>
      </c>
      <c r="F251" s="3">
        <v>12.19</v>
      </c>
      <c r="G251" s="3">
        <v>3</v>
      </c>
      <c r="M251" s="3">
        <v>26</v>
      </c>
      <c r="N251" s="3">
        <v>96.94</v>
      </c>
      <c r="O251" s="3">
        <v>21.546961325966851</v>
      </c>
    </row>
    <row r="252" spans="1:16" hidden="1" x14ac:dyDescent="0.25">
      <c r="A252" s="11">
        <v>46140</v>
      </c>
      <c r="B252" t="s">
        <v>34</v>
      </c>
      <c r="C252" t="s">
        <v>32</v>
      </c>
      <c r="D252" s="3">
        <v>28</v>
      </c>
      <c r="E252" s="3">
        <v>24</v>
      </c>
      <c r="F252" s="3">
        <v>15.03</v>
      </c>
      <c r="G252" s="3">
        <v>0</v>
      </c>
      <c r="H252" s="3">
        <v>0</v>
      </c>
      <c r="I252" s="3">
        <f t="shared" ref="I252:I257" si="31">E252+G252+H252</f>
        <v>24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 t="shared" ref="K252:K257" si="32">I252-J252</f>
        <v>-10</v>
      </c>
      <c r="L252" s="3" t="str">
        <f>IF(K252&lt;-5,"CRÍTICO",IF(K252&lt;0,"ATENÇÃO",IF(K252&lt;=5,"OPORTUNO","MUITO BOM")))</f>
        <v>CRÍTICO</v>
      </c>
      <c r="M252" s="3">
        <v>22</v>
      </c>
      <c r="N252" s="3">
        <v>93.75</v>
      </c>
      <c r="O252" s="3">
        <v>26.819923371647509</v>
      </c>
    </row>
    <row r="253" spans="1:16" hidden="1" x14ac:dyDescent="0.25">
      <c r="A253" s="11">
        <v>46141</v>
      </c>
      <c r="B253" t="s">
        <v>34</v>
      </c>
      <c r="C253" t="s">
        <v>32</v>
      </c>
      <c r="D253" s="3">
        <v>42</v>
      </c>
      <c r="E253" s="3">
        <v>35</v>
      </c>
      <c r="F253" s="3">
        <v>10.130000000000001</v>
      </c>
      <c r="G253" s="3">
        <v>0</v>
      </c>
      <c r="H253" s="3">
        <v>0</v>
      </c>
      <c r="I253" s="3">
        <f t="shared" si="31"/>
        <v>35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35</v>
      </c>
      <c r="K253" s="3">
        <f t="shared" si="32"/>
        <v>0</v>
      </c>
      <c r="L253" s="3" t="str">
        <f>IF(K253&lt;-5,"CRÍTICO",IF(K253&lt;0,"ATENÇÃO",IF(K253&lt;=5,"OPORTUNO","MUITO BOM")))</f>
        <v>OPORTUNO</v>
      </c>
      <c r="M253" s="3">
        <v>39</v>
      </c>
      <c r="N253" s="3">
        <v>93.75</v>
      </c>
      <c r="O253" s="3">
        <v>26.819923371647509</v>
      </c>
    </row>
    <row r="254" spans="1:16" hidden="1" x14ac:dyDescent="0.25">
      <c r="A254" s="11">
        <v>46142</v>
      </c>
      <c r="B254" t="s">
        <v>34</v>
      </c>
      <c r="C254" t="s">
        <v>32</v>
      </c>
      <c r="D254" s="3">
        <v>39</v>
      </c>
      <c r="E254" s="3">
        <v>37</v>
      </c>
      <c r="F254" s="3">
        <v>11.54</v>
      </c>
      <c r="G254" s="3">
        <v>0</v>
      </c>
      <c r="H254" s="3">
        <v>0</v>
      </c>
      <c r="I254" s="3">
        <f t="shared" si="31"/>
        <v>37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32</v>
      </c>
      <c r="K254" s="3">
        <f t="shared" si="32"/>
        <v>5</v>
      </c>
      <c r="L254" s="3" t="str">
        <f>IF(K254&lt;-5,"CRÍTICO",IF(K254&lt;0,"ATENÇÃO",IF(K254&lt;=5,"OPORTUNO","MUITO BOM")))</f>
        <v>OPORTUNO</v>
      </c>
      <c r="M254" s="3">
        <v>37</v>
      </c>
      <c r="N254" s="3">
        <v>93.75</v>
      </c>
      <c r="O254" s="3">
        <v>26.819923371647509</v>
      </c>
    </row>
    <row r="255" spans="1:16" hidden="1" x14ac:dyDescent="0.25">
      <c r="A255" s="5">
        <v>46146</v>
      </c>
      <c r="B255" s="6" t="s">
        <v>34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 t="shared" si="31"/>
        <v>38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35</v>
      </c>
      <c r="K255" s="3">
        <f t="shared" si="32"/>
        <v>3</v>
      </c>
      <c r="L255" s="3" t="str">
        <f>IF(K255&lt;-5,"CRÍTICO",IF(K255&lt;0,"ATENÇÃO",IF(K255&lt;=5,"BOM","EXCELENTE")))</f>
        <v>BOM</v>
      </c>
      <c r="M255" s="3">
        <v>32</v>
      </c>
      <c r="N255" s="3">
        <v>92.81</v>
      </c>
      <c r="O255" s="3">
        <v>25.477707006369432</v>
      </c>
    </row>
    <row r="256" spans="1:16" hidden="1" x14ac:dyDescent="0.25">
      <c r="A256" s="5">
        <v>46147</v>
      </c>
      <c r="B256" s="6" t="s">
        <v>34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 t="shared" si="31"/>
        <v>47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35</v>
      </c>
      <c r="K256" s="3">
        <f t="shared" si="32"/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hidden="1" x14ac:dyDescent="0.25">
      <c r="A257" s="5">
        <v>46148</v>
      </c>
      <c r="B257" s="6" t="s">
        <v>34</v>
      </c>
      <c r="C257" s="3" t="s">
        <v>32</v>
      </c>
      <c r="D257" s="3">
        <v>48</v>
      </c>
      <c r="E257" s="3">
        <v>44</v>
      </c>
      <c r="F257" s="3">
        <v>12.07</v>
      </c>
      <c r="G257" s="3">
        <v>0</v>
      </c>
      <c r="H257" s="3">
        <v>0</v>
      </c>
      <c r="I257" s="3">
        <f t="shared" si="31"/>
        <v>44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35</v>
      </c>
      <c r="K257" s="3">
        <f t="shared" si="32"/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hidden="1" x14ac:dyDescent="0.25">
      <c r="A258" s="11">
        <v>46168</v>
      </c>
      <c r="B258" t="s">
        <v>34</v>
      </c>
      <c r="C258" t="s">
        <v>32</v>
      </c>
      <c r="D258" s="3">
        <v>24</v>
      </c>
      <c r="E258" s="3">
        <v>22</v>
      </c>
      <c r="F258" s="3">
        <v>10.43</v>
      </c>
      <c r="G258" s="3">
        <v>0</v>
      </c>
      <c r="M258" s="3">
        <v>15</v>
      </c>
      <c r="N258" s="3">
        <v>92.81</v>
      </c>
      <c r="O258" s="3">
        <v>26.114649681528661</v>
      </c>
    </row>
    <row r="259" spans="1:15" hidden="1" x14ac:dyDescent="0.25">
      <c r="A259" s="11">
        <v>46140</v>
      </c>
      <c r="B259" t="s">
        <v>35</v>
      </c>
      <c r="C259" t="s">
        <v>32</v>
      </c>
      <c r="D259" s="3">
        <v>30</v>
      </c>
      <c r="E259" s="3">
        <v>28</v>
      </c>
      <c r="F259" s="3">
        <v>22.11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 s="3">
        <v>29</v>
      </c>
      <c r="N259" s="3">
        <v>100</v>
      </c>
      <c r="O259" s="3">
        <v>38.653846153846153</v>
      </c>
    </row>
    <row r="260" spans="1:15" hidden="1" x14ac:dyDescent="0.25">
      <c r="A260" s="11">
        <v>46141</v>
      </c>
      <c r="B260" t="s">
        <v>35</v>
      </c>
      <c r="C260" t="s">
        <v>32</v>
      </c>
      <c r="D260" s="3">
        <v>33</v>
      </c>
      <c r="E260" s="3">
        <v>31</v>
      </c>
      <c r="F260" s="3">
        <v>20.43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 s="3">
        <v>33</v>
      </c>
      <c r="N260" s="3">
        <v>100</v>
      </c>
      <c r="O260" s="3">
        <v>38.653846153846153</v>
      </c>
    </row>
    <row r="261" spans="1:15" hidden="1" x14ac:dyDescent="0.25">
      <c r="A261" s="11">
        <v>46142</v>
      </c>
      <c r="B261" t="s">
        <v>35</v>
      </c>
      <c r="C261" t="s">
        <v>32</v>
      </c>
      <c r="D261" s="3">
        <v>33</v>
      </c>
      <c r="E261" s="3">
        <v>30</v>
      </c>
      <c r="F261" s="3">
        <v>20.329999999999998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 s="3">
        <v>31</v>
      </c>
      <c r="N261" s="3">
        <v>100</v>
      </c>
      <c r="O261" s="3">
        <v>38.653846153846153</v>
      </c>
    </row>
    <row r="262" spans="1:15" hidden="1" x14ac:dyDescent="0.25">
      <c r="A262" s="5">
        <v>46146</v>
      </c>
      <c r="B262" s="6" t="s">
        <v>35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3">
        <v>25</v>
      </c>
      <c r="N262" s="3">
        <v>99.19</v>
      </c>
      <c r="O262" s="3">
        <v>28.404669260700391</v>
      </c>
    </row>
    <row r="263" spans="1:15" hidden="1" x14ac:dyDescent="0.25">
      <c r="A263" s="5">
        <v>46147</v>
      </c>
      <c r="B263" s="6" t="s">
        <v>35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hidden="1" x14ac:dyDescent="0.25">
      <c r="A264" s="5">
        <v>46148</v>
      </c>
      <c r="B264" s="6" t="s">
        <v>35</v>
      </c>
      <c r="C264" s="9" t="s">
        <v>32</v>
      </c>
      <c r="D264" s="3">
        <v>24</v>
      </c>
      <c r="E264" s="3">
        <v>22</v>
      </c>
      <c r="F264" s="3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hidden="1" x14ac:dyDescent="0.25">
      <c r="A265" s="11">
        <v>46168</v>
      </c>
      <c r="B265" t="s">
        <v>35</v>
      </c>
      <c r="C265" t="s">
        <v>32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M265" s="3">
        <v>0</v>
      </c>
      <c r="N265" s="3">
        <v>99.19</v>
      </c>
      <c r="O265" s="3">
        <v>29.57198443579767</v>
      </c>
    </row>
    <row r="266" spans="1:15" hidden="1" x14ac:dyDescent="0.25">
      <c r="A266" s="11">
        <v>46140</v>
      </c>
      <c r="B266" t="s">
        <v>36</v>
      </c>
      <c r="C266" t="s">
        <v>32</v>
      </c>
      <c r="D266" s="3">
        <v>32</v>
      </c>
      <c r="E266" s="3">
        <v>31</v>
      </c>
      <c r="F266" s="3">
        <v>18.489999999999998</v>
      </c>
      <c r="G266" s="3">
        <v>0</v>
      </c>
      <c r="H266" s="3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 s="3">
        <v>30</v>
      </c>
      <c r="N266" s="3">
        <v>99.26</v>
      </c>
      <c r="O266" s="3">
        <v>29.766536964980549</v>
      </c>
    </row>
    <row r="267" spans="1:15" hidden="1" x14ac:dyDescent="0.25">
      <c r="A267" s="11">
        <v>46141</v>
      </c>
      <c r="B267" t="s">
        <v>36</v>
      </c>
      <c r="C267" t="s">
        <v>32</v>
      </c>
      <c r="D267" s="3">
        <v>31</v>
      </c>
      <c r="E267" s="3">
        <v>29</v>
      </c>
      <c r="F267" s="3">
        <v>16.579999999999998</v>
      </c>
      <c r="G267" s="3">
        <v>0</v>
      </c>
      <c r="H267" s="3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 s="3">
        <v>28</v>
      </c>
      <c r="N267" s="3">
        <v>99.26</v>
      </c>
      <c r="O267" s="3">
        <v>29.766536964980549</v>
      </c>
    </row>
    <row r="268" spans="1:15" hidden="1" x14ac:dyDescent="0.25">
      <c r="A268" s="11">
        <v>46142</v>
      </c>
      <c r="B268" t="s">
        <v>36</v>
      </c>
      <c r="C268" t="s">
        <v>32</v>
      </c>
      <c r="D268" s="3">
        <v>29</v>
      </c>
      <c r="E268" s="3">
        <v>26</v>
      </c>
      <c r="F268" s="3">
        <v>15.07</v>
      </c>
      <c r="G268" s="3">
        <v>0</v>
      </c>
      <c r="H268" s="3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 s="3">
        <v>27</v>
      </c>
      <c r="N268" s="3">
        <v>99.26</v>
      </c>
      <c r="O268" s="3">
        <v>29.766536964980549</v>
      </c>
    </row>
    <row r="269" spans="1:15" hidden="1" x14ac:dyDescent="0.25">
      <c r="A269" s="5">
        <v>46146</v>
      </c>
      <c r="B269" s="6" t="s">
        <v>36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3">
        <v>0</v>
      </c>
      <c r="N269" s="3">
        <v>100</v>
      </c>
      <c r="O269" s="3">
        <v>13.51351351351351</v>
      </c>
    </row>
    <row r="270" spans="1:15" hidden="1" x14ac:dyDescent="0.25">
      <c r="A270" s="5">
        <v>46147</v>
      </c>
      <c r="B270" s="6" t="s">
        <v>36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hidden="1" x14ac:dyDescent="0.25">
      <c r="A271" s="5">
        <v>46148</v>
      </c>
      <c r="B271" s="6" t="s">
        <v>36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hidden="1" x14ac:dyDescent="0.25">
      <c r="A272" s="11">
        <v>46168</v>
      </c>
      <c r="B272" t="s">
        <v>36</v>
      </c>
      <c r="C272" t="s">
        <v>32</v>
      </c>
      <c r="D272" s="3">
        <v>38</v>
      </c>
      <c r="E272" s="3">
        <v>35</v>
      </c>
      <c r="F272" s="3">
        <v>12</v>
      </c>
      <c r="G272" s="3">
        <v>3</v>
      </c>
      <c r="M272" s="3">
        <v>34</v>
      </c>
      <c r="N272" s="3">
        <v>100</v>
      </c>
      <c r="O272" s="3">
        <v>15.06849315068493</v>
      </c>
    </row>
    <row r="273" spans="1:16" hidden="1" x14ac:dyDescent="0.25">
      <c r="A273" s="11">
        <v>46140</v>
      </c>
      <c r="B273" t="s">
        <v>37</v>
      </c>
      <c r="C273" t="s">
        <v>32</v>
      </c>
      <c r="D273" s="3">
        <v>38</v>
      </c>
      <c r="E273" s="3">
        <v>35</v>
      </c>
      <c r="F273" s="3">
        <v>16.57</v>
      </c>
      <c r="G273" s="3">
        <v>0</v>
      </c>
      <c r="H273" s="3">
        <v>0</v>
      </c>
      <c r="I273" s="3">
        <f t="shared" ref="I273:I278" si="33"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 t="shared" ref="K273:K278" si="34">I273-J273</f>
        <v>1</v>
      </c>
      <c r="L273" s="3" t="str">
        <f>IF(K273&lt;-5,"CRÍTICO",IF(K273&lt;0,"ATENÇÃO",IF(K273&lt;=5,"OPORTUNO","MUITO BOM")))</f>
        <v>OPORTUNO</v>
      </c>
      <c r="M273" s="3">
        <v>32</v>
      </c>
      <c r="N273" s="3">
        <v>99.57</v>
      </c>
      <c r="O273" s="3">
        <v>30.635838150289018</v>
      </c>
    </row>
    <row r="274" spans="1:16" hidden="1" x14ac:dyDescent="0.25">
      <c r="A274" s="11">
        <v>46141</v>
      </c>
      <c r="B274" t="s">
        <v>37</v>
      </c>
      <c r="C274" t="s">
        <v>32</v>
      </c>
      <c r="D274" s="3">
        <v>44</v>
      </c>
      <c r="E274" s="3">
        <v>40</v>
      </c>
      <c r="F274" s="3">
        <v>12.14</v>
      </c>
      <c r="G274" s="3">
        <v>0</v>
      </c>
      <c r="H274" s="3">
        <v>0</v>
      </c>
      <c r="I274" s="3">
        <f t="shared" si="33"/>
        <v>40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 t="shared" si="34"/>
        <v>5</v>
      </c>
      <c r="L274" s="3" t="str">
        <f>IF(K274&lt;-5,"CRÍTICO",IF(K274&lt;0,"ATENÇÃO",IF(K274&lt;=5,"OPORTUNO","MUITO BOM")))</f>
        <v>OPORTUNO</v>
      </c>
      <c r="M274" s="3">
        <v>45</v>
      </c>
      <c r="N274" s="3">
        <v>99.57</v>
      </c>
      <c r="O274" s="3">
        <v>30.635838150289018</v>
      </c>
    </row>
    <row r="275" spans="1:16" hidden="1" x14ac:dyDescent="0.25">
      <c r="A275" s="11">
        <v>46142</v>
      </c>
      <c r="B275" t="s">
        <v>37</v>
      </c>
      <c r="C275" t="s">
        <v>32</v>
      </c>
      <c r="D275" s="3">
        <v>47</v>
      </c>
      <c r="E275" s="3">
        <v>42</v>
      </c>
      <c r="F275" s="3">
        <v>12.14</v>
      </c>
      <c r="G275" s="3">
        <v>0</v>
      </c>
      <c r="H275" s="3">
        <v>0</v>
      </c>
      <c r="I275" s="3">
        <f t="shared" si="33"/>
        <v>42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32</v>
      </c>
      <c r="K275" s="3">
        <f t="shared" si="34"/>
        <v>10</v>
      </c>
      <c r="L275" s="3" t="str">
        <f>IF(K275&lt;-5,"CRÍTICO",IF(K275&lt;0,"ATENÇÃO",IF(K275&lt;=5,"OPORTUNO","MUITO BOM")))</f>
        <v>MUITO BOM</v>
      </c>
      <c r="M275" s="3">
        <v>45</v>
      </c>
      <c r="N275" s="3">
        <v>99.57</v>
      </c>
      <c r="O275" s="3">
        <v>30.635838150289018</v>
      </c>
    </row>
    <row r="276" spans="1:16" hidden="1" x14ac:dyDescent="0.25">
      <c r="A276" s="5">
        <v>46146</v>
      </c>
      <c r="B276" s="6" t="s">
        <v>37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 t="shared" si="33"/>
        <v>49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 t="shared" si="34"/>
        <v>14</v>
      </c>
      <c r="L276" s="3" t="str">
        <f>IF(K276&lt;-5,"CRÍTICO",IF(K276&lt;0,"ATENÇÃO",IF(K276&lt;=5,"BOM","EXCELENTE")))</f>
        <v>EXCELENTE</v>
      </c>
      <c r="M276" s="3">
        <v>46</v>
      </c>
      <c r="N276" s="3">
        <v>99</v>
      </c>
      <c r="O276" s="3">
        <v>22.27414330218069</v>
      </c>
    </row>
    <row r="277" spans="1:16" hidden="1" x14ac:dyDescent="0.25">
      <c r="A277" s="5">
        <v>46147</v>
      </c>
      <c r="B277" s="6" t="s">
        <v>37</v>
      </c>
      <c r="C277" s="3" t="s">
        <v>32</v>
      </c>
      <c r="D277" s="3">
        <v>40</v>
      </c>
      <c r="E277" s="3">
        <v>40</v>
      </c>
      <c r="F277" s="3">
        <v>15.42</v>
      </c>
      <c r="G277" s="3">
        <v>2</v>
      </c>
      <c r="H277" s="3">
        <v>0</v>
      </c>
      <c r="I277" s="3">
        <f t="shared" si="33"/>
        <v>42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 t="shared" si="34"/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6" hidden="1" x14ac:dyDescent="0.25">
      <c r="A278" s="5">
        <v>46148</v>
      </c>
      <c r="B278" s="6" t="s">
        <v>37</v>
      </c>
      <c r="C278" s="3" t="s">
        <v>32</v>
      </c>
      <c r="D278" s="3">
        <v>52</v>
      </c>
      <c r="E278" s="3">
        <v>45</v>
      </c>
      <c r="F278" s="3">
        <v>13.59</v>
      </c>
      <c r="G278" s="3">
        <v>23</v>
      </c>
      <c r="H278" s="3">
        <v>0</v>
      </c>
      <c r="I278" s="3">
        <f t="shared" si="33"/>
        <v>68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 t="shared" si="34"/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6" hidden="1" x14ac:dyDescent="0.25">
      <c r="A279" s="11">
        <v>46168</v>
      </c>
      <c r="B279" t="s">
        <v>37</v>
      </c>
      <c r="C279" t="s">
        <v>32</v>
      </c>
      <c r="D279" s="3">
        <v>38</v>
      </c>
      <c r="E279" s="3">
        <v>35</v>
      </c>
      <c r="F279" s="3">
        <v>13.38</v>
      </c>
      <c r="G279" s="3">
        <v>5</v>
      </c>
      <c r="M279" s="3">
        <v>34</v>
      </c>
      <c r="N279" s="3">
        <v>99</v>
      </c>
      <c r="O279" s="3">
        <v>23.052959501557631</v>
      </c>
    </row>
    <row r="280" spans="1:16" hidden="1" x14ac:dyDescent="0.25">
      <c r="A280" s="11">
        <v>46140</v>
      </c>
      <c r="B280" t="s">
        <v>38</v>
      </c>
      <c r="C280" t="s">
        <v>32</v>
      </c>
      <c r="D280" s="3">
        <v>28</v>
      </c>
      <c r="E280" s="3">
        <v>28</v>
      </c>
      <c r="F280" s="3">
        <v>14.08</v>
      </c>
      <c r="G280" s="3">
        <v>0</v>
      </c>
      <c r="H280" s="3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 s="3">
        <v>24</v>
      </c>
      <c r="N280" s="3">
        <v>95.65</v>
      </c>
      <c r="O280" s="3">
        <v>32.432432432432442</v>
      </c>
    </row>
    <row r="281" spans="1:16" hidden="1" x14ac:dyDescent="0.25">
      <c r="A281" s="11">
        <v>46141</v>
      </c>
      <c r="B281" t="s">
        <v>38</v>
      </c>
      <c r="C281" t="s">
        <v>32</v>
      </c>
      <c r="D281" s="3">
        <v>22</v>
      </c>
      <c r="E281" s="3">
        <v>20</v>
      </c>
      <c r="F281" s="3">
        <v>15.05</v>
      </c>
      <c r="G281" s="3">
        <v>0</v>
      </c>
      <c r="H281" s="3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 s="3">
        <v>19</v>
      </c>
      <c r="N281" s="3">
        <v>95.65</v>
      </c>
      <c r="O281" s="3">
        <v>32.432432432432442</v>
      </c>
    </row>
    <row r="282" spans="1:16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  <c r="P282"/>
    </row>
    <row r="283" spans="1:16" hidden="1" x14ac:dyDescent="0.25">
      <c r="A283" s="11">
        <v>46142</v>
      </c>
      <c r="B283" t="s">
        <v>38</v>
      </c>
      <c r="C283" t="s">
        <v>32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 s="3">
        <v>9</v>
      </c>
      <c r="N283" s="3">
        <v>95.65</v>
      </c>
      <c r="O283" s="3">
        <v>32.432432432432442</v>
      </c>
    </row>
    <row r="284" spans="1:16" hidden="1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 t="shared" ref="L284:L315" si="35">IF(K284&lt;-5,"CRÍTICO",IF(K284&lt;0,"ATENÇÃO",IF(K284&lt;=5,"BOM","EXCELENTE")))</f>
        <v>BOM</v>
      </c>
      <c r="M284" s="3">
        <v>0</v>
      </c>
      <c r="N284" s="3">
        <v>100</v>
      </c>
      <c r="O284" s="3">
        <v>0</v>
      </c>
    </row>
    <row r="285" spans="1:16" hidden="1" x14ac:dyDescent="0.25">
      <c r="A285" s="5">
        <v>46149</v>
      </c>
      <c r="B285" s="6" t="s">
        <v>33</v>
      </c>
      <c r="C285" s="9" t="s">
        <v>32</v>
      </c>
      <c r="D285" s="3">
        <v>32</v>
      </c>
      <c r="E285" s="3">
        <v>32</v>
      </c>
      <c r="F285" s="3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 t="shared" si="35"/>
        <v>ATENÇÃO</v>
      </c>
      <c r="M285" s="3">
        <v>33</v>
      </c>
      <c r="N285" s="3">
        <v>96.94</v>
      </c>
      <c r="O285" s="3">
        <v>19.613259668508292</v>
      </c>
    </row>
    <row r="286" spans="1:16" hidden="1" x14ac:dyDescent="0.25">
      <c r="A286" s="5">
        <v>46149</v>
      </c>
      <c r="B286" s="6" t="s">
        <v>34</v>
      </c>
      <c r="C286" s="3" t="s">
        <v>32</v>
      </c>
      <c r="D286" s="3">
        <v>47</v>
      </c>
      <c r="E286" s="3">
        <v>44</v>
      </c>
      <c r="F286" s="3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 t="shared" si="35"/>
        <v>EXCELENTE</v>
      </c>
      <c r="M286" s="3">
        <v>38</v>
      </c>
      <c r="N286" s="3">
        <v>92.81</v>
      </c>
      <c r="O286" s="3">
        <v>25.477707006369432</v>
      </c>
    </row>
    <row r="287" spans="1:16" hidden="1" x14ac:dyDescent="0.25">
      <c r="A287" s="5">
        <v>46149</v>
      </c>
      <c r="B287" s="6" t="s">
        <v>35</v>
      </c>
      <c r="C287" s="9" t="s">
        <v>32</v>
      </c>
      <c r="D287" s="3">
        <v>31</v>
      </c>
      <c r="E287" s="3">
        <v>30</v>
      </c>
      <c r="F287" s="3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35"/>
        <v>BOM</v>
      </c>
      <c r="M287" s="3">
        <v>29</v>
      </c>
      <c r="N287" s="3">
        <v>99.19</v>
      </c>
      <c r="O287" s="3">
        <v>28.404669260700391</v>
      </c>
    </row>
    <row r="288" spans="1:16" hidden="1" x14ac:dyDescent="0.25">
      <c r="A288" s="5">
        <v>46149</v>
      </c>
      <c r="B288" s="6" t="s">
        <v>36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 t="shared" si="35"/>
        <v>BOM</v>
      </c>
      <c r="M288" s="3">
        <v>0</v>
      </c>
      <c r="N288" s="3">
        <v>100</v>
      </c>
      <c r="O288" s="3">
        <v>13.51351351351351</v>
      </c>
    </row>
    <row r="289" spans="1:15" hidden="1" x14ac:dyDescent="0.25">
      <c r="A289" s="5">
        <v>46149</v>
      </c>
      <c r="B289" s="6" t="s">
        <v>37</v>
      </c>
      <c r="C289" s="3" t="s">
        <v>32</v>
      </c>
      <c r="D289" s="3">
        <v>56</v>
      </c>
      <c r="E289" s="3">
        <v>51</v>
      </c>
      <c r="F289" s="3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 t="shared" si="35"/>
        <v>EXCELENTE</v>
      </c>
      <c r="M289" s="3">
        <v>49</v>
      </c>
      <c r="N289" s="3">
        <v>99</v>
      </c>
      <c r="O289" s="3">
        <v>22.27414330218069</v>
      </c>
    </row>
    <row r="290" spans="1:15" hidden="1" x14ac:dyDescent="0.25">
      <c r="A290" s="5">
        <v>46149</v>
      </c>
      <c r="B290" s="6" t="s">
        <v>38</v>
      </c>
      <c r="C290" s="3" t="s">
        <v>32</v>
      </c>
      <c r="D290" s="3">
        <v>48</v>
      </c>
      <c r="E290" s="3">
        <v>39</v>
      </c>
      <c r="F290" s="3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 t="shared" si="35"/>
        <v>EXCELENTE</v>
      </c>
      <c r="M290" s="3">
        <v>41</v>
      </c>
      <c r="N290" s="3">
        <v>97.04</v>
      </c>
      <c r="O290" s="3">
        <v>29.828850855745721</v>
      </c>
    </row>
    <row r="291" spans="1:15" hidden="1" x14ac:dyDescent="0.25">
      <c r="A291" s="5">
        <v>46149</v>
      </c>
      <c r="B291" s="6" t="s">
        <v>39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 t="shared" si="35"/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40</v>
      </c>
      <c r="C292" s="9" t="s">
        <v>32</v>
      </c>
      <c r="D292" s="3">
        <v>20</v>
      </c>
      <c r="E292" s="3">
        <v>19</v>
      </c>
      <c r="F292" s="3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 t="shared" si="35"/>
        <v>CRÍTICO</v>
      </c>
      <c r="M292" s="3">
        <v>23</v>
      </c>
      <c r="N292" s="3">
        <v>96.84</v>
      </c>
      <c r="O292" s="3">
        <v>16.338028169014081</v>
      </c>
    </row>
    <row r="293" spans="1:15" hidden="1" x14ac:dyDescent="0.25">
      <c r="A293" s="5">
        <v>46149</v>
      </c>
      <c r="B293" s="6" t="s">
        <v>41</v>
      </c>
      <c r="C293" s="9" t="s">
        <v>32</v>
      </c>
      <c r="D293" s="3">
        <v>25</v>
      </c>
      <c r="E293" s="3">
        <v>23</v>
      </c>
      <c r="F293" s="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 t="shared" si="35"/>
        <v>CRÍTICO</v>
      </c>
      <c r="M293" s="3">
        <v>25</v>
      </c>
      <c r="N293" s="3">
        <v>100</v>
      </c>
      <c r="O293" s="3">
        <v>18.244803695150122</v>
      </c>
    </row>
    <row r="294" spans="1:15" hidden="1" x14ac:dyDescent="0.25">
      <c r="A294" s="5">
        <v>46149</v>
      </c>
      <c r="B294" s="6" t="s">
        <v>42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35"/>
        <v>BOM</v>
      </c>
      <c r="M294" s="3">
        <v>0</v>
      </c>
      <c r="N294" s="3">
        <v>100</v>
      </c>
      <c r="O294" s="3">
        <v>15.789473684210529</v>
      </c>
    </row>
    <row r="295" spans="1:15" hidden="1" x14ac:dyDescent="0.25">
      <c r="A295" s="5">
        <v>46149</v>
      </c>
      <c r="B295" s="6" t="s">
        <v>43</v>
      </c>
      <c r="C295" s="3" t="s">
        <v>32</v>
      </c>
      <c r="D295" s="3">
        <v>15</v>
      </c>
      <c r="E295" s="3">
        <v>14</v>
      </c>
      <c r="F295" s="3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 t="shared" si="35"/>
        <v>EXCELENTE</v>
      </c>
      <c r="M295" s="3">
        <v>35</v>
      </c>
      <c r="N295" s="3">
        <v>98.39</v>
      </c>
      <c r="O295" s="3">
        <v>8.7999999999999989</v>
      </c>
    </row>
    <row r="296" spans="1:15" hidden="1" x14ac:dyDescent="0.25">
      <c r="A296" s="5">
        <v>46149</v>
      </c>
      <c r="B296" s="6" t="s">
        <v>44</v>
      </c>
      <c r="C296" s="3" t="s">
        <v>32</v>
      </c>
      <c r="D296" s="3">
        <v>26</v>
      </c>
      <c r="E296" s="3">
        <v>23</v>
      </c>
      <c r="F296" s="3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 t="shared" si="35"/>
        <v>ATENÇÃO</v>
      </c>
      <c r="M296" s="3">
        <v>26</v>
      </c>
      <c r="N296" s="3">
        <v>96.38</v>
      </c>
      <c r="O296" s="3">
        <v>23.198198198198199</v>
      </c>
    </row>
    <row r="297" spans="1:15" hidden="1" x14ac:dyDescent="0.25">
      <c r="A297" s="5">
        <v>46149</v>
      </c>
      <c r="B297" s="6" t="s">
        <v>45</v>
      </c>
      <c r="C297" s="3" t="s">
        <v>32</v>
      </c>
      <c r="D297" s="3">
        <v>35</v>
      </c>
      <c r="E297" s="3">
        <v>30</v>
      </c>
      <c r="F297" s="3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 t="shared" si="35"/>
        <v>BOM</v>
      </c>
      <c r="M297" s="3">
        <v>37</v>
      </c>
      <c r="N297" s="3">
        <v>99.39</v>
      </c>
      <c r="O297" s="3">
        <v>25.203252032520329</v>
      </c>
    </row>
    <row r="298" spans="1:15" hidden="1" x14ac:dyDescent="0.25">
      <c r="A298" s="5">
        <v>46149</v>
      </c>
      <c r="B298" s="6" t="s">
        <v>46</v>
      </c>
      <c r="C298" s="3" t="s">
        <v>32</v>
      </c>
      <c r="D298" s="3">
        <v>34</v>
      </c>
      <c r="E298" s="3">
        <v>31</v>
      </c>
      <c r="F298" s="3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 t="shared" si="35"/>
        <v>ATENÇÃO</v>
      </c>
      <c r="M298" s="3">
        <v>28</v>
      </c>
      <c r="N298" s="3">
        <v>97</v>
      </c>
      <c r="O298" s="3">
        <v>20.325203252032519</v>
      </c>
    </row>
    <row r="299" spans="1:15" hidden="1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 t="shared" si="35"/>
        <v>BOM</v>
      </c>
      <c r="M299" s="3">
        <v>0</v>
      </c>
      <c r="N299" s="3">
        <v>100</v>
      </c>
      <c r="O299" s="3">
        <v>0</v>
      </c>
    </row>
    <row r="300" spans="1:15" hidden="1" x14ac:dyDescent="0.25">
      <c r="A300" s="5">
        <v>46150</v>
      </c>
      <c r="B300" s="6" t="s">
        <v>33</v>
      </c>
      <c r="C300" s="9" t="s">
        <v>32</v>
      </c>
      <c r="D300" s="3">
        <v>22</v>
      </c>
      <c r="E300" s="3">
        <v>21</v>
      </c>
      <c r="F300" s="3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 t="shared" si="35"/>
        <v>ATENÇÃO</v>
      </c>
      <c r="M300" s="3">
        <v>20</v>
      </c>
      <c r="N300" s="3">
        <v>96.94</v>
      </c>
      <c r="O300" s="3">
        <v>19.613259668508292</v>
      </c>
    </row>
    <row r="301" spans="1:15" hidden="1" x14ac:dyDescent="0.25">
      <c r="A301" s="5">
        <v>46150</v>
      </c>
      <c r="B301" s="6" t="s">
        <v>34</v>
      </c>
      <c r="C301" s="3" t="s">
        <v>32</v>
      </c>
      <c r="D301" s="3">
        <v>27</v>
      </c>
      <c r="E301" s="3">
        <v>26</v>
      </c>
      <c r="F301" s="3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 t="shared" si="35"/>
        <v>ATENÇÃO</v>
      </c>
      <c r="M301" s="3">
        <v>25</v>
      </c>
      <c r="N301" s="3">
        <v>92.81</v>
      </c>
      <c r="O301" s="3">
        <v>25.477707006369432</v>
      </c>
    </row>
    <row r="302" spans="1:15" hidden="1" x14ac:dyDescent="0.25">
      <c r="A302" s="5">
        <v>46150</v>
      </c>
      <c r="B302" s="6" t="s">
        <v>35</v>
      </c>
      <c r="C302" s="9" t="s">
        <v>32</v>
      </c>
      <c r="D302" s="3">
        <v>17</v>
      </c>
      <c r="E302" s="3">
        <v>17</v>
      </c>
      <c r="F302" s="3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 t="shared" si="35"/>
        <v>BOM</v>
      </c>
      <c r="M302" s="3">
        <v>22</v>
      </c>
      <c r="N302" s="3">
        <v>99.19</v>
      </c>
      <c r="O302" s="3">
        <v>28.404669260700391</v>
      </c>
    </row>
    <row r="303" spans="1:15" hidden="1" x14ac:dyDescent="0.25">
      <c r="A303" s="5">
        <v>46150</v>
      </c>
      <c r="B303" s="6" t="s">
        <v>36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 t="shared" si="35"/>
        <v>BOM</v>
      </c>
      <c r="M303" s="3">
        <v>0</v>
      </c>
      <c r="N303" s="3">
        <v>100</v>
      </c>
      <c r="O303" s="3">
        <v>13.51351351351351</v>
      </c>
    </row>
    <row r="304" spans="1:15" hidden="1" x14ac:dyDescent="0.25">
      <c r="A304" s="5">
        <v>46150</v>
      </c>
      <c r="B304" s="6" t="s">
        <v>37</v>
      </c>
      <c r="C304" s="3" t="s">
        <v>32</v>
      </c>
      <c r="D304" s="3">
        <v>41</v>
      </c>
      <c r="E304" s="3">
        <v>37</v>
      </c>
      <c r="F304" s="3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 t="shared" si="35"/>
        <v>EXCELENTE</v>
      </c>
      <c r="M304" s="3">
        <v>41</v>
      </c>
      <c r="N304" s="3">
        <v>99</v>
      </c>
      <c r="O304" s="3">
        <v>22.27414330218069</v>
      </c>
    </row>
    <row r="305" spans="1:15" hidden="1" x14ac:dyDescent="0.25">
      <c r="A305" s="5">
        <v>46150</v>
      </c>
      <c r="B305" s="6" t="s">
        <v>38</v>
      </c>
      <c r="C305" s="3" t="s">
        <v>32</v>
      </c>
      <c r="D305" s="3">
        <v>20</v>
      </c>
      <c r="E305" s="3">
        <v>19</v>
      </c>
      <c r="F305" s="3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 t="shared" si="35"/>
        <v>ATENÇÃO</v>
      </c>
      <c r="M305" s="3">
        <v>21</v>
      </c>
      <c r="N305" s="3">
        <v>97.04</v>
      </c>
      <c r="O305" s="3">
        <v>29.828850855745721</v>
      </c>
    </row>
    <row r="306" spans="1:15" hidden="1" x14ac:dyDescent="0.25">
      <c r="A306" s="5">
        <v>46150</v>
      </c>
      <c r="B306" s="6" t="s">
        <v>39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 t="shared" si="35"/>
        <v>BOM</v>
      </c>
      <c r="M306" s="3">
        <v>0</v>
      </c>
      <c r="N306" s="3">
        <v>0</v>
      </c>
      <c r="O306" s="3">
        <v>0</v>
      </c>
    </row>
    <row r="307" spans="1:15" hidden="1" x14ac:dyDescent="0.25">
      <c r="A307" s="5">
        <v>46150</v>
      </c>
      <c r="B307" s="6" t="s">
        <v>40</v>
      </c>
      <c r="C307" s="9" t="s">
        <v>32</v>
      </c>
      <c r="D307" s="3">
        <v>4</v>
      </c>
      <c r="E307" s="3">
        <v>4</v>
      </c>
      <c r="F307" s="3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 t="shared" si="35"/>
        <v>CRÍTICO</v>
      </c>
      <c r="M307" s="3">
        <v>4</v>
      </c>
      <c r="N307" s="3">
        <v>96.84</v>
      </c>
      <c r="O307" s="3">
        <v>16.338028169014081</v>
      </c>
    </row>
    <row r="308" spans="1:15" hidden="1" x14ac:dyDescent="0.25">
      <c r="A308" s="5">
        <v>46150</v>
      </c>
      <c r="B308" s="6" t="s">
        <v>41</v>
      </c>
      <c r="C308" s="9" t="s">
        <v>32</v>
      </c>
      <c r="D308" s="3">
        <v>29</v>
      </c>
      <c r="E308" s="3">
        <v>28</v>
      </c>
      <c r="F308" s="3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 t="shared" si="35"/>
        <v>ATENÇÃO</v>
      </c>
      <c r="M308" s="3">
        <v>24</v>
      </c>
      <c r="N308" s="3">
        <v>100</v>
      </c>
      <c r="O308" s="3">
        <v>18.244803695150122</v>
      </c>
    </row>
    <row r="309" spans="1:15" hidden="1" x14ac:dyDescent="0.25">
      <c r="A309" s="5">
        <v>46150</v>
      </c>
      <c r="B309" s="6" t="s">
        <v>42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 t="shared" si="35"/>
        <v>BOM</v>
      </c>
      <c r="M309" s="3">
        <v>0</v>
      </c>
      <c r="N309" s="3">
        <v>100</v>
      </c>
      <c r="O309" s="3">
        <v>15.789473684210529</v>
      </c>
    </row>
    <row r="310" spans="1:15" hidden="1" x14ac:dyDescent="0.25">
      <c r="A310" s="5">
        <v>46150</v>
      </c>
      <c r="B310" s="6" t="s">
        <v>43</v>
      </c>
      <c r="C310" s="3" t="s">
        <v>32</v>
      </c>
      <c r="D310" s="3">
        <v>0</v>
      </c>
      <c r="E310" s="3">
        <v>0</v>
      </c>
      <c r="F310" s="3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 t="shared" si="35"/>
        <v>BOM</v>
      </c>
      <c r="M310" s="3">
        <v>21</v>
      </c>
      <c r="N310" s="3">
        <v>98.39</v>
      </c>
      <c r="O310" s="3">
        <v>8.7999999999999989</v>
      </c>
    </row>
    <row r="311" spans="1:15" hidden="1" x14ac:dyDescent="0.25">
      <c r="A311" s="5">
        <v>46150</v>
      </c>
      <c r="B311" s="6" t="s">
        <v>44</v>
      </c>
      <c r="C311" s="3" t="s">
        <v>32</v>
      </c>
      <c r="D311" s="3">
        <v>30</v>
      </c>
      <c r="E311" s="3">
        <v>28</v>
      </c>
      <c r="F311" s="3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 t="shared" si="35"/>
        <v>BOM</v>
      </c>
      <c r="M311" s="3">
        <v>23</v>
      </c>
      <c r="N311" s="3">
        <v>96.38</v>
      </c>
      <c r="O311" s="3">
        <v>23.198198198198199</v>
      </c>
    </row>
    <row r="312" spans="1:15" hidden="1" x14ac:dyDescent="0.25">
      <c r="A312" s="5">
        <v>46150</v>
      </c>
      <c r="B312" s="6" t="s">
        <v>45</v>
      </c>
      <c r="C312" s="3" t="s">
        <v>32</v>
      </c>
      <c r="D312" s="3">
        <v>44</v>
      </c>
      <c r="E312" s="3">
        <v>38</v>
      </c>
      <c r="F312" s="3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 t="shared" si="35"/>
        <v>EXCELENTE</v>
      </c>
      <c r="M312" s="3">
        <v>26</v>
      </c>
      <c r="N312" s="3">
        <v>99.39</v>
      </c>
      <c r="O312" s="3">
        <v>25.203252032520329</v>
      </c>
    </row>
    <row r="313" spans="1:15" hidden="1" x14ac:dyDescent="0.25">
      <c r="A313" s="5">
        <v>46150</v>
      </c>
      <c r="B313" s="6" t="s">
        <v>46</v>
      </c>
      <c r="C313" s="3" t="s">
        <v>32</v>
      </c>
      <c r="D313" s="3">
        <v>22</v>
      </c>
      <c r="E313" s="3">
        <v>21</v>
      </c>
      <c r="F313" s="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 t="shared" si="35"/>
        <v>ATENÇÃO</v>
      </c>
      <c r="M313" s="3">
        <v>25</v>
      </c>
      <c r="N313" s="3">
        <v>97</v>
      </c>
      <c r="O313" s="3">
        <v>20.325203252032519</v>
      </c>
    </row>
    <row r="314" spans="1:15" hidden="1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 t="shared" si="35"/>
        <v>BOM</v>
      </c>
      <c r="M314" s="3">
        <v>0</v>
      </c>
      <c r="N314" s="3">
        <v>100</v>
      </c>
      <c r="O314" s="3">
        <v>0</v>
      </c>
    </row>
    <row r="315" spans="1:15" hidden="1" x14ac:dyDescent="0.25">
      <c r="A315" s="5">
        <v>46153</v>
      </c>
      <c r="B315" s="6" t="s">
        <v>33</v>
      </c>
      <c r="C315" s="9" t="s">
        <v>32</v>
      </c>
      <c r="D315" s="3">
        <v>18</v>
      </c>
      <c r="E315" s="3">
        <v>16</v>
      </c>
      <c r="F315" s="3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 t="shared" si="35"/>
        <v>CRÍTICO</v>
      </c>
      <c r="M315" s="3">
        <v>13</v>
      </c>
      <c r="N315" s="3">
        <v>96.94</v>
      </c>
      <c r="O315" s="3">
        <v>19.613259668508292</v>
      </c>
    </row>
    <row r="316" spans="1:15" hidden="1" x14ac:dyDescent="0.25">
      <c r="A316" s="5">
        <v>46153</v>
      </c>
      <c r="B316" s="6" t="s">
        <v>34</v>
      </c>
      <c r="C316" s="3" t="s">
        <v>32</v>
      </c>
      <c r="D316" s="3">
        <v>35</v>
      </c>
      <c r="E316" s="3">
        <v>35</v>
      </c>
      <c r="F316" s="3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 t="shared" ref="L316:L347" si="36">IF(K316&lt;-5,"CRÍTICO",IF(K316&lt;0,"ATENÇÃO",IF(K316&lt;=5,"BOM","EXCELENTE")))</f>
        <v>BOM</v>
      </c>
      <c r="M316" s="3">
        <v>31</v>
      </c>
      <c r="N316" s="3">
        <v>92.81</v>
      </c>
      <c r="O316" s="3">
        <v>25.477707006369432</v>
      </c>
    </row>
    <row r="317" spans="1:15" hidden="1" x14ac:dyDescent="0.25">
      <c r="A317" s="5">
        <v>46153</v>
      </c>
      <c r="B317" s="6" t="s">
        <v>35</v>
      </c>
      <c r="C317" s="9" t="s">
        <v>32</v>
      </c>
      <c r="D317" s="3">
        <v>25</v>
      </c>
      <c r="E317" s="3">
        <v>25</v>
      </c>
      <c r="F317" s="3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 t="shared" si="36"/>
        <v>BOM</v>
      </c>
      <c r="M317" s="3">
        <v>25</v>
      </c>
      <c r="N317" s="3">
        <v>99.19</v>
      </c>
      <c r="O317" s="3">
        <v>28.404669260700391</v>
      </c>
    </row>
    <row r="318" spans="1:15" hidden="1" x14ac:dyDescent="0.25">
      <c r="A318" s="5">
        <v>46153</v>
      </c>
      <c r="B318" s="6" t="s">
        <v>36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 t="shared" si="36"/>
        <v>BOM</v>
      </c>
      <c r="M318" s="3">
        <v>0</v>
      </c>
      <c r="N318" s="3">
        <v>100</v>
      </c>
      <c r="O318" s="3">
        <v>13.51351351351351</v>
      </c>
    </row>
    <row r="319" spans="1:15" hidden="1" x14ac:dyDescent="0.25">
      <c r="A319" s="5">
        <v>46153</v>
      </c>
      <c r="B319" s="6" t="s">
        <v>37</v>
      </c>
      <c r="C319" s="3" t="s">
        <v>32</v>
      </c>
      <c r="D319" s="3">
        <v>53</v>
      </c>
      <c r="E319" s="3">
        <v>46</v>
      </c>
      <c r="F319" s="3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 t="shared" si="36"/>
        <v>EXCELENTE</v>
      </c>
      <c r="M319" s="3">
        <v>44</v>
      </c>
      <c r="N319" s="3">
        <v>99</v>
      </c>
      <c r="O319" s="3">
        <v>22.27414330218069</v>
      </c>
    </row>
    <row r="320" spans="1:15" hidden="1" x14ac:dyDescent="0.25">
      <c r="A320" s="5">
        <v>46153</v>
      </c>
      <c r="B320" s="6" t="s">
        <v>38</v>
      </c>
      <c r="C320" s="3" t="s">
        <v>32</v>
      </c>
      <c r="D320" s="3">
        <v>22</v>
      </c>
      <c r="E320" s="3">
        <v>20</v>
      </c>
      <c r="F320" s="3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 t="shared" si="36"/>
        <v>CRÍTICO</v>
      </c>
      <c r="M320" s="3">
        <v>17</v>
      </c>
      <c r="N320" s="3">
        <v>97.04</v>
      </c>
      <c r="O320" s="3">
        <v>29.828850855745721</v>
      </c>
    </row>
    <row r="321" spans="1:16" hidden="1" x14ac:dyDescent="0.25">
      <c r="A321" s="5">
        <v>46153</v>
      </c>
      <c r="B321" s="6" t="s">
        <v>39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36"/>
        <v>BOM</v>
      </c>
      <c r="M321" s="3">
        <v>0</v>
      </c>
      <c r="N321" s="3">
        <v>0</v>
      </c>
      <c r="O321" s="3">
        <v>0</v>
      </c>
    </row>
    <row r="322" spans="1:16" hidden="1" x14ac:dyDescent="0.25">
      <c r="A322" s="5">
        <v>46153</v>
      </c>
      <c r="B322" s="6" t="s">
        <v>40</v>
      </c>
      <c r="C322" s="9" t="s">
        <v>32</v>
      </c>
      <c r="D322" s="3">
        <v>24</v>
      </c>
      <c r="E322" s="3">
        <v>23</v>
      </c>
      <c r="F322" s="3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 t="shared" si="36"/>
        <v>CRÍTICO</v>
      </c>
      <c r="M322" s="3">
        <v>23</v>
      </c>
      <c r="N322" s="3">
        <v>96.84</v>
      </c>
      <c r="O322" s="3">
        <v>16.338028169014081</v>
      </c>
    </row>
    <row r="323" spans="1:16" hidden="1" x14ac:dyDescent="0.25">
      <c r="A323" s="5">
        <v>46153</v>
      </c>
      <c r="B323" s="6" t="s">
        <v>41</v>
      </c>
      <c r="C323" s="9" t="s">
        <v>32</v>
      </c>
      <c r="D323" s="3">
        <v>31</v>
      </c>
      <c r="E323" s="3">
        <v>29</v>
      </c>
      <c r="F323" s="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 t="shared" si="36"/>
        <v>ATENÇÃO</v>
      </c>
      <c r="M323" s="3">
        <v>29</v>
      </c>
      <c r="N323" s="3">
        <v>100</v>
      </c>
      <c r="O323" s="3">
        <v>18.244803695150122</v>
      </c>
    </row>
    <row r="324" spans="1:16" hidden="1" x14ac:dyDescent="0.25">
      <c r="A324" s="5">
        <v>46153</v>
      </c>
      <c r="B324" s="6" t="s">
        <v>42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36"/>
        <v>BOM</v>
      </c>
      <c r="M324" s="3">
        <v>0</v>
      </c>
      <c r="N324" s="3">
        <v>100</v>
      </c>
      <c r="O324" s="3">
        <v>15.789473684210529</v>
      </c>
    </row>
    <row r="325" spans="1:16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 t="shared" si="36"/>
        <v>BOM</v>
      </c>
      <c r="M325">
        <v>16</v>
      </c>
      <c r="N325">
        <v>98.91</v>
      </c>
      <c r="O325">
        <v>31.367292225201069</v>
      </c>
      <c r="P325"/>
    </row>
    <row r="326" spans="1:16" hidden="1" x14ac:dyDescent="0.25">
      <c r="A326" s="5">
        <v>46153</v>
      </c>
      <c r="B326" s="6" t="s">
        <v>43</v>
      </c>
      <c r="C326" s="3" t="s">
        <v>32</v>
      </c>
      <c r="D326" s="3">
        <v>0</v>
      </c>
      <c r="E326" s="3">
        <v>0</v>
      </c>
      <c r="F326" s="3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 t="shared" si="36"/>
        <v>EXCELENTE</v>
      </c>
      <c r="M326" s="3">
        <v>27</v>
      </c>
      <c r="N326" s="3">
        <v>98.39</v>
      </c>
      <c r="O326" s="3">
        <v>8.7999999999999989</v>
      </c>
    </row>
    <row r="327" spans="1:16" hidden="1" x14ac:dyDescent="0.25">
      <c r="A327" s="5">
        <v>46153</v>
      </c>
      <c r="B327" s="6" t="s">
        <v>44</v>
      </c>
      <c r="C327" s="3" t="s">
        <v>32</v>
      </c>
      <c r="D327" s="3">
        <v>33</v>
      </c>
      <c r="E327" s="3">
        <v>24</v>
      </c>
      <c r="F327" s="3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 t="shared" si="36"/>
        <v>ATENÇÃO</v>
      </c>
      <c r="M327" s="3">
        <v>26</v>
      </c>
      <c r="N327" s="3">
        <v>96.38</v>
      </c>
      <c r="O327" s="3">
        <v>23.198198198198199</v>
      </c>
    </row>
    <row r="328" spans="1:16" hidden="1" x14ac:dyDescent="0.25">
      <c r="A328" s="5">
        <v>46153</v>
      </c>
      <c r="B328" s="6" t="s">
        <v>45</v>
      </c>
      <c r="C328" s="3" t="s">
        <v>32</v>
      </c>
      <c r="D328" s="3">
        <v>23</v>
      </c>
      <c r="E328" s="3">
        <v>21</v>
      </c>
      <c r="F328" s="3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 t="shared" si="36"/>
        <v>CRÍTICO</v>
      </c>
      <c r="M328" s="3">
        <v>17</v>
      </c>
      <c r="N328" s="3">
        <v>99.39</v>
      </c>
      <c r="O328" s="3">
        <v>25.203252032520329</v>
      </c>
    </row>
    <row r="329" spans="1:16" hidden="1" x14ac:dyDescent="0.25">
      <c r="A329" s="5">
        <v>46153</v>
      </c>
      <c r="B329" s="6" t="s">
        <v>46</v>
      </c>
      <c r="C329" s="3" t="s">
        <v>32</v>
      </c>
      <c r="D329" s="3">
        <v>25</v>
      </c>
      <c r="E329" s="3">
        <v>21</v>
      </c>
      <c r="F329" s="3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 t="shared" si="36"/>
        <v>CRÍTICO</v>
      </c>
      <c r="M329" s="3">
        <v>16</v>
      </c>
      <c r="N329" s="3">
        <v>97</v>
      </c>
      <c r="O329" s="3">
        <v>20.325203252032519</v>
      </c>
    </row>
    <row r="330" spans="1:16" hidden="1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36"/>
        <v>BOM</v>
      </c>
      <c r="M330" s="3">
        <v>0</v>
      </c>
      <c r="N330" s="3">
        <v>100</v>
      </c>
      <c r="O330" s="3">
        <v>0</v>
      </c>
    </row>
    <row r="331" spans="1:16" hidden="1" x14ac:dyDescent="0.25">
      <c r="A331" s="5">
        <v>46154</v>
      </c>
      <c r="B331" s="6" t="s">
        <v>33</v>
      </c>
      <c r="C331" s="9" t="s">
        <v>32</v>
      </c>
      <c r="D331" s="3">
        <v>28</v>
      </c>
      <c r="E331" s="3">
        <v>24</v>
      </c>
      <c r="F331" s="3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 t="shared" si="36"/>
        <v>ATENÇÃO</v>
      </c>
      <c r="M331" s="3">
        <v>25</v>
      </c>
      <c r="N331" s="3">
        <v>96.94</v>
      </c>
      <c r="O331" s="3">
        <v>19.613259668508292</v>
      </c>
    </row>
    <row r="332" spans="1:16" hidden="1" x14ac:dyDescent="0.25">
      <c r="A332" s="5">
        <v>46154</v>
      </c>
      <c r="B332" s="6" t="s">
        <v>34</v>
      </c>
      <c r="C332" s="3" t="s">
        <v>32</v>
      </c>
      <c r="D332" s="3">
        <v>41</v>
      </c>
      <c r="E332" s="3">
        <v>39</v>
      </c>
      <c r="F332" s="3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 t="shared" si="36"/>
        <v>EXCELENTE</v>
      </c>
      <c r="M332" s="3">
        <v>33</v>
      </c>
      <c r="N332" s="3">
        <v>92.81</v>
      </c>
      <c r="O332" s="3">
        <v>25.477707006369432</v>
      </c>
    </row>
    <row r="333" spans="1:16" hidden="1" x14ac:dyDescent="0.25">
      <c r="A333" s="5">
        <v>46154</v>
      </c>
      <c r="B333" s="6" t="s">
        <v>35</v>
      </c>
      <c r="C333" s="9" t="s">
        <v>32</v>
      </c>
      <c r="D333" s="3">
        <v>23</v>
      </c>
      <c r="E333" s="3">
        <v>23</v>
      </c>
      <c r="F333" s="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36"/>
        <v>BOM</v>
      </c>
      <c r="M333" s="3">
        <v>27</v>
      </c>
      <c r="N333" s="3">
        <v>99.19</v>
      </c>
      <c r="O333" s="3">
        <v>28.404669260700391</v>
      </c>
    </row>
    <row r="334" spans="1:16" hidden="1" x14ac:dyDescent="0.25">
      <c r="A334" s="5">
        <v>46154</v>
      </c>
      <c r="B334" s="6" t="s">
        <v>36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 t="shared" si="36"/>
        <v>BOM</v>
      </c>
      <c r="M334" s="3">
        <v>0</v>
      </c>
      <c r="N334" s="3">
        <v>100</v>
      </c>
      <c r="O334" s="3">
        <v>13.51351351351351</v>
      </c>
    </row>
    <row r="335" spans="1:16" hidden="1" x14ac:dyDescent="0.25">
      <c r="A335" s="5">
        <v>46154</v>
      </c>
      <c r="B335" s="6" t="s">
        <v>37</v>
      </c>
      <c r="C335" s="3" t="s">
        <v>32</v>
      </c>
      <c r="D335" s="3">
        <v>47</v>
      </c>
      <c r="E335" s="3">
        <v>43</v>
      </c>
      <c r="F335" s="3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 t="shared" si="36"/>
        <v>EXCELENTE</v>
      </c>
      <c r="M335" s="3">
        <v>45</v>
      </c>
      <c r="N335" s="3">
        <v>99</v>
      </c>
      <c r="O335" s="3">
        <v>22.27414330218069</v>
      </c>
    </row>
    <row r="336" spans="1:16" hidden="1" x14ac:dyDescent="0.25">
      <c r="A336" s="5">
        <v>46154</v>
      </c>
      <c r="B336" s="6" t="s">
        <v>38</v>
      </c>
      <c r="C336" s="3" t="s">
        <v>32</v>
      </c>
      <c r="D336" s="3">
        <v>42</v>
      </c>
      <c r="E336" s="3">
        <v>37</v>
      </c>
      <c r="F336" s="3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 t="shared" si="36"/>
        <v>EXCELENTE</v>
      </c>
      <c r="M336" s="3">
        <v>37</v>
      </c>
      <c r="N336" s="3">
        <v>97.04</v>
      </c>
      <c r="O336" s="3">
        <v>29.828850855745721</v>
      </c>
    </row>
    <row r="337" spans="1:15" hidden="1" x14ac:dyDescent="0.25">
      <c r="A337" s="5">
        <v>46154</v>
      </c>
      <c r="B337" s="6" t="s">
        <v>39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36"/>
        <v>BOM</v>
      </c>
      <c r="M337" s="3">
        <v>0</v>
      </c>
      <c r="N337" s="3">
        <v>0</v>
      </c>
      <c r="O337" s="3">
        <v>0</v>
      </c>
    </row>
    <row r="338" spans="1:15" hidden="1" x14ac:dyDescent="0.25">
      <c r="A338" s="5">
        <v>46154</v>
      </c>
      <c r="B338" s="6" t="s">
        <v>40</v>
      </c>
      <c r="C338" s="9" t="s">
        <v>32</v>
      </c>
      <c r="D338" s="3">
        <v>19</v>
      </c>
      <c r="E338" s="3">
        <v>17</v>
      </c>
      <c r="F338" s="3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 t="shared" si="36"/>
        <v>CRÍTICO</v>
      </c>
      <c r="M338" s="3">
        <v>18</v>
      </c>
      <c r="N338" s="3">
        <v>96.84</v>
      </c>
      <c r="O338" s="3">
        <v>16.338028169014081</v>
      </c>
    </row>
    <row r="339" spans="1:15" hidden="1" x14ac:dyDescent="0.25">
      <c r="A339" s="5">
        <v>46154</v>
      </c>
      <c r="B339" s="6" t="s">
        <v>41</v>
      </c>
      <c r="C339" s="9" t="s">
        <v>32</v>
      </c>
      <c r="D339" s="3">
        <v>31</v>
      </c>
      <c r="E339" s="3">
        <v>25</v>
      </c>
      <c r="F339" s="3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 t="shared" si="36"/>
        <v>CRÍTICO</v>
      </c>
      <c r="M339" s="3">
        <v>28</v>
      </c>
      <c r="N339" s="3">
        <v>100</v>
      </c>
      <c r="O339" s="3">
        <v>18.244803695150122</v>
      </c>
    </row>
    <row r="340" spans="1:15" hidden="1" x14ac:dyDescent="0.25">
      <c r="A340" s="5">
        <v>46154</v>
      </c>
      <c r="B340" s="6" t="s">
        <v>42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 t="shared" si="36"/>
        <v>BOM</v>
      </c>
      <c r="M340" s="3">
        <v>0</v>
      </c>
      <c r="N340" s="3">
        <v>100</v>
      </c>
      <c r="O340" s="3">
        <v>15.789473684210529</v>
      </c>
    </row>
    <row r="341" spans="1:15" hidden="1" x14ac:dyDescent="0.25">
      <c r="A341" s="5">
        <v>46154</v>
      </c>
      <c r="B341" s="6" t="s">
        <v>43</v>
      </c>
      <c r="C341" s="3" t="s">
        <v>32</v>
      </c>
      <c r="D341" s="3">
        <v>0</v>
      </c>
      <c r="E341" s="3">
        <v>0</v>
      </c>
      <c r="F341" s="3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 t="shared" si="36"/>
        <v>EXCELENTE</v>
      </c>
      <c r="M341" s="3">
        <v>25</v>
      </c>
      <c r="N341" s="3">
        <v>98.39</v>
      </c>
      <c r="O341" s="3">
        <v>8.7999999999999989</v>
      </c>
    </row>
    <row r="342" spans="1:15" hidden="1" x14ac:dyDescent="0.25">
      <c r="A342" s="5">
        <v>46154</v>
      </c>
      <c r="B342" s="6" t="s">
        <v>44</v>
      </c>
      <c r="C342" s="3" t="s">
        <v>32</v>
      </c>
      <c r="D342" s="3">
        <v>36</v>
      </c>
      <c r="E342" s="3">
        <v>31</v>
      </c>
      <c r="F342" s="3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 t="shared" si="36"/>
        <v>BOM</v>
      </c>
      <c r="M342" s="3">
        <v>28</v>
      </c>
      <c r="N342" s="3">
        <v>96.38</v>
      </c>
      <c r="O342" s="3">
        <v>23.198198198198199</v>
      </c>
    </row>
    <row r="343" spans="1:15" hidden="1" x14ac:dyDescent="0.25">
      <c r="A343" s="5">
        <v>46154</v>
      </c>
      <c r="B343" s="6" t="s">
        <v>45</v>
      </c>
      <c r="C343" s="3" t="s">
        <v>32</v>
      </c>
      <c r="D343" s="3">
        <v>33</v>
      </c>
      <c r="E343" s="3">
        <v>28</v>
      </c>
      <c r="F343" s="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 t="shared" si="36"/>
        <v>ATENÇÃO</v>
      </c>
      <c r="M343" s="3">
        <v>22</v>
      </c>
      <c r="N343" s="3">
        <v>99.39</v>
      </c>
      <c r="O343" s="3">
        <v>25.203252032520329</v>
      </c>
    </row>
    <row r="344" spans="1:15" hidden="1" x14ac:dyDescent="0.25">
      <c r="A344" s="5">
        <v>46154</v>
      </c>
      <c r="B344" s="6" t="s">
        <v>46</v>
      </c>
      <c r="C344" s="3" t="s">
        <v>32</v>
      </c>
      <c r="D344" s="3">
        <v>29</v>
      </c>
      <c r="E344" s="3">
        <v>28</v>
      </c>
      <c r="F344" s="3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 t="shared" si="36"/>
        <v>BOM</v>
      </c>
      <c r="M344" s="3">
        <v>25</v>
      </c>
      <c r="N344" s="3">
        <v>97</v>
      </c>
      <c r="O344" s="3">
        <v>20.325203252032519</v>
      </c>
    </row>
    <row r="345" spans="1:15" hidden="1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 t="shared" si="36"/>
        <v>BOM</v>
      </c>
      <c r="M345" s="3">
        <v>0</v>
      </c>
      <c r="N345" s="3">
        <v>100</v>
      </c>
      <c r="O345" s="3">
        <v>0</v>
      </c>
    </row>
    <row r="346" spans="1:15" hidden="1" x14ac:dyDescent="0.25">
      <c r="A346" s="5">
        <v>46155</v>
      </c>
      <c r="B346" s="6" t="s">
        <v>33</v>
      </c>
      <c r="C346" s="9" t="s">
        <v>32</v>
      </c>
      <c r="D346" s="3">
        <v>26</v>
      </c>
      <c r="E346" s="3">
        <v>23</v>
      </c>
      <c r="F346" s="3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 t="shared" si="36"/>
        <v>CRÍTICO</v>
      </c>
      <c r="M346" s="3">
        <v>21</v>
      </c>
      <c r="N346" s="3">
        <v>96.94</v>
      </c>
      <c r="O346" s="3">
        <v>19.613259668508292</v>
      </c>
    </row>
    <row r="347" spans="1:15" hidden="1" x14ac:dyDescent="0.25">
      <c r="A347" s="5">
        <v>46155</v>
      </c>
      <c r="B347" s="6" t="s">
        <v>34</v>
      </c>
      <c r="C347" s="3" t="s">
        <v>32</v>
      </c>
      <c r="D347" s="3">
        <v>34</v>
      </c>
      <c r="E347" s="3">
        <v>30</v>
      </c>
      <c r="F347" s="3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 t="shared" si="36"/>
        <v>BOM</v>
      </c>
      <c r="M347" s="3">
        <v>31</v>
      </c>
      <c r="N347" s="3">
        <v>92.81</v>
      </c>
      <c r="O347" s="3">
        <v>25.477707006369432</v>
      </c>
    </row>
    <row r="348" spans="1:15" hidden="1" x14ac:dyDescent="0.25">
      <c r="A348" s="5">
        <v>46155</v>
      </c>
      <c r="B348" s="6" t="s">
        <v>35</v>
      </c>
      <c r="C348" s="9" t="s">
        <v>32</v>
      </c>
      <c r="D348" s="3">
        <v>23</v>
      </c>
      <c r="E348" s="3">
        <v>23</v>
      </c>
      <c r="F348" s="3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ref="L348:L379" si="37">IF(K348&lt;-5,"CRÍTICO",IF(K348&lt;0,"ATENÇÃO",IF(K348&lt;=5,"BOM","EXCELENTE")))</f>
        <v>BOM</v>
      </c>
      <c r="M348" s="3">
        <v>21</v>
      </c>
      <c r="N348" s="3">
        <v>99.19</v>
      </c>
      <c r="O348" s="3">
        <v>28.404669260700391</v>
      </c>
    </row>
    <row r="349" spans="1:15" hidden="1" x14ac:dyDescent="0.25">
      <c r="A349" s="5">
        <v>46155</v>
      </c>
      <c r="B349" s="6" t="s">
        <v>36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37"/>
        <v>BOM</v>
      </c>
      <c r="M349" s="3">
        <v>0</v>
      </c>
      <c r="N349" s="3">
        <v>100</v>
      </c>
      <c r="O349" s="3">
        <v>13.51351351351351</v>
      </c>
    </row>
    <row r="350" spans="1:15" hidden="1" x14ac:dyDescent="0.25">
      <c r="A350" s="5">
        <v>46155</v>
      </c>
      <c r="B350" s="6" t="s">
        <v>37</v>
      </c>
      <c r="C350" s="3" t="s">
        <v>32</v>
      </c>
      <c r="D350" s="3">
        <v>46</v>
      </c>
      <c r="E350" s="3">
        <v>40</v>
      </c>
      <c r="F350" s="3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 t="shared" si="37"/>
        <v>EXCELENTE</v>
      </c>
      <c r="M350" s="3">
        <v>37</v>
      </c>
      <c r="N350" s="3">
        <v>99</v>
      </c>
      <c r="O350" s="3">
        <v>22.27414330218069</v>
      </c>
    </row>
    <row r="351" spans="1:15" hidden="1" x14ac:dyDescent="0.25">
      <c r="A351" s="5">
        <v>46155</v>
      </c>
      <c r="B351" s="6" t="s">
        <v>38</v>
      </c>
      <c r="C351" s="3" t="s">
        <v>32</v>
      </c>
      <c r="D351" s="3">
        <v>30</v>
      </c>
      <c r="E351" s="3">
        <v>29</v>
      </c>
      <c r="F351" s="3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 t="shared" si="37"/>
        <v>BOM</v>
      </c>
      <c r="M351" s="3">
        <v>31</v>
      </c>
      <c r="N351" s="3">
        <v>97.04</v>
      </c>
      <c r="O351" s="3">
        <v>29.828850855745721</v>
      </c>
    </row>
    <row r="352" spans="1:15" hidden="1" x14ac:dyDescent="0.25">
      <c r="A352" s="5">
        <v>46155</v>
      </c>
      <c r="B352" s="6" t="s">
        <v>39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37"/>
        <v>BOM</v>
      </c>
      <c r="M352" s="3">
        <v>0</v>
      </c>
      <c r="N352" s="3">
        <v>0</v>
      </c>
      <c r="O352" s="3">
        <v>0</v>
      </c>
    </row>
    <row r="353" spans="1:15" hidden="1" x14ac:dyDescent="0.25">
      <c r="A353" s="5">
        <v>46155</v>
      </c>
      <c r="B353" s="6" t="s">
        <v>40</v>
      </c>
      <c r="C353" s="9" t="s">
        <v>32</v>
      </c>
      <c r="D353" s="3">
        <v>27</v>
      </c>
      <c r="E353" s="3">
        <v>26</v>
      </c>
      <c r="F353" s="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 t="shared" si="37"/>
        <v>ATENÇÃO</v>
      </c>
      <c r="M353" s="3">
        <v>20</v>
      </c>
      <c r="N353" s="3">
        <v>96.84</v>
      </c>
      <c r="O353" s="3">
        <v>16.338028169014081</v>
      </c>
    </row>
    <row r="354" spans="1:15" hidden="1" x14ac:dyDescent="0.25">
      <c r="A354" s="5">
        <v>46155</v>
      </c>
      <c r="B354" s="6" t="s">
        <v>41</v>
      </c>
      <c r="C354" s="9" t="s">
        <v>32</v>
      </c>
      <c r="D354" s="3">
        <v>25</v>
      </c>
      <c r="E354" s="3">
        <v>24</v>
      </c>
      <c r="F354" s="3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 t="shared" si="37"/>
        <v>ATENÇÃO</v>
      </c>
      <c r="M354" s="3">
        <v>26</v>
      </c>
      <c r="N354" s="3">
        <v>100</v>
      </c>
      <c r="O354" s="3">
        <v>18.244803695150122</v>
      </c>
    </row>
    <row r="355" spans="1:15" hidden="1" x14ac:dyDescent="0.25">
      <c r="A355" s="5">
        <v>46155</v>
      </c>
      <c r="B355" s="6" t="s">
        <v>42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37"/>
        <v>BOM</v>
      </c>
      <c r="M355" s="3">
        <v>0</v>
      </c>
      <c r="N355" s="3">
        <v>100</v>
      </c>
      <c r="O355" s="3">
        <v>15.789473684210529</v>
      </c>
    </row>
    <row r="356" spans="1:15" hidden="1" x14ac:dyDescent="0.25">
      <c r="A356" s="5">
        <v>46155</v>
      </c>
      <c r="B356" s="6" t="s">
        <v>43</v>
      </c>
      <c r="C356" s="3" t="s">
        <v>32</v>
      </c>
      <c r="D356" s="3">
        <v>0</v>
      </c>
      <c r="E356" s="3">
        <v>0</v>
      </c>
      <c r="F356" s="3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 t="shared" si="37"/>
        <v>EXCELENTE</v>
      </c>
      <c r="M356" s="3">
        <v>28</v>
      </c>
      <c r="N356" s="3">
        <v>98.39</v>
      </c>
      <c r="O356" s="3">
        <v>8.7999999999999989</v>
      </c>
    </row>
    <row r="357" spans="1:15" hidden="1" x14ac:dyDescent="0.25">
      <c r="A357" s="5">
        <v>46155</v>
      </c>
      <c r="B357" s="6" t="s">
        <v>44</v>
      </c>
      <c r="C357" s="3" t="s">
        <v>32</v>
      </c>
      <c r="D357" s="3">
        <v>36</v>
      </c>
      <c r="E357" s="3">
        <v>30</v>
      </c>
      <c r="F357" s="3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 t="shared" si="37"/>
        <v>BOM</v>
      </c>
      <c r="M357" s="3">
        <v>29</v>
      </c>
      <c r="N357" s="3">
        <v>96.38</v>
      </c>
      <c r="O357" s="3">
        <v>23.198198198198199</v>
      </c>
    </row>
    <row r="358" spans="1:15" hidden="1" x14ac:dyDescent="0.25">
      <c r="A358" s="5">
        <v>46155</v>
      </c>
      <c r="B358" s="6" t="s">
        <v>45</v>
      </c>
      <c r="C358" s="3" t="s">
        <v>32</v>
      </c>
      <c r="D358" s="3">
        <v>36</v>
      </c>
      <c r="E358" s="3">
        <v>32</v>
      </c>
      <c r="F358" s="3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 t="shared" si="37"/>
        <v>EXCELENTE</v>
      </c>
      <c r="M358" s="3">
        <v>32</v>
      </c>
      <c r="N358" s="3">
        <v>99.39</v>
      </c>
      <c r="O358" s="3">
        <v>25.203252032520329</v>
      </c>
    </row>
    <row r="359" spans="1:15" hidden="1" x14ac:dyDescent="0.25">
      <c r="A359" s="5">
        <v>46155</v>
      </c>
      <c r="B359" s="6" t="s">
        <v>46</v>
      </c>
      <c r="C359" s="3" t="s">
        <v>32</v>
      </c>
      <c r="D359" s="3">
        <v>25</v>
      </c>
      <c r="E359" s="3">
        <v>23</v>
      </c>
      <c r="F359" s="3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 t="shared" si="37"/>
        <v>CRÍTICO</v>
      </c>
      <c r="M359" s="3">
        <v>21</v>
      </c>
      <c r="N359" s="3">
        <v>97</v>
      </c>
      <c r="O359" s="3">
        <v>20.325203252032519</v>
      </c>
    </row>
    <row r="360" spans="1:15" hidden="1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37"/>
        <v>BOM</v>
      </c>
      <c r="M360" s="3">
        <v>0</v>
      </c>
      <c r="N360" s="3">
        <v>100</v>
      </c>
      <c r="O360" s="3">
        <v>0</v>
      </c>
    </row>
    <row r="361" spans="1:15" hidden="1" x14ac:dyDescent="0.25">
      <c r="A361" s="5">
        <v>46156</v>
      </c>
      <c r="B361" s="6" t="s">
        <v>33</v>
      </c>
      <c r="C361" s="9" t="s">
        <v>32</v>
      </c>
      <c r="D361" s="3">
        <v>25</v>
      </c>
      <c r="E361" s="3">
        <v>25</v>
      </c>
      <c r="F361" s="3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 t="shared" si="37"/>
        <v>BOM</v>
      </c>
      <c r="M361" s="3">
        <v>27</v>
      </c>
      <c r="N361" s="3">
        <v>96.94</v>
      </c>
      <c r="O361" s="3">
        <v>19.613259668508292</v>
      </c>
    </row>
    <row r="362" spans="1:15" hidden="1" x14ac:dyDescent="0.25">
      <c r="A362" s="5">
        <v>46156</v>
      </c>
      <c r="B362" s="6" t="s">
        <v>34</v>
      </c>
      <c r="C362" s="3" t="s">
        <v>32</v>
      </c>
      <c r="D362" s="3">
        <v>22</v>
      </c>
      <c r="E362" s="3">
        <v>18</v>
      </c>
      <c r="F362" s="3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 t="shared" si="37"/>
        <v>CRÍTICO</v>
      </c>
      <c r="M362" s="3">
        <v>14</v>
      </c>
      <c r="N362" s="3">
        <v>92.81</v>
      </c>
      <c r="O362" s="3">
        <v>25.477707006369432</v>
      </c>
    </row>
    <row r="363" spans="1:15" hidden="1" x14ac:dyDescent="0.25">
      <c r="A363" s="5">
        <v>46156</v>
      </c>
      <c r="B363" s="6" t="s">
        <v>35</v>
      </c>
      <c r="C363" s="9" t="s">
        <v>32</v>
      </c>
      <c r="D363" s="3">
        <v>22</v>
      </c>
      <c r="E363" s="3">
        <v>21</v>
      </c>
      <c r="F363" s="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37"/>
        <v>BOM</v>
      </c>
      <c r="M363" s="3">
        <v>26</v>
      </c>
      <c r="N363" s="3">
        <v>99.19</v>
      </c>
      <c r="O363" s="3">
        <v>28.404669260700391</v>
      </c>
    </row>
    <row r="364" spans="1:15" hidden="1" x14ac:dyDescent="0.25">
      <c r="A364" s="5">
        <v>46156</v>
      </c>
      <c r="B364" s="6" t="s">
        <v>36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 t="shared" si="37"/>
        <v>BOM</v>
      </c>
      <c r="M364" s="3">
        <v>0</v>
      </c>
      <c r="N364" s="3">
        <v>100</v>
      </c>
      <c r="O364" s="3">
        <v>13.51351351351351</v>
      </c>
    </row>
    <row r="365" spans="1:15" hidden="1" x14ac:dyDescent="0.25">
      <c r="A365" s="5">
        <v>46156</v>
      </c>
      <c r="B365" s="6" t="s">
        <v>37</v>
      </c>
      <c r="C365" s="3" t="s">
        <v>32</v>
      </c>
      <c r="D365" s="3">
        <v>35</v>
      </c>
      <c r="E365" s="3">
        <v>34</v>
      </c>
      <c r="F365" s="3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 t="shared" si="37"/>
        <v>EXCELENTE</v>
      </c>
      <c r="M365" s="3">
        <v>38</v>
      </c>
      <c r="N365" s="3">
        <v>99</v>
      </c>
      <c r="O365" s="3">
        <v>22.27414330218069</v>
      </c>
    </row>
    <row r="366" spans="1:15" hidden="1" x14ac:dyDescent="0.25">
      <c r="A366" s="5">
        <v>46156</v>
      </c>
      <c r="B366" s="6" t="s">
        <v>38</v>
      </c>
      <c r="C366" s="3" t="s">
        <v>32</v>
      </c>
      <c r="D366" s="3">
        <v>42</v>
      </c>
      <c r="E366" s="3">
        <v>40</v>
      </c>
      <c r="F366" s="3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 t="shared" si="37"/>
        <v>EXCELENTE</v>
      </c>
      <c r="M366" s="3">
        <v>44</v>
      </c>
      <c r="N366" s="3">
        <v>97.04</v>
      </c>
      <c r="O366" s="3">
        <v>29.828850855745721</v>
      </c>
    </row>
    <row r="367" spans="1:15" hidden="1" x14ac:dyDescent="0.25">
      <c r="A367" s="5">
        <v>46156</v>
      </c>
      <c r="B367" s="6" t="s">
        <v>39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37"/>
        <v>BOM</v>
      </c>
      <c r="M367" s="3">
        <v>0</v>
      </c>
      <c r="N367" s="3">
        <v>0</v>
      </c>
      <c r="O367" s="3">
        <v>0</v>
      </c>
    </row>
    <row r="368" spans="1:15" hidden="1" x14ac:dyDescent="0.25">
      <c r="A368" s="5">
        <v>46156</v>
      </c>
      <c r="B368" s="6" t="s">
        <v>40</v>
      </c>
      <c r="C368" s="9" t="s">
        <v>32</v>
      </c>
      <c r="D368" s="3">
        <v>30</v>
      </c>
      <c r="E368" s="3">
        <v>29</v>
      </c>
      <c r="F368" s="3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 t="shared" si="37"/>
        <v>BOM</v>
      </c>
      <c r="M368" s="3">
        <v>28</v>
      </c>
      <c r="N368" s="3">
        <v>96.84</v>
      </c>
      <c r="O368" s="3">
        <v>16.338028169014081</v>
      </c>
    </row>
    <row r="369" spans="1:16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 t="shared" si="37"/>
        <v>EXCELENTE</v>
      </c>
      <c r="M369">
        <v>24</v>
      </c>
      <c r="N369">
        <v>98.91</v>
      </c>
      <c r="O369">
        <v>31.367292225201069</v>
      </c>
      <c r="P369"/>
    </row>
    <row r="370" spans="1:16" hidden="1" x14ac:dyDescent="0.25">
      <c r="A370" s="5">
        <v>46156</v>
      </c>
      <c r="B370" s="6" t="s">
        <v>41</v>
      </c>
      <c r="C370" s="9" t="s">
        <v>32</v>
      </c>
      <c r="D370" s="3">
        <v>30</v>
      </c>
      <c r="E370" s="3">
        <v>27</v>
      </c>
      <c r="F370" s="3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 t="shared" si="37"/>
        <v>ATENÇÃO</v>
      </c>
      <c r="M370" s="3">
        <v>23</v>
      </c>
      <c r="N370" s="3">
        <v>100</v>
      </c>
      <c r="O370" s="3">
        <v>18.244803695150122</v>
      </c>
    </row>
    <row r="371" spans="1:16" hidden="1" x14ac:dyDescent="0.25">
      <c r="A371" s="5">
        <v>46156</v>
      </c>
      <c r="B371" s="6" t="s">
        <v>42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 t="shared" si="37"/>
        <v>BOM</v>
      </c>
      <c r="M371" s="3">
        <v>0</v>
      </c>
      <c r="N371" s="3">
        <v>100</v>
      </c>
      <c r="O371" s="3">
        <v>15.789473684210529</v>
      </c>
    </row>
    <row r="372" spans="1:16" hidden="1" x14ac:dyDescent="0.25">
      <c r="A372" s="5">
        <v>46156</v>
      </c>
      <c r="B372" s="6" t="s">
        <v>43</v>
      </c>
      <c r="C372" s="3" t="s">
        <v>32</v>
      </c>
      <c r="D372" s="3">
        <v>0</v>
      </c>
      <c r="E372" s="3">
        <v>0</v>
      </c>
      <c r="F372" s="3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 t="shared" si="37"/>
        <v>EXCELENTE</v>
      </c>
      <c r="M372" s="3">
        <v>30</v>
      </c>
      <c r="N372" s="3">
        <v>98.39</v>
      </c>
      <c r="O372" s="3">
        <v>8.7999999999999989</v>
      </c>
    </row>
    <row r="373" spans="1:16" hidden="1" x14ac:dyDescent="0.25">
      <c r="A373" s="5">
        <v>46156</v>
      </c>
      <c r="B373" s="6" t="s">
        <v>44</v>
      </c>
      <c r="C373" s="3" t="s">
        <v>32</v>
      </c>
      <c r="D373" s="3">
        <v>39</v>
      </c>
      <c r="E373" s="3">
        <v>32</v>
      </c>
      <c r="F373" s="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 t="shared" si="37"/>
        <v>EXCELENTE</v>
      </c>
      <c r="M373" s="3">
        <v>29</v>
      </c>
      <c r="N373" s="3">
        <v>96.38</v>
      </c>
      <c r="O373" s="3">
        <v>23.198198198198199</v>
      </c>
    </row>
    <row r="374" spans="1:16" hidden="1" x14ac:dyDescent="0.25">
      <c r="A374" s="5">
        <v>46156</v>
      </c>
      <c r="B374" s="6" t="s">
        <v>45</v>
      </c>
      <c r="C374" s="3" t="s">
        <v>32</v>
      </c>
      <c r="D374" s="3">
        <v>38</v>
      </c>
      <c r="E374" s="3">
        <v>37</v>
      </c>
      <c r="F374" s="3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 t="shared" si="37"/>
        <v>EXCELENTE</v>
      </c>
      <c r="M374" s="3">
        <v>40</v>
      </c>
      <c r="N374" s="3">
        <v>99.39</v>
      </c>
      <c r="O374" s="3">
        <v>25.203252032520329</v>
      </c>
    </row>
    <row r="375" spans="1:16" hidden="1" x14ac:dyDescent="0.25">
      <c r="A375" s="5">
        <v>46156</v>
      </c>
      <c r="B375" s="6" t="s">
        <v>46</v>
      </c>
      <c r="C375" s="3" t="s">
        <v>32</v>
      </c>
      <c r="D375" s="3">
        <v>22</v>
      </c>
      <c r="E375" s="3">
        <v>22</v>
      </c>
      <c r="F375" s="3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 t="shared" si="37"/>
        <v>ATENÇÃO</v>
      </c>
      <c r="M375" s="3">
        <v>21</v>
      </c>
      <c r="N375" s="3">
        <v>97</v>
      </c>
      <c r="O375" s="3">
        <v>20.325203252032519</v>
      </c>
    </row>
    <row r="376" spans="1:16" hidden="1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37"/>
        <v>BOM</v>
      </c>
      <c r="M376" s="3">
        <v>0</v>
      </c>
      <c r="N376" s="3">
        <v>100</v>
      </c>
      <c r="O376" s="3">
        <v>0</v>
      </c>
    </row>
    <row r="377" spans="1:16" hidden="1" x14ac:dyDescent="0.25">
      <c r="A377" s="5">
        <v>46157</v>
      </c>
      <c r="B377" s="6" t="s">
        <v>33</v>
      </c>
      <c r="C377" s="9" t="s">
        <v>32</v>
      </c>
      <c r="D377" s="3">
        <v>29</v>
      </c>
      <c r="E377" s="3">
        <v>28</v>
      </c>
      <c r="F377" s="3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 t="shared" si="37"/>
        <v>BOM</v>
      </c>
      <c r="M377" s="3">
        <v>25</v>
      </c>
      <c r="N377" s="3">
        <v>96.94</v>
      </c>
      <c r="O377" s="3">
        <v>19.613259668508292</v>
      </c>
    </row>
    <row r="378" spans="1:16" hidden="1" x14ac:dyDescent="0.25">
      <c r="A378" s="5">
        <v>46157</v>
      </c>
      <c r="B378" s="6" t="s">
        <v>34</v>
      </c>
      <c r="C378" s="3" t="s">
        <v>32</v>
      </c>
      <c r="D378" s="3">
        <v>37</v>
      </c>
      <c r="E378" s="3">
        <v>31</v>
      </c>
      <c r="F378" s="3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 t="shared" si="37"/>
        <v>BOM</v>
      </c>
      <c r="M378" s="3">
        <v>29</v>
      </c>
      <c r="N378" s="3">
        <v>92.81</v>
      </c>
      <c r="O378" s="3">
        <v>25.477707006369432</v>
      </c>
    </row>
    <row r="379" spans="1:16" hidden="1" x14ac:dyDescent="0.25">
      <c r="A379" s="5">
        <v>46157</v>
      </c>
      <c r="B379" s="6" t="s">
        <v>35</v>
      </c>
      <c r="C379" s="9" t="s">
        <v>32</v>
      </c>
      <c r="D379" s="3">
        <v>20</v>
      </c>
      <c r="E379" s="3">
        <v>20</v>
      </c>
      <c r="F379" s="3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 t="shared" si="37"/>
        <v>BOM</v>
      </c>
      <c r="M379" s="3">
        <v>23</v>
      </c>
      <c r="N379" s="3">
        <v>99.19</v>
      </c>
      <c r="O379" s="3">
        <v>28.404669260700391</v>
      </c>
    </row>
    <row r="380" spans="1:16" hidden="1" x14ac:dyDescent="0.25">
      <c r="A380" s="5">
        <v>46157</v>
      </c>
      <c r="B380" s="6" t="s">
        <v>37</v>
      </c>
      <c r="C380" s="3" t="s">
        <v>32</v>
      </c>
      <c r="D380" s="3">
        <v>44</v>
      </c>
      <c r="E380" s="3">
        <v>38</v>
      </c>
      <c r="F380" s="3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 t="shared" ref="L380:L411" si="38">IF(K380&lt;-5,"CRÍTICO",IF(K380&lt;0,"ATENÇÃO",IF(K380&lt;=5,"BOM","EXCELENTE")))</f>
        <v>EXCELENTE</v>
      </c>
      <c r="M380" s="3">
        <v>39</v>
      </c>
      <c r="N380" s="3">
        <v>99</v>
      </c>
      <c r="O380" s="3">
        <v>22.27414330218069</v>
      </c>
    </row>
    <row r="381" spans="1:16" hidden="1" x14ac:dyDescent="0.25">
      <c r="A381" s="5">
        <v>46157</v>
      </c>
      <c r="B381" s="6" t="s">
        <v>38</v>
      </c>
      <c r="C381" s="3" t="s">
        <v>32</v>
      </c>
      <c r="D381" s="3">
        <v>30</v>
      </c>
      <c r="E381" s="3">
        <v>29</v>
      </c>
      <c r="F381" s="3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 t="shared" si="38"/>
        <v>BOM</v>
      </c>
      <c r="M381" s="3">
        <v>23</v>
      </c>
      <c r="N381" s="3">
        <v>97.04</v>
      </c>
      <c r="O381" s="3">
        <v>29.828850855745721</v>
      </c>
    </row>
    <row r="382" spans="1:16" hidden="1" x14ac:dyDescent="0.25">
      <c r="A382" s="5">
        <v>46157</v>
      </c>
      <c r="B382" s="6" t="s">
        <v>39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 t="shared" si="38"/>
        <v>BOM</v>
      </c>
      <c r="M382" s="3">
        <v>0</v>
      </c>
      <c r="N382" s="3">
        <v>0</v>
      </c>
      <c r="O382" s="3">
        <v>0</v>
      </c>
    </row>
    <row r="383" spans="1:16" hidden="1" x14ac:dyDescent="0.25">
      <c r="A383" s="5">
        <v>46157</v>
      </c>
      <c r="B383" s="6" t="s">
        <v>41</v>
      </c>
      <c r="C383" s="9" t="s">
        <v>32</v>
      </c>
      <c r="D383" s="3">
        <v>23</v>
      </c>
      <c r="E383" s="3">
        <v>22</v>
      </c>
      <c r="F383" s="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 t="shared" si="38"/>
        <v>CRÍTICO</v>
      </c>
      <c r="M383" s="3">
        <v>19</v>
      </c>
      <c r="N383" s="3">
        <v>100</v>
      </c>
      <c r="O383" s="3">
        <v>18.244803695150122</v>
      </c>
    </row>
    <row r="384" spans="1:16" hidden="1" x14ac:dyDescent="0.25">
      <c r="A384" s="5">
        <v>46157</v>
      </c>
      <c r="B384" s="6" t="s">
        <v>42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 t="shared" si="38"/>
        <v>BOM</v>
      </c>
      <c r="M384" s="3">
        <v>0</v>
      </c>
      <c r="N384" s="3">
        <v>100</v>
      </c>
      <c r="O384" s="3">
        <v>15.789473684210529</v>
      </c>
    </row>
    <row r="385" spans="1:15" hidden="1" x14ac:dyDescent="0.25">
      <c r="A385" s="5">
        <v>46157</v>
      </c>
      <c r="B385" s="6" t="s">
        <v>43</v>
      </c>
      <c r="C385" s="3" t="s">
        <v>32</v>
      </c>
      <c r="D385" s="3">
        <v>0</v>
      </c>
      <c r="E385" s="3">
        <v>0</v>
      </c>
      <c r="F385" s="3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 t="shared" si="38"/>
        <v>BOM</v>
      </c>
      <c r="M385" s="3">
        <v>19</v>
      </c>
      <c r="N385" s="3">
        <v>98.39</v>
      </c>
      <c r="O385" s="3">
        <v>8.7999999999999989</v>
      </c>
    </row>
    <row r="386" spans="1:15" hidden="1" x14ac:dyDescent="0.25">
      <c r="A386" s="5">
        <v>46157</v>
      </c>
      <c r="B386" s="6" t="s">
        <v>44</v>
      </c>
      <c r="C386" s="3" t="s">
        <v>32</v>
      </c>
      <c r="D386" s="3">
        <v>26</v>
      </c>
      <c r="E386" s="3">
        <v>24</v>
      </c>
      <c r="F386" s="3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 t="shared" si="38"/>
        <v>ATENÇÃO</v>
      </c>
      <c r="M386" s="3">
        <v>22</v>
      </c>
      <c r="N386" s="3">
        <v>96.38</v>
      </c>
      <c r="O386" s="3">
        <v>23.198198198198199</v>
      </c>
    </row>
    <row r="387" spans="1:15" hidden="1" x14ac:dyDescent="0.25">
      <c r="A387" s="5">
        <v>46157</v>
      </c>
      <c r="B387" s="6" t="s">
        <v>45</v>
      </c>
      <c r="C387" s="3" t="s">
        <v>32</v>
      </c>
      <c r="D387" s="3">
        <v>31</v>
      </c>
      <c r="E387" s="3">
        <v>29</v>
      </c>
      <c r="F387" s="3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 t="shared" si="38"/>
        <v>BOM</v>
      </c>
      <c r="M387" s="3">
        <v>29</v>
      </c>
      <c r="N387" s="3">
        <v>99.39</v>
      </c>
      <c r="O387" s="3">
        <v>25.203252032520329</v>
      </c>
    </row>
    <row r="388" spans="1:15" hidden="1" x14ac:dyDescent="0.25">
      <c r="A388" s="5">
        <v>46157</v>
      </c>
      <c r="B388" s="6" t="s">
        <v>46</v>
      </c>
      <c r="C388" s="3" t="s">
        <v>32</v>
      </c>
      <c r="D388" s="3">
        <v>20</v>
      </c>
      <c r="E388" s="3">
        <v>20</v>
      </c>
      <c r="F388" s="3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 t="shared" si="38"/>
        <v>CRÍTICO</v>
      </c>
      <c r="M388" s="3">
        <v>17</v>
      </c>
      <c r="N388" s="3">
        <v>97</v>
      </c>
      <c r="O388" s="3">
        <v>20.325203252032519</v>
      </c>
    </row>
    <row r="389" spans="1:15" hidden="1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 t="shared" si="38"/>
        <v>BOM</v>
      </c>
      <c r="M389" s="3">
        <v>0</v>
      </c>
      <c r="N389" s="3">
        <v>100</v>
      </c>
      <c r="O389" s="3">
        <v>0</v>
      </c>
    </row>
    <row r="390" spans="1:15" hidden="1" x14ac:dyDescent="0.25">
      <c r="A390" s="5">
        <v>46160</v>
      </c>
      <c r="B390" s="6" t="s">
        <v>33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 t="shared" si="38"/>
        <v>BOM</v>
      </c>
      <c r="M390" s="3">
        <v>0</v>
      </c>
      <c r="N390" s="3">
        <v>96.94</v>
      </c>
      <c r="O390" s="3">
        <v>19.613259668508292</v>
      </c>
    </row>
    <row r="391" spans="1:15" hidden="1" x14ac:dyDescent="0.25">
      <c r="A391" s="5">
        <v>46160</v>
      </c>
      <c r="B391" s="6" t="s">
        <v>34</v>
      </c>
      <c r="C391" s="3" t="s">
        <v>32</v>
      </c>
      <c r="D391" s="3">
        <v>30</v>
      </c>
      <c r="E391" s="3">
        <v>27</v>
      </c>
      <c r="F391" s="3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 t="shared" si="38"/>
        <v>BOM</v>
      </c>
      <c r="M391" s="3">
        <v>25</v>
      </c>
      <c r="N391" s="3">
        <v>92.81</v>
      </c>
      <c r="O391" s="3">
        <v>25.477707006369432</v>
      </c>
    </row>
    <row r="392" spans="1:15" hidden="1" x14ac:dyDescent="0.25">
      <c r="A392" s="5">
        <v>46160</v>
      </c>
      <c r="B392" s="6" t="s">
        <v>35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 t="shared" si="38"/>
        <v>BOM</v>
      </c>
      <c r="M392" s="3">
        <v>0</v>
      </c>
      <c r="N392" s="3">
        <v>99.19</v>
      </c>
      <c r="O392" s="3">
        <v>28.404669260700391</v>
      </c>
    </row>
    <row r="393" spans="1:15" hidden="1" x14ac:dyDescent="0.25">
      <c r="A393" s="5">
        <v>46160</v>
      </c>
      <c r="B393" s="6" t="s">
        <v>37</v>
      </c>
      <c r="C393" s="3" t="s">
        <v>32</v>
      </c>
      <c r="D393" s="3">
        <v>37</v>
      </c>
      <c r="E393" s="3">
        <v>32</v>
      </c>
      <c r="F393" s="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 t="shared" si="38"/>
        <v>EXCELENTE</v>
      </c>
      <c r="M393" s="3">
        <v>34</v>
      </c>
      <c r="N393" s="3">
        <v>99</v>
      </c>
      <c r="O393" s="3">
        <v>22.27414330218069</v>
      </c>
    </row>
    <row r="394" spans="1:15" hidden="1" x14ac:dyDescent="0.25">
      <c r="A394" s="5">
        <v>46160</v>
      </c>
      <c r="B394" s="6" t="s">
        <v>38</v>
      </c>
      <c r="C394" s="3" t="s">
        <v>32</v>
      </c>
      <c r="D394" s="3">
        <v>26</v>
      </c>
      <c r="E394" s="3">
        <v>25</v>
      </c>
      <c r="F394" s="3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 t="shared" si="38"/>
        <v>BOM</v>
      </c>
      <c r="M394" s="3">
        <v>23</v>
      </c>
      <c r="N394" s="3">
        <v>97.04</v>
      </c>
      <c r="O394" s="3">
        <v>29.828850855745721</v>
      </c>
    </row>
    <row r="395" spans="1:15" hidden="1" x14ac:dyDescent="0.25">
      <c r="A395" s="5">
        <v>46160</v>
      </c>
      <c r="B395" s="6" t="s">
        <v>39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 t="shared" si="38"/>
        <v>BOM</v>
      </c>
      <c r="M395" s="3">
        <v>0</v>
      </c>
      <c r="N395" s="3">
        <v>0</v>
      </c>
      <c r="O395" s="3">
        <v>0</v>
      </c>
    </row>
    <row r="396" spans="1:15" hidden="1" x14ac:dyDescent="0.25">
      <c r="A396" s="5">
        <v>46160</v>
      </c>
      <c r="B396" s="6" t="s">
        <v>40</v>
      </c>
      <c r="C396" s="9" t="s">
        <v>32</v>
      </c>
      <c r="D396" s="3">
        <v>25</v>
      </c>
      <c r="E396" s="3">
        <v>24</v>
      </c>
      <c r="F396" s="3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 t="shared" si="38"/>
        <v>ATENÇÃO</v>
      </c>
      <c r="M396" s="3">
        <v>21</v>
      </c>
      <c r="N396" s="3">
        <v>96.84</v>
      </c>
      <c r="O396" s="3">
        <v>16.338028169014081</v>
      </c>
    </row>
    <row r="397" spans="1:15" hidden="1" x14ac:dyDescent="0.25">
      <c r="A397" s="5">
        <v>46160</v>
      </c>
      <c r="B397" s="6" t="s">
        <v>41</v>
      </c>
      <c r="C397" s="9" t="s">
        <v>32</v>
      </c>
      <c r="D397" s="3">
        <v>28</v>
      </c>
      <c r="E397" s="3">
        <v>25</v>
      </c>
      <c r="F397" s="3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 t="shared" si="38"/>
        <v>ATENÇÃO</v>
      </c>
      <c r="M397" s="3">
        <v>25</v>
      </c>
      <c r="N397" s="3">
        <v>100</v>
      </c>
      <c r="O397" s="3">
        <v>18.244803695150122</v>
      </c>
    </row>
    <row r="398" spans="1:15" hidden="1" x14ac:dyDescent="0.25">
      <c r="A398" s="5">
        <v>46160</v>
      </c>
      <c r="B398" s="6" t="s">
        <v>42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 t="shared" si="38"/>
        <v>BOM</v>
      </c>
      <c r="M398" s="3">
        <v>0</v>
      </c>
      <c r="N398" s="3">
        <v>100</v>
      </c>
      <c r="O398" s="3">
        <v>15.789473684210529</v>
      </c>
    </row>
    <row r="399" spans="1:15" hidden="1" x14ac:dyDescent="0.25">
      <c r="A399" s="5">
        <v>46160</v>
      </c>
      <c r="B399" s="6" t="s">
        <v>43</v>
      </c>
      <c r="C399" s="3" t="s">
        <v>32</v>
      </c>
      <c r="D399" s="3">
        <v>0</v>
      </c>
      <c r="E399" s="3">
        <v>0</v>
      </c>
      <c r="F399" s="3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 t="shared" si="38"/>
        <v>EXCELENTE</v>
      </c>
      <c r="M399" s="3">
        <v>16</v>
      </c>
      <c r="N399" s="3">
        <v>98.39</v>
      </c>
      <c r="O399" s="3">
        <v>8.7999999999999989</v>
      </c>
    </row>
    <row r="400" spans="1:15" hidden="1" x14ac:dyDescent="0.25">
      <c r="A400" s="5">
        <v>46160</v>
      </c>
      <c r="B400" s="6" t="s">
        <v>44</v>
      </c>
      <c r="C400" s="3" t="s">
        <v>32</v>
      </c>
      <c r="D400" s="3">
        <v>30</v>
      </c>
      <c r="E400" s="3">
        <v>27</v>
      </c>
      <c r="F400" s="3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 t="shared" si="38"/>
        <v>BOM</v>
      </c>
      <c r="M400" s="3">
        <v>27</v>
      </c>
      <c r="N400" s="3">
        <v>96.38</v>
      </c>
      <c r="O400" s="3">
        <v>23.198198198198199</v>
      </c>
    </row>
    <row r="401" spans="1:16" hidden="1" x14ac:dyDescent="0.25">
      <c r="A401" s="5">
        <v>46160</v>
      </c>
      <c r="B401" s="6" t="s">
        <v>45</v>
      </c>
      <c r="C401" s="3" t="s">
        <v>32</v>
      </c>
      <c r="D401" s="3">
        <v>34</v>
      </c>
      <c r="E401" s="3">
        <v>28</v>
      </c>
      <c r="F401" s="3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 t="shared" si="38"/>
        <v>BOM</v>
      </c>
      <c r="M401" s="3">
        <v>26</v>
      </c>
      <c r="N401" s="3">
        <v>99.39</v>
      </c>
      <c r="O401" s="3">
        <v>25.203252032520329</v>
      </c>
    </row>
    <row r="402" spans="1:16" hidden="1" x14ac:dyDescent="0.25">
      <c r="A402" s="5">
        <v>46160</v>
      </c>
      <c r="B402" s="6" t="s">
        <v>46</v>
      </c>
      <c r="C402" s="3" t="s">
        <v>32</v>
      </c>
      <c r="D402" s="3">
        <v>25</v>
      </c>
      <c r="E402" s="3">
        <v>22</v>
      </c>
      <c r="F402" s="3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 t="shared" si="38"/>
        <v>BOM</v>
      </c>
      <c r="M402" s="3">
        <v>21</v>
      </c>
      <c r="N402" s="3">
        <v>97</v>
      </c>
      <c r="O402" s="3">
        <v>20.325203252032519</v>
      </c>
    </row>
    <row r="403" spans="1:16" hidden="1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 t="shared" si="38"/>
        <v>BOM</v>
      </c>
      <c r="M403" s="3">
        <v>0</v>
      </c>
      <c r="N403" s="3">
        <v>100</v>
      </c>
      <c r="O403" s="3">
        <v>0</v>
      </c>
    </row>
    <row r="404" spans="1:16" hidden="1" x14ac:dyDescent="0.25">
      <c r="A404" s="7">
        <v>46161</v>
      </c>
      <c r="B404" s="8" t="s">
        <v>33</v>
      </c>
      <c r="C404" s="9" t="s">
        <v>32</v>
      </c>
      <c r="D404" s="3">
        <v>22</v>
      </c>
      <c r="E404" s="3">
        <v>19</v>
      </c>
      <c r="F404" s="3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 t="shared" si="38"/>
        <v>CRÍTICO</v>
      </c>
      <c r="M404" s="3">
        <v>16</v>
      </c>
      <c r="N404" s="3">
        <v>96.94</v>
      </c>
      <c r="O404" s="3">
        <v>19.613259668508292</v>
      </c>
    </row>
    <row r="405" spans="1:16" hidden="1" x14ac:dyDescent="0.25">
      <c r="A405" s="7">
        <v>46161</v>
      </c>
      <c r="B405" s="8" t="s">
        <v>34</v>
      </c>
      <c r="C405" s="9" t="s">
        <v>32</v>
      </c>
      <c r="D405" s="3">
        <v>33</v>
      </c>
      <c r="E405" s="3">
        <v>30</v>
      </c>
      <c r="F405" s="3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 t="shared" si="38"/>
        <v>BOM</v>
      </c>
      <c r="M405" s="3">
        <v>30</v>
      </c>
      <c r="N405" s="3">
        <v>92.81</v>
      </c>
      <c r="O405" s="3">
        <v>25.477707006369432</v>
      </c>
    </row>
    <row r="406" spans="1:16" hidden="1" x14ac:dyDescent="0.25">
      <c r="A406" s="7">
        <v>46161</v>
      </c>
      <c r="B406" s="8" t="s">
        <v>35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 t="shared" si="38"/>
        <v>BOM</v>
      </c>
      <c r="M406" s="3">
        <v>0</v>
      </c>
      <c r="N406" s="3">
        <v>99.19</v>
      </c>
      <c r="O406" s="3">
        <v>28.404669260700391</v>
      </c>
    </row>
    <row r="407" spans="1:16" hidden="1" x14ac:dyDescent="0.25">
      <c r="A407" s="7">
        <v>46161</v>
      </c>
      <c r="B407" s="8" t="s">
        <v>36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 t="shared" si="38"/>
        <v>CRÍTICO</v>
      </c>
      <c r="M407" s="3">
        <v>11</v>
      </c>
      <c r="N407" s="3">
        <v>100</v>
      </c>
      <c r="O407" s="3">
        <v>13.51351351351351</v>
      </c>
    </row>
    <row r="408" spans="1:16" hidden="1" x14ac:dyDescent="0.25">
      <c r="A408" s="7">
        <v>46161</v>
      </c>
      <c r="B408" s="8" t="s">
        <v>37</v>
      </c>
      <c r="C408" s="9" t="s">
        <v>32</v>
      </c>
      <c r="D408" s="3">
        <v>43</v>
      </c>
      <c r="E408" s="3">
        <v>39</v>
      </c>
      <c r="F408" s="3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 t="shared" si="38"/>
        <v>EXCELENTE</v>
      </c>
      <c r="M408" s="3">
        <v>40</v>
      </c>
      <c r="N408" s="3">
        <v>99</v>
      </c>
      <c r="O408" s="3">
        <v>22.27414330218069</v>
      </c>
    </row>
    <row r="409" spans="1:16" hidden="1" x14ac:dyDescent="0.25">
      <c r="A409" s="7">
        <v>46161</v>
      </c>
      <c r="B409" s="8" t="s">
        <v>38</v>
      </c>
      <c r="C409" s="9" t="s">
        <v>32</v>
      </c>
      <c r="D409" s="3">
        <v>11</v>
      </c>
      <c r="E409" s="3">
        <v>10</v>
      </c>
      <c r="F409" s="3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 t="shared" si="38"/>
        <v>CRÍTICO</v>
      </c>
      <c r="M409" s="3">
        <v>12</v>
      </c>
      <c r="N409" s="3">
        <v>97.04</v>
      </c>
      <c r="O409" s="3">
        <v>29.828850855745721</v>
      </c>
    </row>
    <row r="410" spans="1:16" hidden="1" x14ac:dyDescent="0.25">
      <c r="A410" s="7">
        <v>46161</v>
      </c>
      <c r="B410" s="8" t="s">
        <v>39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 t="shared" si="38"/>
        <v>BOM</v>
      </c>
      <c r="M410" s="3">
        <v>0</v>
      </c>
      <c r="N410" s="3">
        <v>0</v>
      </c>
      <c r="O410" s="3">
        <v>0</v>
      </c>
    </row>
    <row r="411" spans="1:16" hidden="1" x14ac:dyDescent="0.25">
      <c r="A411" s="7">
        <v>46161</v>
      </c>
      <c r="B411" s="8" t="s">
        <v>40</v>
      </c>
      <c r="C411" s="9" t="s">
        <v>32</v>
      </c>
      <c r="D411" s="3">
        <v>32</v>
      </c>
      <c r="E411" s="3">
        <v>32</v>
      </c>
      <c r="F411" s="3">
        <v>17.18</v>
      </c>
      <c r="G411" s="3">
        <v>0</v>
      </c>
      <c r="H411" s="3">
        <v>0</v>
      </c>
      <c r="I411" s="3">
        <f t="shared" ref="I411:I418" si="39">E411+G411+H411</f>
        <v>32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 t="shared" ref="K411:K418" si="40">I411-J411</f>
        <v>3</v>
      </c>
      <c r="L411" s="3" t="str">
        <f t="shared" si="38"/>
        <v>BOM</v>
      </c>
      <c r="M411" s="3">
        <v>28</v>
      </c>
      <c r="N411" s="3">
        <v>96.84</v>
      </c>
      <c r="O411" s="3">
        <v>16.338028169014081</v>
      </c>
    </row>
    <row r="412" spans="1:16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 t="shared" si="39"/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 t="shared" si="40"/>
        <v>5</v>
      </c>
      <c r="L412" s="3" t="str">
        <f t="shared" ref="L412:L443" si="41"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  <c r="P412"/>
    </row>
    <row r="413" spans="1:16" hidden="1" x14ac:dyDescent="0.25">
      <c r="A413" s="7">
        <v>46161</v>
      </c>
      <c r="B413" s="8" t="s">
        <v>41</v>
      </c>
      <c r="C413" s="9" t="s">
        <v>32</v>
      </c>
      <c r="D413" s="3">
        <v>27</v>
      </c>
      <c r="E413" s="3">
        <v>26</v>
      </c>
      <c r="F413" s="3">
        <v>15.39</v>
      </c>
      <c r="G413" s="3">
        <v>0</v>
      </c>
      <c r="H413" s="3">
        <v>0</v>
      </c>
      <c r="I413" s="3">
        <f t="shared" si="39"/>
        <v>26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29</v>
      </c>
      <c r="K413" s="3">
        <f t="shared" si="40"/>
        <v>-3</v>
      </c>
      <c r="L413" s="3" t="str">
        <f t="shared" si="41"/>
        <v>ATENÇÃO</v>
      </c>
      <c r="M413" s="3">
        <v>24</v>
      </c>
      <c r="N413" s="3">
        <v>100</v>
      </c>
      <c r="O413" s="3">
        <v>18.244803695150122</v>
      </c>
    </row>
    <row r="414" spans="1:16" hidden="1" x14ac:dyDescent="0.25">
      <c r="A414" s="7">
        <v>46161</v>
      </c>
      <c r="B414" s="8" t="s">
        <v>42</v>
      </c>
      <c r="C414" s="9" t="s">
        <v>32</v>
      </c>
      <c r="D414" s="3">
        <v>22</v>
      </c>
      <c r="E414" s="3">
        <v>20</v>
      </c>
      <c r="F414" s="3">
        <v>21.49</v>
      </c>
      <c r="G414" s="3">
        <v>0</v>
      </c>
      <c r="H414" s="3">
        <v>0</v>
      </c>
      <c r="I414" s="3">
        <f t="shared" si="39"/>
        <v>20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 t="shared" si="40"/>
        <v>-9</v>
      </c>
      <c r="L414" s="3" t="str">
        <f t="shared" si="41"/>
        <v>CRÍTICO</v>
      </c>
      <c r="M414" s="3">
        <v>18</v>
      </c>
      <c r="N414" s="3">
        <v>100</v>
      </c>
      <c r="O414" s="3">
        <v>15.789473684210529</v>
      </c>
    </row>
    <row r="415" spans="1:16" hidden="1" x14ac:dyDescent="0.25">
      <c r="A415" s="7">
        <v>46161</v>
      </c>
      <c r="B415" s="8" t="s">
        <v>43</v>
      </c>
      <c r="C415" s="9" t="s">
        <v>32</v>
      </c>
      <c r="D415" s="3">
        <v>0</v>
      </c>
      <c r="E415" s="3">
        <v>0</v>
      </c>
      <c r="F415" s="3">
        <v>0</v>
      </c>
      <c r="G415" s="3">
        <v>0</v>
      </c>
      <c r="H415" s="3">
        <v>33</v>
      </c>
      <c r="I415" s="3">
        <f t="shared" si="39"/>
        <v>33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 t="shared" si="40"/>
        <v>4</v>
      </c>
      <c r="L415" s="3" t="str">
        <f t="shared" si="41"/>
        <v>BOM</v>
      </c>
      <c r="M415" s="3">
        <v>14</v>
      </c>
      <c r="N415" s="3">
        <v>98.39</v>
      </c>
      <c r="O415" s="3">
        <v>8.7999999999999989</v>
      </c>
    </row>
    <row r="416" spans="1:16" hidden="1" x14ac:dyDescent="0.25">
      <c r="A416" s="7">
        <v>46161</v>
      </c>
      <c r="B416" s="8" t="s">
        <v>44</v>
      </c>
      <c r="C416" s="9" t="s">
        <v>32</v>
      </c>
      <c r="D416" s="3">
        <v>35</v>
      </c>
      <c r="E416" s="3">
        <v>31</v>
      </c>
      <c r="F416" s="3">
        <v>10.43</v>
      </c>
      <c r="G416" s="3">
        <v>4</v>
      </c>
      <c r="H416" s="3">
        <v>0</v>
      </c>
      <c r="I416" s="3">
        <f t="shared" si="39"/>
        <v>35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29</v>
      </c>
      <c r="K416" s="3">
        <f t="shared" si="40"/>
        <v>6</v>
      </c>
      <c r="L416" s="3" t="str">
        <f t="shared" si="41"/>
        <v>EXCELENTE</v>
      </c>
      <c r="M416" s="3">
        <v>30</v>
      </c>
      <c r="N416" s="3">
        <v>96.38</v>
      </c>
      <c r="O416" s="3">
        <v>23.198198198198199</v>
      </c>
    </row>
    <row r="417" spans="1:16" hidden="1" x14ac:dyDescent="0.25">
      <c r="A417" s="7">
        <v>46161</v>
      </c>
      <c r="B417" s="8" t="s">
        <v>45</v>
      </c>
      <c r="C417" s="9" t="s">
        <v>32</v>
      </c>
      <c r="D417" s="3">
        <v>39</v>
      </c>
      <c r="E417" s="3">
        <v>35</v>
      </c>
      <c r="F417" s="3">
        <v>10.55</v>
      </c>
      <c r="G417" s="3">
        <v>3</v>
      </c>
      <c r="H417" s="3">
        <v>0</v>
      </c>
      <c r="I417" s="3">
        <f t="shared" si="39"/>
        <v>38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29</v>
      </c>
      <c r="K417" s="3">
        <f t="shared" si="40"/>
        <v>9</v>
      </c>
      <c r="L417" s="3" t="str">
        <f t="shared" si="41"/>
        <v>EXCELENTE</v>
      </c>
      <c r="M417" s="3">
        <v>34</v>
      </c>
      <c r="N417" s="3">
        <v>99.39</v>
      </c>
      <c r="O417" s="3">
        <v>25.203252032520329</v>
      </c>
    </row>
    <row r="418" spans="1:16" hidden="1" x14ac:dyDescent="0.25">
      <c r="A418" s="7">
        <v>46161</v>
      </c>
      <c r="B418" s="8" t="s">
        <v>46</v>
      </c>
      <c r="C418" s="9" t="s">
        <v>32</v>
      </c>
      <c r="D418" s="3">
        <v>25</v>
      </c>
      <c r="E418" s="3">
        <v>24</v>
      </c>
      <c r="F418" s="3">
        <v>18.25</v>
      </c>
      <c r="G418" s="3">
        <v>3</v>
      </c>
      <c r="H418" s="3">
        <v>0</v>
      </c>
      <c r="I418" s="3">
        <f t="shared" si="39"/>
        <v>27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29</v>
      </c>
      <c r="K418" s="3">
        <f t="shared" si="40"/>
        <v>-2</v>
      </c>
      <c r="L418" s="3" t="str">
        <f t="shared" si="41"/>
        <v>ATENÇÃO</v>
      </c>
      <c r="M418" s="3">
        <v>21</v>
      </c>
      <c r="N418" s="3">
        <v>97</v>
      </c>
      <c r="O418" s="3">
        <v>20.325203252032519</v>
      </c>
    </row>
    <row r="419" spans="1:16" hidden="1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 t="shared" ref="L419:L429" si="42">IF(K419&lt;-5,"CRÍTICO",IF(K419&lt;0,"ATENÇÃO",IF(K419&lt;=5,"OPORTUNO","MUITO BOM")))</f>
        <v>OPORTUNO</v>
      </c>
      <c r="M419" s="3">
        <v>0</v>
      </c>
      <c r="N419" s="3">
        <v>100</v>
      </c>
      <c r="O419" s="3">
        <v>0</v>
      </c>
    </row>
    <row r="420" spans="1:16" hidden="1" x14ac:dyDescent="0.25">
      <c r="A420" s="7">
        <v>46162</v>
      </c>
      <c r="B420" s="8" t="s">
        <v>33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 t="shared" si="42"/>
        <v>ATENÇÃO</v>
      </c>
      <c r="M420" s="3">
        <v>18</v>
      </c>
      <c r="N420" s="3">
        <v>96.94</v>
      </c>
      <c r="O420" s="3">
        <v>19.613259668508292</v>
      </c>
    </row>
    <row r="421" spans="1:16" hidden="1" x14ac:dyDescent="0.25">
      <c r="A421" s="7">
        <v>46162</v>
      </c>
      <c r="B421" s="8" t="s">
        <v>34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 t="shared" si="42"/>
        <v>OPORTUNO</v>
      </c>
      <c r="M421" s="3">
        <v>21</v>
      </c>
      <c r="N421" s="3">
        <v>92.81</v>
      </c>
      <c r="O421" s="3">
        <v>25.477707006369432</v>
      </c>
    </row>
    <row r="422" spans="1:16" hidden="1" x14ac:dyDescent="0.25">
      <c r="A422" s="7">
        <v>46162</v>
      </c>
      <c r="B422" s="8" t="s">
        <v>35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42"/>
        <v>OPORTUNO</v>
      </c>
      <c r="M422" s="3">
        <v>0</v>
      </c>
      <c r="N422" s="3">
        <v>99.19</v>
      </c>
      <c r="O422" s="3">
        <v>28.404669260700391</v>
      </c>
    </row>
    <row r="423" spans="1:16" hidden="1" x14ac:dyDescent="0.25">
      <c r="A423" s="7">
        <v>46162</v>
      </c>
      <c r="B423" s="8" t="s">
        <v>36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42"/>
        <v>OPORTUNO</v>
      </c>
      <c r="M423" s="3">
        <v>0</v>
      </c>
      <c r="N423" s="3">
        <v>100</v>
      </c>
      <c r="O423" s="3">
        <v>13.51351351351351</v>
      </c>
    </row>
    <row r="424" spans="1:16" hidden="1" x14ac:dyDescent="0.25">
      <c r="A424" s="7">
        <v>46162</v>
      </c>
      <c r="B424" s="8" t="s">
        <v>37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 t="shared" si="42"/>
        <v>MUITO BOM</v>
      </c>
      <c r="M424" s="3">
        <v>34</v>
      </c>
      <c r="N424" s="3">
        <v>99</v>
      </c>
      <c r="O424" s="3">
        <v>22.27414330218069</v>
      </c>
    </row>
    <row r="425" spans="1:16" hidden="1" x14ac:dyDescent="0.25">
      <c r="A425" s="7">
        <v>46162</v>
      </c>
      <c r="B425" s="8" t="s">
        <v>38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 t="shared" si="42"/>
        <v>ATENÇÃO</v>
      </c>
      <c r="M425" s="3">
        <v>19</v>
      </c>
      <c r="N425" s="3">
        <v>97.04</v>
      </c>
      <c r="O425" s="3">
        <v>29.828850855745721</v>
      </c>
    </row>
    <row r="426" spans="1:16" hidden="1" x14ac:dyDescent="0.25">
      <c r="A426" s="7">
        <v>46162</v>
      </c>
      <c r="B426" s="8" t="s">
        <v>39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42"/>
        <v>OPORTUNO</v>
      </c>
      <c r="M426" s="3">
        <v>0</v>
      </c>
      <c r="N426" s="3">
        <v>0</v>
      </c>
      <c r="O426" s="3">
        <v>0</v>
      </c>
    </row>
    <row r="427" spans="1:16" hidden="1" x14ac:dyDescent="0.25">
      <c r="A427" s="7">
        <v>46162</v>
      </c>
      <c r="B427" s="8" t="s">
        <v>40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 t="shared" ref="I427:I434" si="43">E427+G427+H427</f>
        <v>17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 t="shared" ref="K427:K434" si="44">I427-J427</f>
        <v>-9</v>
      </c>
      <c r="L427" s="3" t="str">
        <f t="shared" si="42"/>
        <v>CRÍTICO</v>
      </c>
      <c r="M427" s="3">
        <v>18</v>
      </c>
      <c r="N427" s="3">
        <v>96.84</v>
      </c>
      <c r="O427" s="3">
        <v>16.338028169014081</v>
      </c>
    </row>
    <row r="428" spans="1:16" hidden="1" x14ac:dyDescent="0.25">
      <c r="A428" s="7">
        <v>46162</v>
      </c>
      <c r="B428" s="8" t="s">
        <v>41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 t="shared" si="43"/>
        <v>29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26</v>
      </c>
      <c r="K428" s="3">
        <f t="shared" si="44"/>
        <v>3</v>
      </c>
      <c r="L428" s="3" t="str">
        <f t="shared" si="42"/>
        <v>OPORTUNO</v>
      </c>
      <c r="M428" s="3">
        <v>28</v>
      </c>
      <c r="N428" s="3">
        <v>100</v>
      </c>
      <c r="O428" s="3">
        <v>18.244803695150122</v>
      </c>
    </row>
    <row r="429" spans="1:16" hidden="1" x14ac:dyDescent="0.25">
      <c r="A429" s="7">
        <v>46162</v>
      </c>
      <c r="B429" s="8" t="s">
        <v>42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 t="shared" si="43"/>
        <v>21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26</v>
      </c>
      <c r="K429" s="3">
        <f t="shared" si="44"/>
        <v>-5</v>
      </c>
      <c r="L429" s="3" t="str">
        <f t="shared" si="42"/>
        <v>ATENÇÃO</v>
      </c>
      <c r="M429" s="3">
        <v>18</v>
      </c>
      <c r="N429" s="3">
        <v>100</v>
      </c>
      <c r="O429" s="3">
        <v>15.789473684210529</v>
      </c>
    </row>
    <row r="430" spans="1:16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43"/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 t="shared" si="44"/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  <c r="P430"/>
    </row>
    <row r="431" spans="1:16" hidden="1" x14ac:dyDescent="0.25">
      <c r="A431" s="7">
        <v>46162</v>
      </c>
      <c r="B431" s="8" t="s">
        <v>43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 t="shared" si="43"/>
        <v>25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26</v>
      </c>
      <c r="K431" s="3">
        <f t="shared" si="44"/>
        <v>-1</v>
      </c>
      <c r="L431" s="3" t="str">
        <f t="shared" ref="L431:L455" si="45">IF(K431&lt;-5,"CRÍTICO",IF(K431&lt;0,"ATENÇÃO",IF(K431&lt;=5,"OPORTUNO","MUITO BOM")))</f>
        <v>ATENÇÃO</v>
      </c>
      <c r="M431" s="3">
        <v>16</v>
      </c>
      <c r="N431" s="3">
        <v>98.39</v>
      </c>
      <c r="O431" s="3">
        <v>8.7999999999999989</v>
      </c>
    </row>
    <row r="432" spans="1:16" hidden="1" x14ac:dyDescent="0.25">
      <c r="A432" s="7">
        <v>46162</v>
      </c>
      <c r="B432" s="8" t="s">
        <v>44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 t="shared" si="43"/>
        <v>27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26</v>
      </c>
      <c r="K432" s="3">
        <f t="shared" si="44"/>
        <v>1</v>
      </c>
      <c r="L432" s="3" t="str">
        <f t="shared" si="45"/>
        <v>OPORTUNO</v>
      </c>
      <c r="M432" s="3">
        <v>23</v>
      </c>
      <c r="N432" s="3">
        <v>96.38</v>
      </c>
      <c r="O432" s="3">
        <v>23.198198198198199</v>
      </c>
    </row>
    <row r="433" spans="1:15" hidden="1" x14ac:dyDescent="0.25">
      <c r="A433" s="7">
        <v>46162</v>
      </c>
      <c r="B433" s="8" t="s">
        <v>45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 t="shared" si="43"/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26</v>
      </c>
      <c r="K433" s="3">
        <f t="shared" si="44"/>
        <v>7</v>
      </c>
      <c r="L433" s="3" t="str">
        <f t="shared" si="45"/>
        <v>MUITO BOM</v>
      </c>
      <c r="M433" s="3">
        <v>28</v>
      </c>
      <c r="N433" s="3">
        <v>99.39</v>
      </c>
      <c r="O433" s="3">
        <v>25.203252032520329</v>
      </c>
    </row>
    <row r="434" spans="1:15" hidden="1" x14ac:dyDescent="0.25">
      <c r="A434" s="7">
        <v>46162</v>
      </c>
      <c r="B434" s="8" t="s">
        <v>46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 t="shared" si="43"/>
        <v>24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26</v>
      </c>
      <c r="K434" s="3">
        <f t="shared" si="44"/>
        <v>-2</v>
      </c>
      <c r="L434" s="3" t="str">
        <f t="shared" si="45"/>
        <v>ATENÇÃO</v>
      </c>
      <c r="M434" s="3">
        <v>21</v>
      </c>
      <c r="N434" s="3">
        <v>97</v>
      </c>
      <c r="O434" s="3">
        <v>20.325203252032519</v>
      </c>
    </row>
    <row r="435" spans="1:15" hidden="1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 t="shared" si="45"/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33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 t="shared" si="45"/>
        <v>CRÍTICO</v>
      </c>
      <c r="M436" s="3">
        <v>13</v>
      </c>
      <c r="N436" s="3">
        <v>96.94</v>
      </c>
      <c r="O436" s="3">
        <v>19.613259668508292</v>
      </c>
    </row>
    <row r="437" spans="1:15" hidden="1" x14ac:dyDescent="0.25">
      <c r="A437" s="5">
        <v>46163</v>
      </c>
      <c r="B437" s="6" t="s">
        <v>34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 t="shared" si="45"/>
        <v>OPORTUNO</v>
      </c>
      <c r="M437" s="3">
        <v>20</v>
      </c>
      <c r="N437" s="3">
        <v>92.81</v>
      </c>
      <c r="O437" s="3">
        <v>25.477707006369432</v>
      </c>
    </row>
    <row r="438" spans="1:15" hidden="1" x14ac:dyDescent="0.25">
      <c r="A438" s="5">
        <v>46163</v>
      </c>
      <c r="B438" s="6" t="s">
        <v>35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 t="shared" si="45"/>
        <v>OPORTUNO</v>
      </c>
      <c r="M438" s="3">
        <v>0</v>
      </c>
      <c r="N438" s="3">
        <v>99.19</v>
      </c>
      <c r="O438" s="3">
        <v>28.404669260700391</v>
      </c>
    </row>
    <row r="439" spans="1:15" hidden="1" x14ac:dyDescent="0.25">
      <c r="A439" s="5">
        <v>46163</v>
      </c>
      <c r="B439" s="6" t="s">
        <v>36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 t="shared" si="45"/>
        <v>OPORTUNO</v>
      </c>
      <c r="M439" s="3">
        <v>0</v>
      </c>
      <c r="N439" s="3">
        <v>100</v>
      </c>
      <c r="O439" s="3">
        <v>13.51351351351351</v>
      </c>
    </row>
    <row r="440" spans="1:15" hidden="1" x14ac:dyDescent="0.25">
      <c r="A440" s="5">
        <v>46163</v>
      </c>
      <c r="B440" s="6" t="s">
        <v>37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 t="shared" si="45"/>
        <v>MUITO BOM</v>
      </c>
      <c r="M440" s="3">
        <v>28</v>
      </c>
      <c r="N440" s="3">
        <v>99</v>
      </c>
      <c r="O440" s="3">
        <v>22.27414330218069</v>
      </c>
    </row>
    <row r="441" spans="1:15" hidden="1" x14ac:dyDescent="0.25">
      <c r="A441" s="5">
        <v>46163</v>
      </c>
      <c r="B441" s="6" t="s">
        <v>38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 t="shared" si="45"/>
        <v>CRÍTICO</v>
      </c>
      <c r="M441" s="3">
        <v>10</v>
      </c>
      <c r="N441" s="3">
        <v>97.04</v>
      </c>
      <c r="O441" s="3">
        <v>29.828850855745721</v>
      </c>
    </row>
    <row r="442" spans="1:15" hidden="1" x14ac:dyDescent="0.25">
      <c r="A442" s="5">
        <v>46163</v>
      </c>
      <c r="B442" s="6" t="s">
        <v>39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45"/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40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 t="shared" ref="I443:I449" si="46">E443+G443+H443</f>
        <v>21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 t="shared" ref="K443:K449" si="47">I443-J443</f>
        <v>-1</v>
      </c>
      <c r="L443" s="3" t="str">
        <f t="shared" si="45"/>
        <v>ATENÇÃO</v>
      </c>
      <c r="M443" s="3">
        <v>21</v>
      </c>
      <c r="N443" s="3">
        <v>96.84</v>
      </c>
      <c r="O443" s="3">
        <v>16.338028169014081</v>
      </c>
    </row>
    <row r="444" spans="1:15" hidden="1" x14ac:dyDescent="0.25">
      <c r="A444" s="5">
        <v>46163</v>
      </c>
      <c r="B444" s="6" t="s">
        <v>41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 t="shared" si="46"/>
        <v>21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22</v>
      </c>
      <c r="K444" s="3">
        <f t="shared" si="47"/>
        <v>-1</v>
      </c>
      <c r="L444" s="3" t="str">
        <f t="shared" si="45"/>
        <v>ATENÇÃO</v>
      </c>
      <c r="M444" s="3">
        <v>19</v>
      </c>
      <c r="N444" s="3">
        <v>100</v>
      </c>
      <c r="O444" s="3">
        <v>18.244803695150122</v>
      </c>
    </row>
    <row r="445" spans="1:15" hidden="1" x14ac:dyDescent="0.25">
      <c r="A445" s="5">
        <v>46163</v>
      </c>
      <c r="B445" s="6" t="s">
        <v>42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 t="shared" si="46"/>
        <v>27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22</v>
      </c>
      <c r="K445" s="3">
        <f t="shared" si="47"/>
        <v>5</v>
      </c>
      <c r="L445" s="3" t="str">
        <f t="shared" si="45"/>
        <v>OPORTUNO</v>
      </c>
      <c r="M445" s="3">
        <v>18</v>
      </c>
      <c r="N445" s="3">
        <v>100</v>
      </c>
      <c r="O445" s="3">
        <v>15.789473684210529</v>
      </c>
    </row>
    <row r="446" spans="1:15" hidden="1" x14ac:dyDescent="0.25">
      <c r="A446" s="5">
        <v>46163</v>
      </c>
      <c r="B446" s="6" t="s">
        <v>43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 t="shared" si="46"/>
        <v>30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22</v>
      </c>
      <c r="K446" s="3">
        <f t="shared" si="47"/>
        <v>8</v>
      </c>
      <c r="L446" s="3" t="str">
        <f t="shared" si="45"/>
        <v>MUITO BOM</v>
      </c>
      <c r="M446" s="3">
        <v>15</v>
      </c>
      <c r="N446" s="3">
        <v>98.39</v>
      </c>
      <c r="O446" s="3">
        <v>8.7999999999999989</v>
      </c>
    </row>
    <row r="447" spans="1:15" hidden="1" x14ac:dyDescent="0.25">
      <c r="A447" s="5">
        <v>46163</v>
      </c>
      <c r="B447" s="6" t="s">
        <v>44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 t="shared" si="46"/>
        <v>25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 t="shared" si="47"/>
        <v>3</v>
      </c>
      <c r="L447" s="3" t="str">
        <f t="shared" si="45"/>
        <v>OPORTUNO</v>
      </c>
      <c r="M447" s="3">
        <v>21</v>
      </c>
      <c r="N447" s="3">
        <v>96.38</v>
      </c>
      <c r="O447" s="3">
        <v>23.198198198198199</v>
      </c>
    </row>
    <row r="448" spans="1:15" hidden="1" x14ac:dyDescent="0.25">
      <c r="A448" s="5">
        <v>46163</v>
      </c>
      <c r="B448" s="6" t="s">
        <v>45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 t="shared" si="46"/>
        <v>33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 t="shared" si="47"/>
        <v>11</v>
      </c>
      <c r="L448" s="3" t="str">
        <f t="shared" si="45"/>
        <v>MUITO BOM</v>
      </c>
      <c r="M448" s="3">
        <v>22</v>
      </c>
      <c r="N448" s="3">
        <v>99.39</v>
      </c>
      <c r="O448" s="3">
        <v>25.203252032520329</v>
      </c>
    </row>
    <row r="449" spans="1:16" hidden="1" x14ac:dyDescent="0.25">
      <c r="A449" s="5">
        <v>46163</v>
      </c>
      <c r="B449" s="6" t="s">
        <v>46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 t="shared" si="46"/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22</v>
      </c>
      <c r="K449" s="3">
        <f t="shared" si="47"/>
        <v>1</v>
      </c>
      <c r="L449" s="3" t="str">
        <f t="shared" si="45"/>
        <v>OPORTUNO</v>
      </c>
      <c r="M449" s="3">
        <v>21</v>
      </c>
      <c r="N449" s="3">
        <v>97</v>
      </c>
      <c r="O449" s="3">
        <v>20.325203252032519</v>
      </c>
    </row>
    <row r="450" spans="1:16" hidden="1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 t="shared" si="45"/>
        <v>OPORTUNO</v>
      </c>
      <c r="M450" s="3">
        <v>0</v>
      </c>
      <c r="N450" s="3">
        <v>100</v>
      </c>
      <c r="O450" s="3">
        <v>0</v>
      </c>
    </row>
    <row r="451" spans="1:16" hidden="1" x14ac:dyDescent="0.25">
      <c r="A451" s="10">
        <v>46164</v>
      </c>
      <c r="B451" s="6" t="s">
        <v>33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 t="shared" si="45"/>
        <v>OPORTUNO</v>
      </c>
      <c r="M451" s="3">
        <v>16</v>
      </c>
      <c r="N451" s="3">
        <v>96.94</v>
      </c>
      <c r="O451" s="3">
        <v>19.613259668508292</v>
      </c>
    </row>
    <row r="452" spans="1:16" hidden="1" x14ac:dyDescent="0.25">
      <c r="A452" s="10">
        <v>46164</v>
      </c>
      <c r="B452" s="6" t="s">
        <v>34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 t="shared" si="45"/>
        <v>OPORTUNO</v>
      </c>
      <c r="M452" s="3">
        <v>22</v>
      </c>
      <c r="N452" s="3">
        <v>92.81</v>
      </c>
      <c r="O452" s="3">
        <v>25.477707006369432</v>
      </c>
    </row>
    <row r="453" spans="1:16" hidden="1" x14ac:dyDescent="0.25">
      <c r="A453" s="10">
        <v>46164</v>
      </c>
      <c r="B453" s="6" t="s">
        <v>35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45"/>
        <v>OPORTUNO</v>
      </c>
      <c r="M453" s="3">
        <v>0</v>
      </c>
      <c r="N453" s="3">
        <v>99.19</v>
      </c>
      <c r="O453" s="3">
        <v>28.404669260700391</v>
      </c>
    </row>
    <row r="454" spans="1:16" hidden="1" x14ac:dyDescent="0.25">
      <c r="A454" s="10">
        <v>46164</v>
      </c>
      <c r="B454" s="6" t="s">
        <v>36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 t="shared" si="45"/>
        <v>CRÍTICO</v>
      </c>
      <c r="M454" s="3">
        <v>10</v>
      </c>
      <c r="N454" s="3">
        <v>100</v>
      </c>
      <c r="O454" s="3">
        <v>13.51351351351351</v>
      </c>
    </row>
    <row r="455" spans="1:16" hidden="1" x14ac:dyDescent="0.25">
      <c r="A455" s="10">
        <v>46164</v>
      </c>
      <c r="B455" s="6" t="s">
        <v>37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 t="shared" si="45"/>
        <v>MUITO BOM</v>
      </c>
      <c r="M455" s="3">
        <v>23</v>
      </c>
      <c r="N455" s="3">
        <v>99</v>
      </c>
      <c r="O455" s="3">
        <v>22.27414330218069</v>
      </c>
    </row>
    <row r="456" spans="1:16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  <c r="P456"/>
    </row>
    <row r="457" spans="1:16" hidden="1" x14ac:dyDescent="0.25">
      <c r="A457" s="10">
        <v>46164</v>
      </c>
      <c r="B457" s="6" t="s">
        <v>38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 t="shared" ref="L457:L477" si="48"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6" hidden="1" x14ac:dyDescent="0.25">
      <c r="A458" s="10">
        <v>46164</v>
      </c>
      <c r="B458" s="6" t="s">
        <v>39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 t="shared" si="48"/>
        <v>OPORTUNO</v>
      </c>
      <c r="M458" s="3">
        <v>0</v>
      </c>
      <c r="N458" s="3">
        <v>0</v>
      </c>
      <c r="O458" s="3">
        <v>0</v>
      </c>
    </row>
    <row r="459" spans="1:16" hidden="1" x14ac:dyDescent="0.25">
      <c r="A459" s="10">
        <v>46164</v>
      </c>
      <c r="B459" s="6" t="s">
        <v>40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 t="shared" si="48"/>
        <v>OPORTUNO</v>
      </c>
      <c r="M459" s="3">
        <v>21</v>
      </c>
      <c r="N459" s="3">
        <v>96.84</v>
      </c>
      <c r="O459" s="3">
        <v>16.338028169014081</v>
      </c>
    </row>
    <row r="460" spans="1:16" hidden="1" x14ac:dyDescent="0.25">
      <c r="A460" s="10">
        <v>46164</v>
      </c>
      <c r="B460" s="6" t="s">
        <v>41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 t="shared" si="48"/>
        <v>OPORTUNO</v>
      </c>
      <c r="M460" s="3">
        <v>20</v>
      </c>
      <c r="N460" s="3">
        <v>100</v>
      </c>
      <c r="O460" s="3">
        <v>18.244803695150122</v>
      </c>
    </row>
    <row r="461" spans="1:16" hidden="1" x14ac:dyDescent="0.25">
      <c r="A461" s="10">
        <v>46164</v>
      </c>
      <c r="B461" s="6" t="s">
        <v>42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 t="shared" si="48"/>
        <v>OPORTUNO</v>
      </c>
      <c r="M461" s="3">
        <v>15</v>
      </c>
      <c r="N461" s="3">
        <v>100</v>
      </c>
      <c r="O461" s="3">
        <v>15.789473684210529</v>
      </c>
    </row>
    <row r="462" spans="1:16" hidden="1" x14ac:dyDescent="0.25">
      <c r="A462" s="10">
        <v>46164</v>
      </c>
      <c r="B462" s="6" t="s">
        <v>43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48"/>
        <v>OPORTUNO</v>
      </c>
      <c r="M462" s="3">
        <v>3</v>
      </c>
      <c r="N462" s="3">
        <v>98.39</v>
      </c>
      <c r="O462" s="3">
        <v>8.7999999999999989</v>
      </c>
    </row>
    <row r="463" spans="1:16" hidden="1" x14ac:dyDescent="0.25">
      <c r="A463" s="10">
        <v>46164</v>
      </c>
      <c r="B463" s="6" t="s">
        <v>44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 t="shared" si="48"/>
        <v>MUITO BOM</v>
      </c>
      <c r="M463" s="3">
        <v>16</v>
      </c>
      <c r="N463" s="3">
        <v>96.38</v>
      </c>
      <c r="O463" s="3">
        <v>23.198198198198199</v>
      </c>
    </row>
    <row r="464" spans="1:16" hidden="1" x14ac:dyDescent="0.25">
      <c r="A464" s="10">
        <v>46164</v>
      </c>
      <c r="B464" s="6" t="s">
        <v>45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 t="shared" si="48"/>
        <v>OPORTUNO</v>
      </c>
      <c r="M464" s="3">
        <v>18</v>
      </c>
      <c r="N464" s="3">
        <v>99.39</v>
      </c>
      <c r="O464" s="3">
        <v>25.203252032520329</v>
      </c>
    </row>
    <row r="465" spans="1:16" hidden="1" x14ac:dyDescent="0.25">
      <c r="A465" s="10">
        <v>46164</v>
      </c>
      <c r="B465" s="6" t="s">
        <v>46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 t="shared" si="48"/>
        <v>OPORTUNO</v>
      </c>
      <c r="M465" s="3">
        <v>17</v>
      </c>
      <c r="N465" s="3">
        <v>97</v>
      </c>
      <c r="O465" s="3">
        <v>20.325203252032519</v>
      </c>
    </row>
    <row r="466" spans="1:16" hidden="1" x14ac:dyDescent="0.25">
      <c r="A466" s="11">
        <v>46167</v>
      </c>
      <c r="B466" t="s">
        <v>31</v>
      </c>
      <c r="C466" t="s">
        <v>32</v>
      </c>
      <c r="D466" s="3">
        <v>0</v>
      </c>
      <c r="E466" s="3">
        <v>0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 t="str">
        <f t="shared" si="48"/>
        <v>OPORTUNO</v>
      </c>
      <c r="M466" s="3">
        <v>0</v>
      </c>
      <c r="N466" s="3">
        <v>100</v>
      </c>
      <c r="O466" s="3">
        <v>0</v>
      </c>
    </row>
    <row r="467" spans="1:16" hidden="1" x14ac:dyDescent="0.25">
      <c r="A467" s="11">
        <v>46167</v>
      </c>
      <c r="B467" t="s">
        <v>33</v>
      </c>
      <c r="C467" t="s">
        <v>32</v>
      </c>
      <c r="D467" s="3">
        <v>27</v>
      </c>
      <c r="E467" s="3">
        <v>23</v>
      </c>
      <c r="F467" s="3">
        <v>13.5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 t="str">
        <f t="shared" si="48"/>
        <v>OPORTUNO</v>
      </c>
      <c r="M467" s="3">
        <v>23</v>
      </c>
      <c r="N467" s="3">
        <v>96.94</v>
      </c>
      <c r="O467" s="3">
        <v>19.613259668508292</v>
      </c>
    </row>
    <row r="468" spans="1:16" hidden="1" x14ac:dyDescent="0.25">
      <c r="A468" s="11">
        <v>46167</v>
      </c>
      <c r="B468" t="s">
        <v>34</v>
      </c>
      <c r="C468" t="s">
        <v>32</v>
      </c>
      <c r="D468" s="3">
        <v>25</v>
      </c>
      <c r="E468" s="3">
        <v>22</v>
      </c>
      <c r="F468" s="3">
        <v>12.25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48"/>
        <v>OPORTUNO</v>
      </c>
      <c r="M468" s="3">
        <v>20</v>
      </c>
      <c r="N468" s="3">
        <v>92.81</v>
      </c>
      <c r="O468" s="3">
        <v>25.477707006369432</v>
      </c>
    </row>
    <row r="469" spans="1:16" hidden="1" x14ac:dyDescent="0.25">
      <c r="A469" s="11">
        <v>46167</v>
      </c>
      <c r="B469" t="s">
        <v>35</v>
      </c>
      <c r="C469" t="s">
        <v>32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 t="str">
        <f t="shared" si="48"/>
        <v>OPORTUNO</v>
      </c>
      <c r="M469" s="3">
        <v>0</v>
      </c>
      <c r="N469" s="3">
        <v>99.19</v>
      </c>
      <c r="O469" s="3">
        <v>28.404669260700391</v>
      </c>
    </row>
    <row r="470" spans="1:16" hidden="1" x14ac:dyDescent="0.25">
      <c r="A470" s="11">
        <v>46167</v>
      </c>
      <c r="B470" t="s">
        <v>36</v>
      </c>
      <c r="C470" t="s">
        <v>32</v>
      </c>
      <c r="D470" s="3">
        <v>20</v>
      </c>
      <c r="E470" s="3">
        <v>19</v>
      </c>
      <c r="F470" s="3">
        <v>17.3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 t="str">
        <f t="shared" si="48"/>
        <v>OPORTUNO</v>
      </c>
      <c r="M470" s="3">
        <v>19</v>
      </c>
      <c r="N470" s="3">
        <v>100</v>
      </c>
      <c r="O470" s="3">
        <v>13.51351351351351</v>
      </c>
    </row>
    <row r="471" spans="1:16" hidden="1" x14ac:dyDescent="0.25">
      <c r="A471" s="11">
        <v>46167</v>
      </c>
      <c r="B471" t="s">
        <v>37</v>
      </c>
      <c r="C471" t="s">
        <v>32</v>
      </c>
      <c r="D471" s="3">
        <v>22</v>
      </c>
      <c r="E471" s="3">
        <v>21</v>
      </c>
      <c r="F471" s="3">
        <v>17.100000000000001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 t="str">
        <f t="shared" si="48"/>
        <v>OPORTUNO</v>
      </c>
      <c r="M471" s="3">
        <v>20</v>
      </c>
      <c r="N471" s="3">
        <v>99</v>
      </c>
      <c r="O471" s="3">
        <v>22.27414330218069</v>
      </c>
    </row>
    <row r="472" spans="1:16" hidden="1" x14ac:dyDescent="0.25">
      <c r="A472" s="11">
        <v>46167</v>
      </c>
      <c r="B472" t="s">
        <v>38</v>
      </c>
      <c r="C472" t="s">
        <v>32</v>
      </c>
      <c r="D472" s="3">
        <v>17</v>
      </c>
      <c r="E472" s="3">
        <v>16</v>
      </c>
      <c r="F472" s="3">
        <v>18.3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 t="str">
        <f t="shared" si="48"/>
        <v>OPORTUNO</v>
      </c>
      <c r="M472" s="3">
        <v>19</v>
      </c>
      <c r="N472" s="3">
        <v>97.04</v>
      </c>
      <c r="O472" s="3">
        <v>29.828850855745721</v>
      </c>
    </row>
    <row r="473" spans="1:16" hidden="1" x14ac:dyDescent="0.25">
      <c r="A473" s="11">
        <v>46167</v>
      </c>
      <c r="B473" t="s">
        <v>39</v>
      </c>
      <c r="C473" t="s">
        <v>32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 t="str">
        <f t="shared" si="48"/>
        <v>OPORTUNO</v>
      </c>
      <c r="M473" s="3">
        <v>0</v>
      </c>
      <c r="N473" s="3">
        <v>0</v>
      </c>
      <c r="O473" s="3">
        <v>0</v>
      </c>
    </row>
    <row r="474" spans="1:16" hidden="1" x14ac:dyDescent="0.25">
      <c r="A474" s="11">
        <v>46167</v>
      </c>
      <c r="B474" t="s">
        <v>40</v>
      </c>
      <c r="C474" t="s">
        <v>32</v>
      </c>
      <c r="D474" s="3">
        <v>27</v>
      </c>
      <c r="E474" s="3">
        <v>27</v>
      </c>
      <c r="F474" s="3">
        <v>13.4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 t="str">
        <f t="shared" si="48"/>
        <v>OPORTUNO</v>
      </c>
      <c r="M474" s="3">
        <v>28</v>
      </c>
      <c r="N474" s="3">
        <v>96.84</v>
      </c>
      <c r="O474" s="3">
        <v>16.338028169014081</v>
      </c>
    </row>
    <row r="475" spans="1:16" hidden="1" x14ac:dyDescent="0.25">
      <c r="A475" s="11">
        <v>46167</v>
      </c>
      <c r="B475" t="s">
        <v>41</v>
      </c>
      <c r="C475" t="s">
        <v>32</v>
      </c>
      <c r="D475" s="3">
        <v>26</v>
      </c>
      <c r="E475" s="3">
        <v>24</v>
      </c>
      <c r="F475" s="3">
        <v>16.440000000000001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 t="shared" si="48"/>
        <v>OPORTUNO</v>
      </c>
      <c r="M475" s="3">
        <v>25</v>
      </c>
      <c r="N475" s="3">
        <v>100</v>
      </c>
      <c r="O475" s="3">
        <v>18.244803695150122</v>
      </c>
    </row>
    <row r="476" spans="1:16" hidden="1" x14ac:dyDescent="0.25">
      <c r="A476" s="11">
        <v>46167</v>
      </c>
      <c r="B476" t="s">
        <v>42</v>
      </c>
      <c r="C476" t="s">
        <v>32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 t="str">
        <f t="shared" si="48"/>
        <v>OPORTUNO</v>
      </c>
      <c r="M476" s="3">
        <v>9</v>
      </c>
      <c r="N476" s="3">
        <v>100</v>
      </c>
      <c r="O476" s="3">
        <v>15.789473684210529</v>
      </c>
    </row>
    <row r="477" spans="1:16" hidden="1" x14ac:dyDescent="0.25">
      <c r="A477" s="11">
        <v>46167</v>
      </c>
      <c r="B477" t="s">
        <v>43</v>
      </c>
      <c r="C477" t="s">
        <v>32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 t="str">
        <f t="shared" si="48"/>
        <v>OPORTUNO</v>
      </c>
      <c r="M477" s="3">
        <v>14</v>
      </c>
      <c r="N477" s="3">
        <v>98.39</v>
      </c>
      <c r="O477" s="3">
        <v>8.7999999999999989</v>
      </c>
    </row>
    <row r="478" spans="1:16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  <c r="P478"/>
    </row>
    <row r="479" spans="1:16" hidden="1" x14ac:dyDescent="0.25">
      <c r="A479" s="11">
        <v>46167</v>
      </c>
      <c r="B479" t="s">
        <v>44</v>
      </c>
      <c r="C479" t="s">
        <v>32</v>
      </c>
      <c r="D479" s="3">
        <v>25</v>
      </c>
      <c r="E479" s="3">
        <v>24</v>
      </c>
      <c r="F479" s="3">
        <v>17.350000000000001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 s="3">
        <v>22</v>
      </c>
      <c r="N479" s="3">
        <v>96.38</v>
      </c>
      <c r="O479" s="3">
        <v>23.198198198198199</v>
      </c>
    </row>
    <row r="480" spans="1:16" hidden="1" x14ac:dyDescent="0.25">
      <c r="A480" s="11">
        <v>46167</v>
      </c>
      <c r="B480" t="s">
        <v>45</v>
      </c>
      <c r="C480" t="s">
        <v>32</v>
      </c>
      <c r="D480" s="3">
        <v>27</v>
      </c>
      <c r="E480" s="3">
        <v>24</v>
      </c>
      <c r="F480" s="3">
        <v>13.43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 s="3">
        <v>19</v>
      </c>
      <c r="N480" s="3">
        <v>99.39</v>
      </c>
      <c r="O480" s="3">
        <v>25.203252032520329</v>
      </c>
    </row>
    <row r="481" spans="1:15" hidden="1" x14ac:dyDescent="0.25">
      <c r="A481" s="11">
        <v>46167</v>
      </c>
      <c r="B481" t="s">
        <v>46</v>
      </c>
      <c r="C481" t="s">
        <v>32</v>
      </c>
      <c r="D481" s="3">
        <v>27</v>
      </c>
      <c r="E481" s="3">
        <v>25</v>
      </c>
      <c r="F481" s="3">
        <v>10.34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 s="3">
        <v>23</v>
      </c>
      <c r="N481" s="3">
        <v>97</v>
      </c>
      <c r="O481" s="3">
        <v>20.325203252032519</v>
      </c>
    </row>
    <row r="482" spans="1:15" hidden="1" x14ac:dyDescent="0.25">
      <c r="A482" s="5">
        <v>46146</v>
      </c>
      <c r="B482" s="6" t="s">
        <v>38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3">
        <v>18</v>
      </c>
      <c r="N482" s="3">
        <v>97.04</v>
      </c>
      <c r="O482" s="3">
        <v>29.828850855745721</v>
      </c>
    </row>
    <row r="483" spans="1:15" hidden="1" x14ac:dyDescent="0.25">
      <c r="A483" s="5">
        <v>46147</v>
      </c>
      <c r="B483" s="6" t="s">
        <v>38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hidden="1" x14ac:dyDescent="0.25">
      <c r="A484" s="5">
        <v>46148</v>
      </c>
      <c r="B484" s="6" t="s">
        <v>38</v>
      </c>
      <c r="C484" s="3" t="s">
        <v>32</v>
      </c>
      <c r="D484" s="3">
        <v>27</v>
      </c>
      <c r="E484" s="3">
        <v>26</v>
      </c>
      <c r="F484" s="3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hidden="1" x14ac:dyDescent="0.25">
      <c r="A485" s="11">
        <v>46168</v>
      </c>
      <c r="B485" t="s">
        <v>38</v>
      </c>
      <c r="C485" t="s">
        <v>32</v>
      </c>
      <c r="D485" s="3">
        <v>18</v>
      </c>
      <c r="E485" s="3">
        <v>16</v>
      </c>
      <c r="F485" s="3">
        <v>10.14</v>
      </c>
      <c r="G485" s="3">
        <v>4</v>
      </c>
      <c r="M485" s="3">
        <v>15</v>
      </c>
      <c r="N485" s="3">
        <v>97.04</v>
      </c>
      <c r="O485" s="3">
        <v>34.718826405867972</v>
      </c>
    </row>
    <row r="486" spans="1:15" hidden="1" x14ac:dyDescent="0.25">
      <c r="A486" s="11">
        <v>46140</v>
      </c>
      <c r="B486" t="s">
        <v>39</v>
      </c>
      <c r="C486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 s="3">
        <v>0</v>
      </c>
      <c r="N486" s="3">
        <v>0</v>
      </c>
      <c r="O486" s="3">
        <v>0</v>
      </c>
    </row>
    <row r="487" spans="1:15" hidden="1" x14ac:dyDescent="0.25">
      <c r="A487" s="11">
        <v>46141</v>
      </c>
      <c r="B487" t="s">
        <v>39</v>
      </c>
      <c r="C487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 s="3">
        <v>0</v>
      </c>
      <c r="N487" s="3">
        <v>0</v>
      </c>
      <c r="O487" s="3">
        <v>0</v>
      </c>
    </row>
    <row r="488" spans="1:15" hidden="1" x14ac:dyDescent="0.25">
      <c r="A488" s="11">
        <v>46142</v>
      </c>
      <c r="B488" t="s">
        <v>39</v>
      </c>
      <c r="C488" t="s">
        <v>32</v>
      </c>
      <c r="D488" s="3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 s="3">
        <v>0</v>
      </c>
      <c r="N488" s="3">
        <v>0</v>
      </c>
      <c r="O488" s="3">
        <v>0</v>
      </c>
    </row>
    <row r="489" spans="1:15" hidden="1" x14ac:dyDescent="0.25">
      <c r="A489" s="5">
        <v>46146</v>
      </c>
      <c r="B489" s="6" t="s">
        <v>39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3">
        <v>0</v>
      </c>
      <c r="N489" s="3">
        <v>0</v>
      </c>
      <c r="O489" s="3">
        <v>0</v>
      </c>
    </row>
    <row r="490" spans="1:15" hidden="1" x14ac:dyDescent="0.25">
      <c r="A490" s="5">
        <v>46147</v>
      </c>
      <c r="B490" s="6" t="s">
        <v>39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hidden="1" x14ac:dyDescent="0.25">
      <c r="A491" s="5">
        <v>46148</v>
      </c>
      <c r="B491" s="6" t="s">
        <v>39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hidden="1" x14ac:dyDescent="0.25">
      <c r="A492" s="11">
        <v>46168</v>
      </c>
      <c r="B492" t="s">
        <v>39</v>
      </c>
      <c r="C492" t="s">
        <v>32</v>
      </c>
      <c r="D492" s="3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M492" s="3">
        <v>0</v>
      </c>
      <c r="N492" s="3">
        <v>0</v>
      </c>
      <c r="O492" s="3">
        <v>0</v>
      </c>
    </row>
    <row r="493" spans="1:15" hidden="1" x14ac:dyDescent="0.25">
      <c r="A493" s="11">
        <v>46140</v>
      </c>
      <c r="B493" t="s">
        <v>40</v>
      </c>
      <c r="C493" t="s">
        <v>32</v>
      </c>
      <c r="D493" s="3">
        <v>0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 s="3">
        <v>26</v>
      </c>
      <c r="N493" s="3">
        <v>96.81</v>
      </c>
      <c r="O493" s="3">
        <v>48.018648018648022</v>
      </c>
    </row>
    <row r="494" spans="1:15" hidden="1" x14ac:dyDescent="0.25">
      <c r="A494" s="11">
        <v>46141</v>
      </c>
      <c r="B494" t="s">
        <v>40</v>
      </c>
      <c r="C494" t="s">
        <v>32</v>
      </c>
      <c r="D494" s="3">
        <v>0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 s="3">
        <v>34</v>
      </c>
      <c r="N494" s="3">
        <v>96.81</v>
      </c>
      <c r="O494" s="3">
        <v>48.018648018648022</v>
      </c>
    </row>
    <row r="495" spans="1:15" hidden="1" x14ac:dyDescent="0.25">
      <c r="A495" s="11">
        <v>46142</v>
      </c>
      <c r="B495" t="s">
        <v>40</v>
      </c>
      <c r="C495" t="s">
        <v>32</v>
      </c>
      <c r="D495" s="3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 s="3">
        <v>16</v>
      </c>
      <c r="N495" s="3">
        <v>96.81</v>
      </c>
      <c r="O495" s="3">
        <v>48.018648018648022</v>
      </c>
    </row>
    <row r="496" spans="1:15" hidden="1" x14ac:dyDescent="0.25">
      <c r="A496" s="5">
        <v>46146</v>
      </c>
      <c r="B496" s="6" t="s">
        <v>40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3">
        <v>20</v>
      </c>
      <c r="N496" s="3">
        <v>96.84</v>
      </c>
      <c r="O496" s="3">
        <v>16.338028169014081</v>
      </c>
    </row>
    <row r="497" spans="1:16" hidden="1" x14ac:dyDescent="0.25">
      <c r="A497" s="5">
        <v>46147</v>
      </c>
      <c r="B497" s="6" t="s">
        <v>40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6" hidden="1" x14ac:dyDescent="0.25">
      <c r="A498" s="5">
        <v>46148</v>
      </c>
      <c r="B498" s="6" t="s">
        <v>40</v>
      </c>
      <c r="C498" s="9" t="s">
        <v>32</v>
      </c>
      <c r="D498" s="3">
        <v>27</v>
      </c>
      <c r="E498" s="3">
        <v>25</v>
      </c>
      <c r="F498" s="3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6" hidden="1" x14ac:dyDescent="0.25">
      <c r="A499" s="11">
        <v>46168</v>
      </c>
      <c r="B499" t="s">
        <v>40</v>
      </c>
      <c r="C499" t="s">
        <v>32</v>
      </c>
      <c r="D499" s="3">
        <v>30</v>
      </c>
      <c r="E499" s="3">
        <v>29</v>
      </c>
      <c r="F499" s="3">
        <v>15.33</v>
      </c>
      <c r="G499" s="3">
        <v>2</v>
      </c>
      <c r="M499" s="3">
        <v>25</v>
      </c>
      <c r="N499" s="3">
        <v>96.84</v>
      </c>
      <c r="O499" s="3">
        <v>17.74647887323944</v>
      </c>
    </row>
    <row r="500" spans="1:16" hidden="1" x14ac:dyDescent="0.25">
      <c r="A500" s="11">
        <v>46140</v>
      </c>
      <c r="B500" t="s">
        <v>41</v>
      </c>
      <c r="C500" t="s">
        <v>32</v>
      </c>
      <c r="D500" s="3">
        <v>29</v>
      </c>
      <c r="E500" s="3">
        <v>28</v>
      </c>
      <c r="F500" s="3">
        <v>17.309999999999999</v>
      </c>
      <c r="G500" s="3">
        <v>0</v>
      </c>
      <c r="H500" s="3">
        <v>0</v>
      </c>
      <c r="I500" s="3">
        <f t="shared" ref="I500:I507" si="49">E500+G500+H500</f>
        <v>28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 t="shared" ref="K500:K507" si="50">I500-J500</f>
        <v>-6</v>
      </c>
      <c r="L500" s="3" t="str">
        <f>IF(K500&lt;-5,"CRÍTICO",IF(K500&lt;0,"ATENÇÃO",IF(K500&lt;=5,"OPORTUNO","MUITO BOM")))</f>
        <v>CRÍTICO</v>
      </c>
      <c r="M500" s="3">
        <v>27</v>
      </c>
      <c r="N500" s="3">
        <v>99.15</v>
      </c>
      <c r="O500" s="3">
        <v>27.586206896551719</v>
      </c>
    </row>
    <row r="501" spans="1:16" hidden="1" x14ac:dyDescent="0.25">
      <c r="A501" s="11">
        <v>46141</v>
      </c>
      <c r="B501" t="s">
        <v>41</v>
      </c>
      <c r="C501" t="s">
        <v>32</v>
      </c>
      <c r="D501" s="3">
        <v>32</v>
      </c>
      <c r="E501" s="3">
        <v>26</v>
      </c>
      <c r="F501" s="3">
        <v>12.16</v>
      </c>
      <c r="G501" s="3">
        <v>0</v>
      </c>
      <c r="H501" s="3">
        <v>0</v>
      </c>
      <c r="I501" s="3">
        <f t="shared" si="49"/>
        <v>26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35</v>
      </c>
      <c r="K501" s="3">
        <f t="shared" si="50"/>
        <v>-9</v>
      </c>
      <c r="L501" s="3" t="str">
        <f>IF(K501&lt;-5,"CRÍTICO",IF(K501&lt;0,"ATENÇÃO",IF(K501&lt;=5,"OPORTUNO","MUITO BOM")))</f>
        <v>CRÍTICO</v>
      </c>
      <c r="M501" s="3">
        <v>27</v>
      </c>
      <c r="N501" s="3">
        <v>99.15</v>
      </c>
      <c r="O501" s="3">
        <v>27.586206896551719</v>
      </c>
    </row>
    <row r="502" spans="1:16" hidden="1" x14ac:dyDescent="0.25">
      <c r="A502" s="11">
        <v>46142</v>
      </c>
      <c r="B502" t="s">
        <v>41</v>
      </c>
      <c r="C502" t="s">
        <v>32</v>
      </c>
      <c r="D502" s="3">
        <v>31</v>
      </c>
      <c r="E502" s="3">
        <v>29</v>
      </c>
      <c r="F502" s="3">
        <v>13.5</v>
      </c>
      <c r="G502" s="3">
        <v>0</v>
      </c>
      <c r="H502" s="3">
        <v>0</v>
      </c>
      <c r="I502" s="3">
        <f t="shared" si="49"/>
        <v>29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32</v>
      </c>
      <c r="K502" s="3">
        <f t="shared" si="50"/>
        <v>-3</v>
      </c>
      <c r="L502" s="3" t="str">
        <f>IF(K502&lt;-5,"CRÍTICO",IF(K502&lt;0,"ATENÇÃO",IF(K502&lt;=5,"OPORTUNO","MUITO BOM")))</f>
        <v>ATENÇÃO</v>
      </c>
      <c r="M502" s="3">
        <v>30</v>
      </c>
      <c r="N502" s="3">
        <v>99.15</v>
      </c>
      <c r="O502" s="3">
        <v>27.586206896551719</v>
      </c>
    </row>
    <row r="503" spans="1:16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49"/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 t="shared" si="50"/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  <c r="P503"/>
    </row>
    <row r="504" spans="1:16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49"/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 t="shared" si="50"/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  <c r="P504"/>
    </row>
    <row r="505" spans="1:16" hidden="1" x14ac:dyDescent="0.25">
      <c r="A505" s="5">
        <v>46146</v>
      </c>
      <c r="B505" s="6" t="s">
        <v>41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 t="shared" si="49"/>
        <v>29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35</v>
      </c>
      <c r="K505" s="3">
        <f t="shared" si="50"/>
        <v>-6</v>
      </c>
      <c r="L505" s="3" t="str">
        <f>IF(K505&lt;-5,"CRÍTICO",IF(K505&lt;0,"ATENÇÃO",IF(K505&lt;=5,"BOM","EXCELENTE")))</f>
        <v>CRÍTICO</v>
      </c>
      <c r="M505" s="3">
        <v>27</v>
      </c>
      <c r="N505" s="3">
        <v>100</v>
      </c>
      <c r="O505" s="3">
        <v>18.244803695150122</v>
      </c>
    </row>
    <row r="506" spans="1:16" hidden="1" x14ac:dyDescent="0.25">
      <c r="A506" s="5">
        <v>46147</v>
      </c>
      <c r="B506" s="6" t="s">
        <v>41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 t="shared" si="49"/>
        <v>25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35</v>
      </c>
      <c r="K506" s="3">
        <f t="shared" si="50"/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6" hidden="1" x14ac:dyDescent="0.25">
      <c r="A507" s="5">
        <v>46148</v>
      </c>
      <c r="B507" s="6" t="s">
        <v>41</v>
      </c>
      <c r="C507" s="9" t="s">
        <v>32</v>
      </c>
      <c r="D507" s="3">
        <v>38</v>
      </c>
      <c r="E507" s="3">
        <v>38</v>
      </c>
      <c r="F507" s="3">
        <v>16.420000000000002</v>
      </c>
      <c r="G507" s="3">
        <v>0</v>
      </c>
      <c r="H507" s="3">
        <v>0</v>
      </c>
      <c r="I507" s="3">
        <f t="shared" si="49"/>
        <v>38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35</v>
      </c>
      <c r="K507" s="3">
        <f t="shared" si="50"/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6" hidden="1" x14ac:dyDescent="0.25">
      <c r="A508" s="11">
        <v>46168</v>
      </c>
      <c r="B508" t="s">
        <v>41</v>
      </c>
      <c r="C508" t="s">
        <v>32</v>
      </c>
      <c r="D508" s="3">
        <v>29</v>
      </c>
      <c r="E508" s="3">
        <v>26</v>
      </c>
      <c r="F508" s="3">
        <v>15.05</v>
      </c>
      <c r="G508" s="3">
        <v>0</v>
      </c>
      <c r="M508" s="3">
        <v>25</v>
      </c>
      <c r="N508" s="3">
        <v>100</v>
      </c>
      <c r="O508" s="3">
        <v>19.399538106235571</v>
      </c>
    </row>
    <row r="509" spans="1:16" hidden="1" x14ac:dyDescent="0.25">
      <c r="A509" s="11">
        <v>46140</v>
      </c>
      <c r="B509" t="s">
        <v>42</v>
      </c>
      <c r="C509" t="s">
        <v>32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 s="3">
        <v>0</v>
      </c>
      <c r="N509" s="3">
        <v>88.68</v>
      </c>
      <c r="O509" s="3">
        <v>22.03389830508474</v>
      </c>
    </row>
    <row r="510" spans="1:16" hidden="1" x14ac:dyDescent="0.25">
      <c r="A510" s="11">
        <v>46141</v>
      </c>
      <c r="B510" t="s">
        <v>42</v>
      </c>
      <c r="C510" t="s">
        <v>32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 s="3">
        <v>0</v>
      </c>
      <c r="N510" s="3">
        <v>88.68</v>
      </c>
      <c r="O510" s="3">
        <v>22.03389830508474</v>
      </c>
    </row>
    <row r="511" spans="1:16" hidden="1" x14ac:dyDescent="0.25">
      <c r="A511" s="11">
        <v>46142</v>
      </c>
      <c r="B511" t="s">
        <v>42</v>
      </c>
      <c r="C51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 s="3">
        <v>0</v>
      </c>
      <c r="N511" s="3">
        <v>88.68</v>
      </c>
      <c r="O511" s="3">
        <v>22.03389830508474</v>
      </c>
    </row>
    <row r="512" spans="1:16" hidden="1" x14ac:dyDescent="0.25">
      <c r="A512" s="5">
        <v>46146</v>
      </c>
      <c r="B512" s="6" t="s">
        <v>42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3">
        <v>0</v>
      </c>
      <c r="N512" s="3">
        <v>100</v>
      </c>
      <c r="O512" s="3">
        <v>15.789473684210529</v>
      </c>
    </row>
    <row r="513" spans="1:15" hidden="1" x14ac:dyDescent="0.25">
      <c r="A513" s="5">
        <v>46147</v>
      </c>
      <c r="B513" s="6" t="s">
        <v>42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hidden="1" x14ac:dyDescent="0.25">
      <c r="A514" s="5">
        <v>46148</v>
      </c>
      <c r="B514" s="6" t="s">
        <v>42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hidden="1" x14ac:dyDescent="0.25">
      <c r="A515" s="11">
        <v>46168</v>
      </c>
      <c r="B515" t="s">
        <v>42</v>
      </c>
      <c r="C515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M515" s="3">
        <v>16</v>
      </c>
      <c r="N515" s="3">
        <v>100</v>
      </c>
      <c r="O515" s="3">
        <v>21.276595744680851</v>
      </c>
    </row>
    <row r="516" spans="1:15" hidden="1" x14ac:dyDescent="0.25">
      <c r="A516" s="11">
        <v>46140</v>
      </c>
      <c r="B516" t="s">
        <v>43</v>
      </c>
      <c r="C516" t="s">
        <v>32</v>
      </c>
      <c r="D516" s="3">
        <v>35</v>
      </c>
      <c r="E516" s="3">
        <v>34</v>
      </c>
      <c r="F516" s="3">
        <v>15.13</v>
      </c>
      <c r="G516" s="3">
        <v>0</v>
      </c>
      <c r="H516" s="3">
        <v>0</v>
      </c>
      <c r="I516" s="3">
        <f t="shared" ref="I516:I521" si="51">E516+G516+H516</f>
        <v>34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 t="shared" ref="K516:K521" si="52">I516-J516</f>
        <v>0</v>
      </c>
      <c r="L516" s="3" t="str">
        <f>IF(K516&lt;-5,"CRÍTICO",IF(K516&lt;0,"ATENÇÃO",IF(K516&lt;=5,"OPORTUNO","MUITO BOM")))</f>
        <v>OPORTUNO</v>
      </c>
      <c r="M516" s="3">
        <v>45</v>
      </c>
      <c r="N516" s="3">
        <v>100</v>
      </c>
      <c r="O516" s="3">
        <v>23.9870340356564</v>
      </c>
    </row>
    <row r="517" spans="1:15" hidden="1" x14ac:dyDescent="0.25">
      <c r="A517" s="11">
        <v>46141</v>
      </c>
      <c r="B517" t="s">
        <v>43</v>
      </c>
      <c r="C517" t="s">
        <v>32</v>
      </c>
      <c r="D517" s="3">
        <v>26</v>
      </c>
      <c r="E517" s="3">
        <v>23</v>
      </c>
      <c r="F517" s="3">
        <v>11.5</v>
      </c>
      <c r="G517" s="3">
        <v>0</v>
      </c>
      <c r="H517" s="3">
        <v>0</v>
      </c>
      <c r="I517" s="3">
        <f t="shared" si="51"/>
        <v>23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35</v>
      </c>
      <c r="K517" s="3">
        <f t="shared" si="52"/>
        <v>-12</v>
      </c>
      <c r="L517" s="3" t="str">
        <f>IF(K517&lt;-5,"CRÍTICO",IF(K517&lt;0,"ATENÇÃO",IF(K517&lt;=5,"OPORTUNO","MUITO BOM")))</f>
        <v>CRÍTICO</v>
      </c>
      <c r="M517" s="3">
        <v>33</v>
      </c>
      <c r="N517" s="3">
        <v>100</v>
      </c>
      <c r="O517" s="3">
        <v>23.9870340356564</v>
      </c>
    </row>
    <row r="518" spans="1:15" hidden="1" x14ac:dyDescent="0.25">
      <c r="A518" s="11">
        <v>46142</v>
      </c>
      <c r="B518" t="s">
        <v>43</v>
      </c>
      <c r="C518" t="s">
        <v>32</v>
      </c>
      <c r="D518" s="3">
        <v>15</v>
      </c>
      <c r="E518" s="3">
        <v>13</v>
      </c>
      <c r="F518" s="3">
        <v>11.57</v>
      </c>
      <c r="G518" s="3">
        <v>0</v>
      </c>
      <c r="H518" s="3">
        <v>0</v>
      </c>
      <c r="I518" s="3">
        <f t="shared" si="51"/>
        <v>13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32</v>
      </c>
      <c r="K518" s="3">
        <f t="shared" si="52"/>
        <v>-19</v>
      </c>
      <c r="L518" s="3" t="str">
        <f>IF(K518&lt;-5,"CRÍTICO",IF(K518&lt;0,"ATENÇÃO",IF(K518&lt;=5,"OPORTUNO","MUITO BOM")))</f>
        <v>CRÍTICO</v>
      </c>
      <c r="M518" s="3">
        <v>33</v>
      </c>
      <c r="N518" s="3">
        <v>100</v>
      </c>
      <c r="O518" s="3">
        <v>23.9870340356564</v>
      </c>
    </row>
    <row r="519" spans="1:15" hidden="1" x14ac:dyDescent="0.25">
      <c r="A519" s="5">
        <v>46146</v>
      </c>
      <c r="B519" s="6" t="s">
        <v>43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 t="shared" si="51"/>
        <v>57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35</v>
      </c>
      <c r="K519" s="3">
        <f t="shared" si="52"/>
        <v>22</v>
      </c>
      <c r="L519" s="3" t="str">
        <f>IF(K519&lt;-5,"CRÍTICO",IF(K519&lt;0,"ATENÇÃO",IF(K519&lt;=5,"BOM","EXCELENTE")))</f>
        <v>EXCELENTE</v>
      </c>
      <c r="M519" s="3">
        <v>36</v>
      </c>
      <c r="N519" s="3">
        <v>98.39</v>
      </c>
      <c r="O519" s="3">
        <v>8.7999999999999989</v>
      </c>
    </row>
    <row r="520" spans="1:15" hidden="1" x14ac:dyDescent="0.25">
      <c r="A520" s="5">
        <v>46147</v>
      </c>
      <c r="B520" s="6" t="s">
        <v>43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 t="shared" si="51"/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35</v>
      </c>
      <c r="K520" s="3">
        <f t="shared" si="52"/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hidden="1" x14ac:dyDescent="0.25">
      <c r="A521" s="5">
        <v>46148</v>
      </c>
      <c r="B521" s="6" t="s">
        <v>43</v>
      </c>
      <c r="C521" s="3" t="s">
        <v>32</v>
      </c>
      <c r="D521" s="3">
        <v>24</v>
      </c>
      <c r="E521" s="3">
        <v>24</v>
      </c>
      <c r="F521" s="3">
        <v>18.39</v>
      </c>
      <c r="G521" s="3">
        <v>0</v>
      </c>
      <c r="H521" s="3">
        <v>17</v>
      </c>
      <c r="I521" s="3">
        <f t="shared" si="51"/>
        <v>41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35</v>
      </c>
      <c r="K521" s="3">
        <f t="shared" si="52"/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hidden="1" x14ac:dyDescent="0.25">
      <c r="A522" s="11">
        <v>46168</v>
      </c>
      <c r="B522" t="s">
        <v>43</v>
      </c>
      <c r="C522" t="s">
        <v>32</v>
      </c>
      <c r="D522" s="3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M522" s="3">
        <v>18</v>
      </c>
      <c r="N522" s="3">
        <v>98.39</v>
      </c>
      <c r="O522" s="3">
        <v>9.0666666666666664</v>
      </c>
    </row>
    <row r="523" spans="1:15" hidden="1" x14ac:dyDescent="0.25">
      <c r="A523" s="11">
        <v>46140</v>
      </c>
      <c r="B523" t="s">
        <v>44</v>
      </c>
      <c r="C523" t="s">
        <v>32</v>
      </c>
      <c r="D523" s="3">
        <v>38</v>
      </c>
      <c r="E523" s="3">
        <v>32</v>
      </c>
      <c r="F523" s="3">
        <v>12.32</v>
      </c>
      <c r="G523" s="3">
        <v>0</v>
      </c>
      <c r="H523" s="3">
        <v>0</v>
      </c>
      <c r="I523" s="3">
        <f t="shared" ref="I523:I528" si="53">E523+G523+H523</f>
        <v>32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 t="shared" ref="K523:K528" si="54">I523-J523</f>
        <v>-2</v>
      </c>
      <c r="L523" s="3" t="str">
        <f>IF(K523&lt;-5,"CRÍTICO",IF(K523&lt;0,"ATENÇÃO",IF(K523&lt;=5,"OPORTUNO","MUITO BOM")))</f>
        <v>ATENÇÃO</v>
      </c>
      <c r="M523" s="3">
        <v>31</v>
      </c>
      <c r="N523" s="3">
        <v>95.49</v>
      </c>
      <c r="O523" s="3">
        <v>28.370221327967808</v>
      </c>
    </row>
    <row r="524" spans="1:15" hidden="1" x14ac:dyDescent="0.25">
      <c r="A524" s="11">
        <v>46141</v>
      </c>
      <c r="B524" t="s">
        <v>44</v>
      </c>
      <c r="C524" t="s">
        <v>32</v>
      </c>
      <c r="D524" s="3">
        <v>32</v>
      </c>
      <c r="E524" s="3">
        <v>29</v>
      </c>
      <c r="F524" s="3">
        <v>12.35</v>
      </c>
      <c r="G524" s="3">
        <v>0</v>
      </c>
      <c r="H524" s="3">
        <v>0</v>
      </c>
      <c r="I524" s="3">
        <f t="shared" si="53"/>
        <v>29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35</v>
      </c>
      <c r="K524" s="3">
        <f t="shared" si="54"/>
        <v>-6</v>
      </c>
      <c r="L524" s="3" t="str">
        <f>IF(K524&lt;-5,"CRÍTICO",IF(K524&lt;0,"ATENÇÃO",IF(K524&lt;=5,"OPORTUNO","MUITO BOM")))</f>
        <v>CRÍTICO</v>
      </c>
      <c r="M524" s="3">
        <v>27</v>
      </c>
      <c r="N524" s="3">
        <v>95.49</v>
      </c>
      <c r="O524" s="3">
        <v>28.370221327967808</v>
      </c>
    </row>
    <row r="525" spans="1:15" hidden="1" x14ac:dyDescent="0.25">
      <c r="A525" s="11">
        <v>46142</v>
      </c>
      <c r="B525" t="s">
        <v>44</v>
      </c>
      <c r="C525" t="s">
        <v>32</v>
      </c>
      <c r="D525" s="3">
        <v>35</v>
      </c>
      <c r="E525" s="3">
        <v>34</v>
      </c>
      <c r="F525" s="3">
        <v>14.14</v>
      </c>
      <c r="G525" s="3">
        <v>0</v>
      </c>
      <c r="H525" s="3">
        <v>0</v>
      </c>
      <c r="I525" s="3">
        <f t="shared" si="53"/>
        <v>34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32</v>
      </c>
      <c r="K525" s="3">
        <f t="shared" si="54"/>
        <v>2</v>
      </c>
      <c r="L525" s="3" t="str">
        <f>IF(K525&lt;-5,"CRÍTICO",IF(K525&lt;0,"ATENÇÃO",IF(K525&lt;=5,"OPORTUNO","MUITO BOM")))</f>
        <v>OPORTUNO</v>
      </c>
      <c r="M525" s="3">
        <v>27</v>
      </c>
      <c r="N525" s="3">
        <v>95.49</v>
      </c>
      <c r="O525" s="3">
        <v>28.370221327967808</v>
      </c>
    </row>
    <row r="526" spans="1:15" hidden="1" x14ac:dyDescent="0.25">
      <c r="A526" s="5">
        <v>46146</v>
      </c>
      <c r="B526" s="6" t="s">
        <v>44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 t="shared" si="53"/>
        <v>38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35</v>
      </c>
      <c r="K526" s="3">
        <f t="shared" si="54"/>
        <v>3</v>
      </c>
      <c r="L526" s="3" t="str">
        <f>IF(K526&lt;-5,"CRÍTICO",IF(K526&lt;0,"ATENÇÃO",IF(K526&lt;=5,"BOM","EXCELENTE")))</f>
        <v>BOM</v>
      </c>
      <c r="M526" s="3">
        <v>33</v>
      </c>
      <c r="N526" s="3">
        <v>96.38</v>
      </c>
      <c r="O526" s="3">
        <v>23.198198198198199</v>
      </c>
    </row>
    <row r="527" spans="1:15" hidden="1" x14ac:dyDescent="0.25">
      <c r="A527" s="5">
        <v>46147</v>
      </c>
      <c r="B527" s="6" t="s">
        <v>44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 t="shared" si="53"/>
        <v>40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35</v>
      </c>
      <c r="K527" s="3">
        <f t="shared" si="54"/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hidden="1" x14ac:dyDescent="0.25">
      <c r="A528" s="5">
        <v>46148</v>
      </c>
      <c r="B528" s="6" t="s">
        <v>44</v>
      </c>
      <c r="C528" s="3" t="s">
        <v>32</v>
      </c>
      <c r="D528" s="3">
        <v>32</v>
      </c>
      <c r="E528" s="3">
        <v>30</v>
      </c>
      <c r="F528" s="3">
        <v>19.04</v>
      </c>
      <c r="G528" s="3">
        <v>1</v>
      </c>
      <c r="H528" s="3">
        <v>0</v>
      </c>
      <c r="I528" s="3">
        <f t="shared" si="53"/>
        <v>31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35</v>
      </c>
      <c r="K528" s="3">
        <f t="shared" si="54"/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hidden="1" x14ac:dyDescent="0.25">
      <c r="A529" s="11">
        <v>46168</v>
      </c>
      <c r="B529" t="s">
        <v>44</v>
      </c>
      <c r="C529" t="s">
        <v>32</v>
      </c>
      <c r="D529" s="3">
        <v>33</v>
      </c>
      <c r="E529" s="3">
        <v>30</v>
      </c>
      <c r="F529" s="3">
        <v>10.1</v>
      </c>
      <c r="G529" s="3">
        <v>2</v>
      </c>
      <c r="M529" s="3">
        <v>26</v>
      </c>
      <c r="N529" s="3">
        <v>96.38</v>
      </c>
      <c r="O529" s="3">
        <v>25.22522522522522</v>
      </c>
    </row>
    <row r="530" spans="1:15" hidden="1" x14ac:dyDescent="0.25">
      <c r="A530" s="11">
        <v>46140</v>
      </c>
      <c r="B530" t="s">
        <v>45</v>
      </c>
      <c r="C530" t="s">
        <v>32</v>
      </c>
      <c r="D530" s="3">
        <v>43</v>
      </c>
      <c r="E530" s="3">
        <v>39</v>
      </c>
      <c r="F530" s="3">
        <v>12.1</v>
      </c>
      <c r="G530" s="3">
        <v>0</v>
      </c>
      <c r="H530" s="3">
        <v>0</v>
      </c>
      <c r="I530" s="3">
        <f t="shared" ref="I530:I535" si="55">E530+G530+H530</f>
        <v>39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 t="shared" ref="K530:K535" si="56">I530-J530</f>
        <v>5</v>
      </c>
      <c r="L530" s="3" t="str">
        <f>IF(K530&lt;-5,"CRÍTICO",IF(K530&lt;0,"ATENÇÃO",IF(K530&lt;=5,"OPORTUNO","MUITO BOM")))</f>
        <v>OPORTUNO</v>
      </c>
      <c r="M530" s="3">
        <v>31</v>
      </c>
      <c r="N530" s="3">
        <v>100</v>
      </c>
      <c r="O530" s="3">
        <v>31.135531135531139</v>
      </c>
    </row>
    <row r="531" spans="1:15" hidden="1" x14ac:dyDescent="0.25">
      <c r="A531" s="11">
        <v>46141</v>
      </c>
      <c r="B531" t="s">
        <v>45</v>
      </c>
      <c r="C531" t="s">
        <v>32</v>
      </c>
      <c r="D531" s="3">
        <v>52</v>
      </c>
      <c r="E531" s="3">
        <v>48</v>
      </c>
      <c r="F531" s="3">
        <v>10.56</v>
      </c>
      <c r="G531" s="3">
        <v>0</v>
      </c>
      <c r="H531" s="3">
        <v>0</v>
      </c>
      <c r="I531" s="3">
        <f t="shared" si="55"/>
        <v>48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35</v>
      </c>
      <c r="K531" s="3">
        <f t="shared" si="56"/>
        <v>13</v>
      </c>
      <c r="L531" s="3" t="str">
        <f>IF(K531&lt;-5,"CRÍTICO",IF(K531&lt;0,"ATENÇÃO",IF(K531&lt;=5,"OPORTUNO","MUITO BOM")))</f>
        <v>MUITO BOM</v>
      </c>
      <c r="M531" s="3">
        <v>40</v>
      </c>
      <c r="N531" s="3">
        <v>100</v>
      </c>
      <c r="O531" s="3">
        <v>31.135531135531139</v>
      </c>
    </row>
    <row r="532" spans="1:15" hidden="1" x14ac:dyDescent="0.25">
      <c r="A532" s="11">
        <v>46142</v>
      </c>
      <c r="B532" t="s">
        <v>45</v>
      </c>
      <c r="C532" t="s">
        <v>32</v>
      </c>
      <c r="D532" s="3">
        <v>36</v>
      </c>
      <c r="E532" s="3">
        <v>33</v>
      </c>
      <c r="F532" s="3">
        <v>18.2</v>
      </c>
      <c r="G532" s="3">
        <v>0</v>
      </c>
      <c r="H532" s="3">
        <v>0</v>
      </c>
      <c r="I532" s="3">
        <f t="shared" si="55"/>
        <v>33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32</v>
      </c>
      <c r="K532" s="3">
        <f t="shared" si="56"/>
        <v>1</v>
      </c>
      <c r="L532" s="3" t="str">
        <f>IF(K532&lt;-5,"CRÍTICO",IF(K532&lt;0,"ATENÇÃO",IF(K532&lt;=5,"OPORTUNO","MUITO BOM")))</f>
        <v>OPORTUNO</v>
      </c>
      <c r="M532" s="3">
        <v>30</v>
      </c>
      <c r="N532" s="3">
        <v>100</v>
      </c>
      <c r="O532" s="3">
        <v>31.135531135531139</v>
      </c>
    </row>
    <row r="533" spans="1:15" hidden="1" x14ac:dyDescent="0.25">
      <c r="A533" s="5">
        <v>46146</v>
      </c>
      <c r="B533" s="6" t="s">
        <v>45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 t="shared" si="55"/>
        <v>47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35</v>
      </c>
      <c r="K533" s="3">
        <f t="shared" si="56"/>
        <v>12</v>
      </c>
      <c r="L533" s="3" t="str">
        <f>IF(K533&lt;-5,"CRÍTICO",IF(K533&lt;0,"ATENÇÃO",IF(K533&lt;=5,"BOM","EXCELENTE")))</f>
        <v>EXCELENTE</v>
      </c>
      <c r="M533" s="3">
        <v>32</v>
      </c>
      <c r="N533" s="3">
        <v>99.39</v>
      </c>
      <c r="O533" s="3">
        <v>25.203252032520329</v>
      </c>
    </row>
    <row r="534" spans="1:15" hidden="1" x14ac:dyDescent="0.25">
      <c r="A534" s="5">
        <v>46147</v>
      </c>
      <c r="B534" s="6" t="s">
        <v>45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 t="shared" si="55"/>
        <v>54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35</v>
      </c>
      <c r="K534" s="3">
        <f t="shared" si="56"/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hidden="1" x14ac:dyDescent="0.25">
      <c r="A535" s="5">
        <v>46148</v>
      </c>
      <c r="B535" s="6" t="s">
        <v>45</v>
      </c>
      <c r="C535" s="3" t="s">
        <v>32</v>
      </c>
      <c r="D535" s="3">
        <v>57</v>
      </c>
      <c r="E535" s="3">
        <v>51</v>
      </c>
      <c r="F535" s="3">
        <v>10.53</v>
      </c>
      <c r="G535" s="3">
        <v>1</v>
      </c>
      <c r="H535" s="3">
        <v>0</v>
      </c>
      <c r="I535" s="3">
        <f t="shared" si="55"/>
        <v>52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35</v>
      </c>
      <c r="K535" s="3">
        <f t="shared" si="56"/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hidden="1" x14ac:dyDescent="0.25">
      <c r="A536" s="11">
        <v>46168</v>
      </c>
      <c r="B536" t="s">
        <v>45</v>
      </c>
      <c r="C536" t="s">
        <v>32</v>
      </c>
      <c r="D536" s="3">
        <v>37</v>
      </c>
      <c r="E536" s="3">
        <v>33</v>
      </c>
      <c r="F536" s="3">
        <v>11.48</v>
      </c>
      <c r="G536" s="3">
        <v>0</v>
      </c>
      <c r="M536" s="3">
        <v>24</v>
      </c>
      <c r="N536" s="3">
        <v>99.39</v>
      </c>
      <c r="O536" s="3">
        <v>26.626016260162601</v>
      </c>
    </row>
    <row r="537" spans="1:15" hidden="1" x14ac:dyDescent="0.25">
      <c r="A537" s="11">
        <v>46140</v>
      </c>
      <c r="B537" t="s">
        <v>46</v>
      </c>
      <c r="C537" t="s">
        <v>32</v>
      </c>
      <c r="D537" s="3">
        <v>30</v>
      </c>
      <c r="E537" s="3">
        <v>28</v>
      </c>
      <c r="F537" s="3">
        <v>17.329999999999998</v>
      </c>
      <c r="G537" s="3">
        <v>0</v>
      </c>
      <c r="H537" s="3">
        <v>0</v>
      </c>
      <c r="I537" s="3">
        <f t="shared" ref="I537:I542" si="57">E537+G537+H537</f>
        <v>28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 t="shared" ref="K537:K542" si="58">I537-J537</f>
        <v>-6</v>
      </c>
      <c r="L537" s="3" t="str">
        <f>IF(K537&lt;-5,"CRÍTICO",IF(K537&lt;0,"ATENÇÃO",IF(K537&lt;=5,"OPORTUNO","MUITO BOM")))</f>
        <v>CRÍTICO</v>
      </c>
      <c r="M537" s="3">
        <v>24</v>
      </c>
      <c r="N537" s="3">
        <v>99.21</v>
      </c>
      <c r="O537" s="3">
        <v>25.188916876574311</v>
      </c>
    </row>
    <row r="538" spans="1:15" hidden="1" x14ac:dyDescent="0.25">
      <c r="A538" s="11">
        <v>46141</v>
      </c>
      <c r="B538" t="s">
        <v>46</v>
      </c>
      <c r="C538" t="s">
        <v>32</v>
      </c>
      <c r="D538" s="3">
        <v>30</v>
      </c>
      <c r="E538" s="3">
        <v>30</v>
      </c>
      <c r="F538" s="3">
        <v>15</v>
      </c>
      <c r="G538" s="3">
        <v>0</v>
      </c>
      <c r="H538" s="3">
        <v>0</v>
      </c>
      <c r="I538" s="3">
        <f t="shared" si="57"/>
        <v>30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35</v>
      </c>
      <c r="K538" s="3">
        <f t="shared" si="58"/>
        <v>-5</v>
      </c>
      <c r="L538" s="3" t="str">
        <f>IF(K538&lt;-5,"CRÍTICO",IF(K538&lt;0,"ATENÇÃO",IF(K538&lt;=5,"OPORTUNO","MUITO BOM")))</f>
        <v>ATENÇÃO</v>
      </c>
      <c r="M538" s="3">
        <v>28</v>
      </c>
      <c r="N538" s="3">
        <v>99.21</v>
      </c>
      <c r="O538" s="3">
        <v>25.188916876574311</v>
      </c>
    </row>
    <row r="539" spans="1:15" hidden="1" x14ac:dyDescent="0.25">
      <c r="A539" s="11">
        <v>46142</v>
      </c>
      <c r="B539" t="s">
        <v>46</v>
      </c>
      <c r="C539" t="s">
        <v>32</v>
      </c>
      <c r="D539" s="3">
        <v>10</v>
      </c>
      <c r="E539" s="3">
        <v>10</v>
      </c>
      <c r="F539" s="3">
        <v>20.23</v>
      </c>
      <c r="G539" s="3">
        <v>0</v>
      </c>
      <c r="H539" s="3">
        <v>0</v>
      </c>
      <c r="I539" s="3">
        <f t="shared" si="57"/>
        <v>10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32</v>
      </c>
      <c r="K539" s="3">
        <f t="shared" si="58"/>
        <v>-22</v>
      </c>
      <c r="L539" s="3" t="str">
        <f>IF(K539&lt;-5,"CRÍTICO",IF(K539&lt;0,"ATENÇÃO",IF(K539&lt;=5,"OPORTUNO","MUITO BOM")))</f>
        <v>CRÍTICO</v>
      </c>
      <c r="M539" s="3">
        <v>10</v>
      </c>
      <c r="N539" s="3">
        <v>99.21</v>
      </c>
      <c r="O539" s="3">
        <v>25.188916876574311</v>
      </c>
    </row>
    <row r="540" spans="1:15" hidden="1" x14ac:dyDescent="0.25">
      <c r="A540" s="5">
        <v>46146</v>
      </c>
      <c r="B540" s="6" t="s">
        <v>46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 t="shared" si="57"/>
        <v>29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35</v>
      </c>
      <c r="K540" s="3">
        <f t="shared" si="58"/>
        <v>-6</v>
      </c>
      <c r="L540" s="3" t="str">
        <f>IF(K540&lt;-5,"CRÍTICO",IF(K540&lt;0,"ATENÇÃO",IF(K540&lt;=5,"BOM","EXCELENTE")))</f>
        <v>CRÍTICO</v>
      </c>
      <c r="M540" s="3">
        <v>26</v>
      </c>
      <c r="N540" s="3">
        <v>97</v>
      </c>
      <c r="O540" s="3">
        <v>20.325203252032519</v>
      </c>
    </row>
    <row r="541" spans="1:15" hidden="1" x14ac:dyDescent="0.25">
      <c r="A541" s="5">
        <v>46147</v>
      </c>
      <c r="B541" s="6" t="s">
        <v>46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 t="shared" si="57"/>
        <v>32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35</v>
      </c>
      <c r="K541" s="3">
        <f t="shared" si="58"/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hidden="1" x14ac:dyDescent="0.25">
      <c r="A542" s="5">
        <v>46148</v>
      </c>
      <c r="B542" s="6" t="s">
        <v>46</v>
      </c>
      <c r="C542" s="3" t="s">
        <v>32</v>
      </c>
      <c r="D542" s="3">
        <v>21</v>
      </c>
      <c r="E542" s="3">
        <v>20</v>
      </c>
      <c r="F542" s="3">
        <v>18.47</v>
      </c>
      <c r="G542" s="3">
        <v>8</v>
      </c>
      <c r="H542" s="3">
        <v>0</v>
      </c>
      <c r="I542" s="3">
        <f t="shared" si="57"/>
        <v>28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35</v>
      </c>
      <c r="K542" s="3">
        <f t="shared" si="58"/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hidden="1" x14ac:dyDescent="0.25">
      <c r="A543" s="11">
        <v>46168</v>
      </c>
      <c r="B543" t="s">
        <v>46</v>
      </c>
      <c r="C543" t="s">
        <v>32</v>
      </c>
      <c r="D543" s="3">
        <v>24</v>
      </c>
      <c r="E543" s="3">
        <v>22</v>
      </c>
      <c r="F543" s="3">
        <v>15.22</v>
      </c>
      <c r="G543" s="3">
        <v>0</v>
      </c>
      <c r="M543" s="3">
        <v>17</v>
      </c>
      <c r="N543" s="3">
        <v>97</v>
      </c>
      <c r="O543" s="3">
        <v>21.95121951219512</v>
      </c>
    </row>
    <row r="544" spans="1:15" x14ac:dyDescent="0.25">
      <c r="A544" s="13">
        <v>46140</v>
      </c>
      <c r="B544" t="s">
        <v>47</v>
      </c>
      <c r="C544" t="s">
        <v>48</v>
      </c>
      <c r="D544" s="3">
        <v>53</v>
      </c>
      <c r="E544" s="3">
        <v>46</v>
      </c>
      <c r="F544" s="3">
        <v>10.58</v>
      </c>
      <c r="G544" s="3">
        <v>0</v>
      </c>
      <c r="H544" s="3">
        <v>0</v>
      </c>
      <c r="I544" s="3">
        <f>E544+G544+H544</f>
        <v>46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27</v>
      </c>
      <c r="K544" s="3">
        <f>I544-J544</f>
        <v>19</v>
      </c>
      <c r="L544" s="3" t="str">
        <f>IF(K544&lt;-5,"CRÍTICO",IF(K544&lt;0,"ATENÇÃO",IF(K544&lt;=5,"OPORTUNO","MUITO BOM")))</f>
        <v>MUITO BOM</v>
      </c>
      <c r="M544" s="3">
        <v>43</v>
      </c>
      <c r="N544" s="3">
        <v>100</v>
      </c>
      <c r="O544" s="3">
        <v>32.764505119453922</v>
      </c>
    </row>
    <row r="545" spans="1:16" x14ac:dyDescent="0.25">
      <c r="A545" s="13">
        <v>46141</v>
      </c>
      <c r="B545" t="s">
        <v>47</v>
      </c>
      <c r="C545" t="s">
        <v>48</v>
      </c>
      <c r="D545" s="3">
        <v>43</v>
      </c>
      <c r="E545" s="3">
        <v>35</v>
      </c>
      <c r="F545" s="3">
        <v>10.15</v>
      </c>
      <c r="G545" s="3">
        <v>0</v>
      </c>
      <c r="H545" s="3">
        <v>0</v>
      </c>
      <c r="I545" s="3">
        <f>E545+G545+H545</f>
        <v>35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28</v>
      </c>
      <c r="K545" s="3">
        <f>I545-J545</f>
        <v>7</v>
      </c>
      <c r="L545" s="3" t="str">
        <f>IF(K545&lt;-5,"CRÍTICO",IF(K545&lt;0,"ATENÇÃO",IF(K545&lt;=5,"OPORTUNO","MUITO BOM")))</f>
        <v>MUITO BOM</v>
      </c>
      <c r="M545" s="3">
        <v>28</v>
      </c>
      <c r="N545" s="3">
        <v>100</v>
      </c>
      <c r="O545" s="3">
        <v>32.764505119453922</v>
      </c>
    </row>
    <row r="546" spans="1:16" x14ac:dyDescent="0.25">
      <c r="A546" s="13">
        <v>46142</v>
      </c>
      <c r="B546" t="s">
        <v>47</v>
      </c>
      <c r="C546" t="s">
        <v>48</v>
      </c>
      <c r="D546" s="3">
        <v>12</v>
      </c>
      <c r="E546" s="3">
        <v>10</v>
      </c>
      <c r="F546" s="3">
        <v>9.1199999999999992</v>
      </c>
      <c r="G546" s="3">
        <v>0</v>
      </c>
      <c r="H546" s="3">
        <v>0</v>
      </c>
      <c r="I546" s="3">
        <f>E546+G546+H546</f>
        <v>10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26</v>
      </c>
      <c r="K546" s="3">
        <f>I546-J546</f>
        <v>-16</v>
      </c>
      <c r="L546" s="3" t="str">
        <f>IF(K546&lt;-5,"CRÍTICO",IF(K546&lt;0,"ATENÇÃO",IF(K546&lt;=5,"OPORTUNO","MUITO BOM")))</f>
        <v>CRÍTICO</v>
      </c>
      <c r="M546" s="3">
        <v>8</v>
      </c>
      <c r="N546" s="3">
        <v>100</v>
      </c>
      <c r="O546" s="3">
        <v>32.764505119453922</v>
      </c>
    </row>
    <row r="547" spans="1:16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  <c r="P547"/>
    </row>
    <row r="548" spans="1:16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  <c r="P548"/>
    </row>
    <row r="549" spans="1:16" x14ac:dyDescent="0.25">
      <c r="A549" s="5">
        <v>46146</v>
      </c>
      <c r="B549" s="6" t="s">
        <v>47</v>
      </c>
      <c r="C549" s="3" t="s">
        <v>48</v>
      </c>
      <c r="D549" s="3">
        <v>40</v>
      </c>
      <c r="E549" s="3">
        <v>38</v>
      </c>
      <c r="F549" s="3">
        <v>13.5</v>
      </c>
      <c r="G549" s="3">
        <v>4</v>
      </c>
      <c r="H549" s="3">
        <v>0</v>
      </c>
      <c r="I549" s="3">
        <f>E549+G549+H549</f>
        <v>42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28</v>
      </c>
      <c r="K549" s="3">
        <f>I549-J549</f>
        <v>14</v>
      </c>
      <c r="L549" s="3" t="str">
        <f>IF(K549&lt;-5,"CRÍTICO",IF(K549&lt;0,"ATENÇÃO",IF(K549&lt;=5,"BOM","EXCELENTE")))</f>
        <v>EXCELENTE</v>
      </c>
      <c r="M549" s="3">
        <v>36</v>
      </c>
      <c r="N549" s="3">
        <v>99.18</v>
      </c>
      <c r="O549" s="3">
        <v>24.501424501424498</v>
      </c>
    </row>
    <row r="550" spans="1:16" x14ac:dyDescent="0.25">
      <c r="A550" s="5">
        <v>46147</v>
      </c>
      <c r="B550" s="6" t="s">
        <v>47</v>
      </c>
      <c r="C550" s="3" t="s">
        <v>48</v>
      </c>
      <c r="D550" s="3">
        <v>42</v>
      </c>
      <c r="E550" s="3">
        <v>37</v>
      </c>
      <c r="F550" s="3">
        <v>12.29</v>
      </c>
      <c r="G550" s="3">
        <v>4</v>
      </c>
      <c r="H550" s="3">
        <v>0</v>
      </c>
      <c r="I550" s="3">
        <f>E550+G550+H550</f>
        <v>41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28</v>
      </c>
      <c r="K550" s="3">
        <f>I550-J550</f>
        <v>13</v>
      </c>
      <c r="L550" s="3" t="str">
        <f>IF(K550&lt;-5,"CRÍTICO",IF(K550&lt;0,"ATENÇÃO",IF(K550&lt;=5,"BOM","EXCELENTE")))</f>
        <v>EXCELENTE</v>
      </c>
      <c r="M550" s="3">
        <v>32</v>
      </c>
      <c r="N550" s="3">
        <v>99.18</v>
      </c>
      <c r="O550" s="3">
        <v>24.501424501424498</v>
      </c>
    </row>
    <row r="551" spans="1:16" x14ac:dyDescent="0.25">
      <c r="A551" s="5">
        <v>46148</v>
      </c>
      <c r="B551" s="6" t="s">
        <v>47</v>
      </c>
      <c r="C551" s="3" t="s">
        <v>48</v>
      </c>
      <c r="D551" s="3">
        <v>35</v>
      </c>
      <c r="E551" s="3">
        <v>29</v>
      </c>
      <c r="F551" s="3">
        <v>12.32</v>
      </c>
      <c r="G551" s="3">
        <v>11</v>
      </c>
      <c r="H551" s="3">
        <v>0</v>
      </c>
      <c r="I551" s="3">
        <f>E551+G551+H551</f>
        <v>40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28</v>
      </c>
      <c r="K551" s="3">
        <f>I551-J551</f>
        <v>12</v>
      </c>
      <c r="L551" s="3" t="str">
        <f>IF(K551&lt;-5,"CRÍTICO",IF(K551&lt;0,"ATENÇÃO",IF(K551&lt;=5,"BOM","EXCELENTE")))</f>
        <v>EXCELENTE</v>
      </c>
      <c r="M551" s="3">
        <v>32</v>
      </c>
      <c r="N551" s="3">
        <v>99.18</v>
      </c>
      <c r="O551" s="3">
        <v>24.501424501424498</v>
      </c>
    </row>
    <row r="552" spans="1:16" hidden="1" x14ac:dyDescent="0.25">
      <c r="A552" s="11">
        <v>46140</v>
      </c>
      <c r="B552" t="s">
        <v>49</v>
      </c>
      <c r="C552" t="s">
        <v>48</v>
      </c>
      <c r="D552" s="3">
        <v>34</v>
      </c>
      <c r="E552" s="3">
        <v>34</v>
      </c>
      <c r="F552" s="3">
        <v>13.45</v>
      </c>
      <c r="G552" s="3">
        <v>0</v>
      </c>
      <c r="H552" s="3">
        <v>0</v>
      </c>
      <c r="I552" s="3">
        <f>E552+G552+H552</f>
        <v>34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27</v>
      </c>
      <c r="K552" s="3">
        <f>I552-J552</f>
        <v>7</v>
      </c>
      <c r="L552" s="3" t="str">
        <f>IF(K552&lt;-5,"CRÍTICO",IF(K552&lt;0,"ATENÇÃO",IF(K552&lt;=5,"OPORTUNO","MUITO BOM")))</f>
        <v>MUITO BOM</v>
      </c>
      <c r="M552" s="3">
        <v>31</v>
      </c>
      <c r="N552" s="3">
        <v>98.82</v>
      </c>
      <c r="O552" s="3">
        <v>30.741410488245929</v>
      </c>
    </row>
    <row r="553" spans="1:16" hidden="1" x14ac:dyDescent="0.25">
      <c r="A553" s="11">
        <v>46141</v>
      </c>
      <c r="B553" t="s">
        <v>49</v>
      </c>
      <c r="C553" t="s">
        <v>48</v>
      </c>
      <c r="D553" s="3">
        <v>38</v>
      </c>
      <c r="E553" s="3">
        <v>31</v>
      </c>
      <c r="F553" s="3">
        <v>11.5</v>
      </c>
      <c r="G553" s="3">
        <v>0</v>
      </c>
      <c r="H553" s="3">
        <v>0</v>
      </c>
      <c r="I553" s="3">
        <f>E553+G553+H553</f>
        <v>31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28</v>
      </c>
      <c r="K553" s="3">
        <f>I553-J553</f>
        <v>3</v>
      </c>
      <c r="L553" s="3" t="str">
        <f>IF(K553&lt;-5,"CRÍTICO",IF(K553&lt;0,"ATENÇÃO",IF(K553&lt;=5,"OPORTUNO","MUITO BOM")))</f>
        <v>OPORTUNO</v>
      </c>
      <c r="M553" s="3">
        <v>39</v>
      </c>
      <c r="N553" s="3">
        <v>98.82</v>
      </c>
      <c r="O553" s="3">
        <v>30.741410488245929</v>
      </c>
    </row>
    <row r="554" spans="1:16" hidden="1" x14ac:dyDescent="0.25">
      <c r="A554" s="11">
        <v>46142</v>
      </c>
      <c r="B554" t="s">
        <v>49</v>
      </c>
      <c r="C554" t="s">
        <v>48</v>
      </c>
      <c r="D554" s="3">
        <v>32</v>
      </c>
      <c r="E554" s="3">
        <v>31</v>
      </c>
      <c r="F554" s="3">
        <v>13.5</v>
      </c>
      <c r="G554" s="3">
        <v>0</v>
      </c>
      <c r="H554" s="3">
        <v>0</v>
      </c>
      <c r="I554" s="3">
        <f>E554+G554+H554</f>
        <v>31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26</v>
      </c>
      <c r="K554" s="3">
        <f>I554-J554</f>
        <v>5</v>
      </c>
      <c r="L554" s="3" t="str">
        <f>IF(K554&lt;-5,"CRÍTICO",IF(K554&lt;0,"ATENÇÃO",IF(K554&lt;=5,"OPORTUNO","MUITO BOM")))</f>
        <v>OPORTUNO</v>
      </c>
      <c r="M554" s="3">
        <v>29</v>
      </c>
      <c r="N554" s="3">
        <v>98.82</v>
      </c>
      <c r="O554" s="3">
        <v>30.741410488245929</v>
      </c>
    </row>
    <row r="555" spans="1:16" hidden="1" x14ac:dyDescent="0.25">
      <c r="A555" s="5">
        <v>46146</v>
      </c>
      <c r="B555" s="6" t="s">
        <v>49</v>
      </c>
      <c r="C555" s="3" t="s">
        <v>48</v>
      </c>
      <c r="D555" s="3">
        <v>41</v>
      </c>
      <c r="E555" s="3">
        <v>38</v>
      </c>
      <c r="F555" s="3">
        <v>11.44</v>
      </c>
      <c r="G555" s="3">
        <v>5</v>
      </c>
      <c r="H555" s="3">
        <v>0</v>
      </c>
      <c r="I555" s="3">
        <f>E555+G555+H555</f>
        <v>43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28</v>
      </c>
      <c r="K555" s="3">
        <f>I555-J555</f>
        <v>15</v>
      </c>
      <c r="L555" s="3" t="str">
        <f>IF(K555&lt;-5,"CRÍTICO",IF(K555&lt;0,"ATENÇÃO",IF(K555&lt;=5,"BOM","EXCELENTE")))</f>
        <v>EXCELENTE</v>
      </c>
      <c r="M555" s="3">
        <v>43</v>
      </c>
      <c r="N555" s="3">
        <v>99.35</v>
      </c>
      <c r="O555" s="3">
        <v>19.852941176470591</v>
      </c>
    </row>
    <row r="556" spans="1:16" hidden="1" x14ac:dyDescent="0.25">
      <c r="A556" s="5">
        <v>46147</v>
      </c>
      <c r="B556" s="6" t="s">
        <v>49</v>
      </c>
      <c r="C556" s="3" t="s">
        <v>48</v>
      </c>
      <c r="D556" s="3">
        <v>45</v>
      </c>
      <c r="E556" s="3">
        <v>37</v>
      </c>
      <c r="F556" s="3">
        <v>13.52</v>
      </c>
      <c r="G556" s="3">
        <v>6</v>
      </c>
      <c r="H556" s="3">
        <v>0</v>
      </c>
      <c r="I556" s="3">
        <f>E556+G556+H556</f>
        <v>43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28</v>
      </c>
      <c r="K556" s="3">
        <f>I556-J556</f>
        <v>15</v>
      </c>
      <c r="L556" s="3" t="str">
        <f>IF(K556&lt;-5,"CRÍTICO",IF(K556&lt;0,"ATENÇÃO",IF(K556&lt;=5,"BOM","EXCELENTE")))</f>
        <v>EXCELENTE</v>
      </c>
      <c r="M556" s="3">
        <v>43</v>
      </c>
      <c r="N556" s="3">
        <v>99.35</v>
      </c>
      <c r="O556" s="3">
        <v>19.852941176470591</v>
      </c>
    </row>
    <row r="557" spans="1:16" hidden="1" x14ac:dyDescent="0.25">
      <c r="A557" s="5">
        <v>46148</v>
      </c>
      <c r="B557" s="6" t="s">
        <v>49</v>
      </c>
      <c r="C557" s="3" t="s">
        <v>48</v>
      </c>
      <c r="D557" s="3">
        <v>31</v>
      </c>
      <c r="E557" s="3">
        <v>28</v>
      </c>
      <c r="F557" s="3">
        <v>18.45</v>
      </c>
      <c r="G557" s="3">
        <v>9</v>
      </c>
      <c r="H557" s="3">
        <v>0</v>
      </c>
      <c r="I557" s="3">
        <f>E557+G557+H557</f>
        <v>37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28</v>
      </c>
      <c r="K557" s="3">
        <f>I557-J557</f>
        <v>9</v>
      </c>
      <c r="L557" s="3" t="str">
        <f>IF(K557&lt;-5,"CRÍTICO",IF(K557&lt;0,"ATENÇÃO",IF(K557&lt;=5,"BOM","EXCELENTE")))</f>
        <v>EXCELENTE</v>
      </c>
      <c r="M557" s="3">
        <v>35</v>
      </c>
      <c r="N557" s="3">
        <v>99.35</v>
      </c>
      <c r="O557" s="3">
        <v>19.852941176470591</v>
      </c>
    </row>
    <row r="558" spans="1:16" hidden="1" x14ac:dyDescent="0.25">
      <c r="A558" s="11">
        <v>46168</v>
      </c>
      <c r="B558" t="s">
        <v>49</v>
      </c>
      <c r="C558" t="s">
        <v>48</v>
      </c>
      <c r="D558" s="3">
        <v>27</v>
      </c>
      <c r="E558" s="3">
        <v>22</v>
      </c>
      <c r="F558" s="3">
        <v>14.06</v>
      </c>
      <c r="G558" s="3">
        <v>4</v>
      </c>
      <c r="M558" s="3">
        <v>25</v>
      </c>
      <c r="N558" s="3">
        <v>99.35</v>
      </c>
      <c r="O558" s="3">
        <v>21.139705882352938</v>
      </c>
    </row>
    <row r="559" spans="1:16" hidden="1" x14ac:dyDescent="0.25">
      <c r="A559" s="11">
        <v>46140</v>
      </c>
      <c r="B559" t="s">
        <v>50</v>
      </c>
      <c r="C559" t="s">
        <v>48</v>
      </c>
      <c r="D559" s="3">
        <v>24</v>
      </c>
      <c r="E559" s="3">
        <v>23</v>
      </c>
      <c r="F559" s="3">
        <v>25.57</v>
      </c>
      <c r="G559" s="3">
        <v>0</v>
      </c>
      <c r="H559" s="3">
        <v>0</v>
      </c>
      <c r="I559" s="3">
        <f>E559+G559+H559</f>
        <v>23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27</v>
      </c>
      <c r="K559" s="3">
        <f>I559-J559</f>
        <v>-4</v>
      </c>
      <c r="L559" s="3" t="str">
        <f>IF(K559&lt;-5,"CRÍTICO",IF(K559&lt;0,"ATENÇÃO",IF(K559&lt;=5,"OPORTUNO","MUITO BOM")))</f>
        <v>ATENÇÃO</v>
      </c>
      <c r="M559" s="3">
        <v>23</v>
      </c>
      <c r="N559" s="3">
        <v>98.2</v>
      </c>
      <c r="O559" s="3">
        <v>27.170868347338931</v>
      </c>
    </row>
    <row r="560" spans="1:16" hidden="1" x14ac:dyDescent="0.25">
      <c r="A560" s="11">
        <v>46141</v>
      </c>
      <c r="B560" t="s">
        <v>50</v>
      </c>
      <c r="C560" t="s">
        <v>48</v>
      </c>
      <c r="D560" s="3">
        <v>24</v>
      </c>
      <c r="E560" s="3">
        <v>23</v>
      </c>
      <c r="F560" s="3">
        <v>25.46</v>
      </c>
      <c r="G560" s="3">
        <v>0</v>
      </c>
      <c r="H560" s="3">
        <v>0</v>
      </c>
      <c r="I560" s="3">
        <f>E560+G560+H560</f>
        <v>23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28</v>
      </c>
      <c r="K560" s="3">
        <f>I560-J560</f>
        <v>-5</v>
      </c>
      <c r="L560" s="3" t="str">
        <f>IF(K560&lt;-5,"CRÍTICO",IF(K560&lt;0,"ATENÇÃO",IF(K560&lt;=5,"OPORTUNO","MUITO BOM")))</f>
        <v>ATENÇÃO</v>
      </c>
      <c r="M560" s="3">
        <v>24</v>
      </c>
      <c r="N560" s="3">
        <v>98.2</v>
      </c>
      <c r="O560" s="3">
        <v>27.170868347338931</v>
      </c>
    </row>
    <row r="561" spans="1:15" hidden="1" x14ac:dyDescent="0.25">
      <c r="A561" s="11">
        <v>46142</v>
      </c>
      <c r="B561" t="s">
        <v>50</v>
      </c>
      <c r="C561" t="s">
        <v>48</v>
      </c>
      <c r="D561" s="3">
        <v>32</v>
      </c>
      <c r="E561" s="3">
        <v>30</v>
      </c>
      <c r="F561" s="3">
        <v>15.09</v>
      </c>
      <c r="G561" s="3">
        <v>0</v>
      </c>
      <c r="H561" s="3">
        <v>0</v>
      </c>
      <c r="I561" s="3">
        <f>E561+G561+H561</f>
        <v>30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26</v>
      </c>
      <c r="K561" s="3">
        <f>I561-J561</f>
        <v>4</v>
      </c>
      <c r="L561" s="3" t="str">
        <f>IF(K561&lt;-5,"CRÍTICO",IF(K561&lt;0,"ATENÇÃO",IF(K561&lt;=5,"OPORTUNO","MUITO BOM")))</f>
        <v>OPORTUNO</v>
      </c>
      <c r="M561" s="3">
        <v>30</v>
      </c>
      <c r="N561" s="3">
        <v>98.2</v>
      </c>
      <c r="O561" s="3">
        <v>27.170868347338931</v>
      </c>
    </row>
    <row r="562" spans="1:15" hidden="1" x14ac:dyDescent="0.25">
      <c r="A562" s="5">
        <v>46146</v>
      </c>
      <c r="B562" s="6" t="s">
        <v>50</v>
      </c>
      <c r="C562" s="9" t="s">
        <v>48</v>
      </c>
      <c r="D562" s="3">
        <v>31</v>
      </c>
      <c r="E562" s="3">
        <v>29</v>
      </c>
      <c r="F562" s="3">
        <v>20.3</v>
      </c>
      <c r="G562" s="3">
        <v>0</v>
      </c>
      <c r="H562" s="3">
        <v>0</v>
      </c>
      <c r="I562" s="3">
        <f>E562+G562+H562</f>
        <v>29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28</v>
      </c>
      <c r="K562" s="3">
        <f>I562-J562</f>
        <v>1</v>
      </c>
      <c r="L562" s="3" t="str">
        <f>IF(K562&lt;-5,"CRÍTICO",IF(K562&lt;0,"ATENÇÃO",IF(K562&lt;=5,"BOM","EXCELENTE")))</f>
        <v>BOM</v>
      </c>
      <c r="M562" s="3">
        <v>28</v>
      </c>
      <c r="N562" s="3">
        <v>99.07</v>
      </c>
      <c r="O562" s="3">
        <v>20.098039215686271</v>
      </c>
    </row>
    <row r="563" spans="1:15" hidden="1" x14ac:dyDescent="0.25">
      <c r="A563" s="5">
        <v>46147</v>
      </c>
      <c r="B563" s="6" t="s">
        <v>50</v>
      </c>
      <c r="C563" s="9" t="s">
        <v>48</v>
      </c>
      <c r="D563" s="3">
        <v>19</v>
      </c>
      <c r="E563" s="3">
        <v>18</v>
      </c>
      <c r="F563" s="3">
        <v>26.46</v>
      </c>
      <c r="G563" s="3">
        <v>9</v>
      </c>
      <c r="H563" s="3">
        <v>0</v>
      </c>
      <c r="I563" s="3">
        <f>E563+G563+H563</f>
        <v>27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28</v>
      </c>
      <c r="K563" s="3">
        <f>I563-J563</f>
        <v>-1</v>
      </c>
      <c r="L563" s="3" t="str">
        <f>IF(K563&lt;-5,"CRÍTICO",IF(K563&lt;0,"ATENÇÃO",IF(K563&lt;=5,"BOM","EXCELENTE")))</f>
        <v>ATENÇÃO</v>
      </c>
      <c r="M563" s="3">
        <v>27</v>
      </c>
      <c r="N563" s="3">
        <v>99.07</v>
      </c>
      <c r="O563" s="3">
        <v>20.098039215686271</v>
      </c>
    </row>
    <row r="564" spans="1:15" hidden="1" x14ac:dyDescent="0.25">
      <c r="A564" s="5">
        <v>46148</v>
      </c>
      <c r="B564" s="6" t="s">
        <v>50</v>
      </c>
      <c r="C564" s="9" t="s">
        <v>48</v>
      </c>
      <c r="D564" s="3">
        <v>34</v>
      </c>
      <c r="E564" s="3">
        <v>32</v>
      </c>
      <c r="F564" s="3">
        <v>14.16</v>
      </c>
      <c r="G564" s="3">
        <v>1</v>
      </c>
      <c r="H564" s="3">
        <v>0</v>
      </c>
      <c r="I564" s="3">
        <f>E564+G564+H564</f>
        <v>33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28</v>
      </c>
      <c r="K564" s="3">
        <f>I564-J564</f>
        <v>5</v>
      </c>
      <c r="L564" s="3" t="str">
        <f>IF(K564&lt;-5,"CRÍTICO",IF(K564&lt;0,"ATENÇÃO",IF(K564&lt;=5,"BOM","EXCELENTE")))</f>
        <v>BOM</v>
      </c>
      <c r="M564" s="3">
        <v>31</v>
      </c>
      <c r="N564" s="3">
        <v>99.07</v>
      </c>
      <c r="O564" s="3">
        <v>20.098039215686271</v>
      </c>
    </row>
    <row r="565" spans="1:15" hidden="1" x14ac:dyDescent="0.25">
      <c r="A565" s="11">
        <v>46168</v>
      </c>
      <c r="B565" t="s">
        <v>50</v>
      </c>
      <c r="C565" t="s">
        <v>48</v>
      </c>
      <c r="D565" s="3">
        <v>28</v>
      </c>
      <c r="E565" s="3">
        <v>26</v>
      </c>
      <c r="F565" s="3">
        <v>20.21</v>
      </c>
      <c r="G565" s="3">
        <v>2</v>
      </c>
      <c r="M565" s="3">
        <v>26</v>
      </c>
      <c r="N565" s="3">
        <v>99.07</v>
      </c>
      <c r="O565" s="3">
        <v>22.113022113022112</v>
      </c>
    </row>
    <row r="566" spans="1:15" hidden="1" x14ac:dyDescent="0.25">
      <c r="A566" s="11">
        <v>46140</v>
      </c>
      <c r="B566" t="s">
        <v>51</v>
      </c>
      <c r="C566" t="s">
        <v>48</v>
      </c>
      <c r="D566" s="3">
        <v>31</v>
      </c>
      <c r="E566" s="3">
        <v>28</v>
      </c>
      <c r="F566" s="3">
        <v>17.04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>IF(K566&lt;-5,"CRÍTICO",IF(K566&lt;0,"ATENÇÃO",IF(K566&lt;=5,"OPORTUNO","MUITO BOM")))</f>
        <v>OPORTUNO</v>
      </c>
      <c r="M566" s="3">
        <v>28</v>
      </c>
      <c r="N566" s="3">
        <v>97.86</v>
      </c>
      <c r="O566" s="3">
        <v>31.018518518518519</v>
      </c>
    </row>
    <row r="567" spans="1:15" hidden="1" x14ac:dyDescent="0.25">
      <c r="A567" s="11">
        <v>46141</v>
      </c>
      <c r="B567" t="s">
        <v>51</v>
      </c>
      <c r="C567" t="s">
        <v>48</v>
      </c>
      <c r="D567" s="3">
        <v>32</v>
      </c>
      <c r="E567" s="3">
        <v>30</v>
      </c>
      <c r="F567" s="3">
        <v>18.45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 t="str">
        <f>IF(K567&lt;-5,"CRÍTICO",IF(K567&lt;0,"ATENÇÃO",IF(K567&lt;=5,"OPORTUNO","MUITO BOM")))</f>
        <v>OPORTUNO</v>
      </c>
      <c r="M567" s="3">
        <v>24</v>
      </c>
      <c r="N567" s="3">
        <v>97.86</v>
      </c>
      <c r="O567" s="3">
        <v>31.018518518518519</v>
      </c>
    </row>
    <row r="568" spans="1:15" hidden="1" x14ac:dyDescent="0.25">
      <c r="A568" s="11">
        <v>46142</v>
      </c>
      <c r="B568" t="s">
        <v>51</v>
      </c>
      <c r="C568" t="s">
        <v>48</v>
      </c>
      <c r="D568" s="3">
        <v>27</v>
      </c>
      <c r="E568" s="3">
        <v>24</v>
      </c>
      <c r="F568" s="3">
        <v>20.149999999999999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3">
        <v>18</v>
      </c>
      <c r="N568" s="3">
        <v>97.86</v>
      </c>
      <c r="O568" s="3">
        <v>31.018518518518519</v>
      </c>
    </row>
    <row r="569" spans="1:15" hidden="1" x14ac:dyDescent="0.25">
      <c r="A569" s="5">
        <v>46146</v>
      </c>
      <c r="B569" s="6" t="s">
        <v>51</v>
      </c>
      <c r="C569" s="3" t="s">
        <v>48</v>
      </c>
      <c r="D569" s="3">
        <v>37</v>
      </c>
      <c r="E569" s="3">
        <v>30</v>
      </c>
      <c r="F569" s="3">
        <v>15.15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 t="str">
        <f>IF(K569&lt;-5,"CRÍTICO",IF(K569&lt;0,"ATENÇÃO",IF(K569&lt;=5,"BOM","EXCELENTE")))</f>
        <v>BOM</v>
      </c>
      <c r="M569" s="3">
        <v>25</v>
      </c>
      <c r="N569" s="3">
        <v>98.81</v>
      </c>
      <c r="O569" s="3">
        <v>22.767857142857139</v>
      </c>
    </row>
    <row r="570" spans="1:15" hidden="1" x14ac:dyDescent="0.25">
      <c r="A570" s="5">
        <v>46147</v>
      </c>
      <c r="B570" s="6" t="s">
        <v>51</v>
      </c>
      <c r="C570" s="3" t="s">
        <v>48</v>
      </c>
      <c r="D570" s="3">
        <v>23</v>
      </c>
      <c r="E570" s="3">
        <v>21</v>
      </c>
      <c r="F570" s="3">
        <v>19.190000000000001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 t="str">
        <f>IF(K570&lt;-5,"CRÍTICO",IF(K570&lt;0,"ATENÇÃO",IF(K570&lt;=5,"BOM","EXCELENTE")))</f>
        <v>BOM</v>
      </c>
      <c r="M570" s="3">
        <v>26</v>
      </c>
      <c r="N570" s="3">
        <v>98.81</v>
      </c>
      <c r="O570" s="3">
        <v>22.767857142857139</v>
      </c>
    </row>
    <row r="571" spans="1:15" hidden="1" x14ac:dyDescent="0.25">
      <c r="A571" s="5">
        <v>46148</v>
      </c>
      <c r="B571" s="6" t="s">
        <v>51</v>
      </c>
      <c r="C571" s="3" t="s">
        <v>48</v>
      </c>
      <c r="D571" s="3">
        <v>40</v>
      </c>
      <c r="E571" s="3">
        <v>35</v>
      </c>
      <c r="F571" s="3">
        <v>15.25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29</v>
      </c>
      <c r="N571" s="3">
        <v>98.81</v>
      </c>
      <c r="O571" s="3">
        <v>22.767857142857139</v>
      </c>
    </row>
    <row r="572" spans="1:15" hidden="1" x14ac:dyDescent="0.25">
      <c r="A572" s="11">
        <v>46168</v>
      </c>
      <c r="B572" t="s">
        <v>51</v>
      </c>
      <c r="C572" t="s">
        <v>48</v>
      </c>
      <c r="D572" s="3">
        <v>0</v>
      </c>
      <c r="E572" s="3">
        <v>0</v>
      </c>
      <c r="F572" s="3">
        <v>0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M572" s="3">
        <v>0</v>
      </c>
      <c r="N572" s="3">
        <v>98.81</v>
      </c>
      <c r="O572" s="3">
        <v>25</v>
      </c>
    </row>
    <row r="573" spans="1:15" hidden="1" x14ac:dyDescent="0.25">
      <c r="A573" s="11">
        <v>46140</v>
      </c>
      <c r="B573" t="s">
        <v>52</v>
      </c>
      <c r="C573" t="s">
        <v>48</v>
      </c>
      <c r="D573" s="3">
        <v>27</v>
      </c>
      <c r="E573" s="3">
        <v>27</v>
      </c>
      <c r="F573" s="3">
        <v>18.350000000000001</v>
      </c>
      <c r="G573" s="3">
        <v>0</v>
      </c>
      <c r="H573" s="3">
        <v>0</v>
      </c>
      <c r="I573" s="3">
        <f>E573+G573+H573</f>
        <v>27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27</v>
      </c>
      <c r="K573" s="3">
        <f>I573-J573</f>
        <v>0</v>
      </c>
      <c r="L573" s="3" t="str">
        <f>IF(K573&lt;-5,"CRÍTICO",IF(K573&lt;0,"ATENÇÃO",IF(K573&lt;=5,"OPORTUNO","MUITO BOM")))</f>
        <v>OPORTUNO</v>
      </c>
      <c r="M573" s="3">
        <v>26</v>
      </c>
      <c r="N573" s="3">
        <v>97.83</v>
      </c>
      <c r="O573" s="3">
        <v>28.35164835164835</v>
      </c>
    </row>
    <row r="574" spans="1:15" hidden="1" x14ac:dyDescent="0.25">
      <c r="A574" s="11">
        <v>46141</v>
      </c>
      <c r="B574" t="s">
        <v>52</v>
      </c>
      <c r="C574" t="s">
        <v>48</v>
      </c>
      <c r="D574" s="3">
        <v>31</v>
      </c>
      <c r="E574" s="3">
        <v>28</v>
      </c>
      <c r="F574" s="3">
        <v>18.260000000000002</v>
      </c>
      <c r="G574" s="3">
        <v>0</v>
      </c>
      <c r="H574" s="3">
        <v>0</v>
      </c>
      <c r="I574" s="3">
        <f>E574+G574+H574</f>
        <v>28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0</v>
      </c>
      <c r="L574" s="3" t="str">
        <f>IF(K574&lt;-5,"CRÍTICO",IF(K574&lt;0,"ATENÇÃO",IF(K574&lt;=5,"OPORTUNO","MUITO BOM")))</f>
        <v>OPORTUNO</v>
      </c>
      <c r="M574" s="3">
        <v>23</v>
      </c>
      <c r="N574" s="3">
        <v>97.83</v>
      </c>
      <c r="O574" s="3">
        <v>28.35164835164835</v>
      </c>
    </row>
    <row r="575" spans="1:15" hidden="1" x14ac:dyDescent="0.25">
      <c r="A575" s="11">
        <v>46142</v>
      </c>
      <c r="B575" t="s">
        <v>52</v>
      </c>
      <c r="C575" t="s">
        <v>48</v>
      </c>
      <c r="D575" s="3">
        <v>38</v>
      </c>
      <c r="E575" s="3">
        <v>38</v>
      </c>
      <c r="F575" s="3">
        <v>15.02</v>
      </c>
      <c r="G575" s="3">
        <v>0</v>
      </c>
      <c r="H575" s="3">
        <v>0</v>
      </c>
      <c r="I575" s="3">
        <f>E575+G575+H575</f>
        <v>38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26</v>
      </c>
      <c r="K575" s="3">
        <f>I575-J575</f>
        <v>12</v>
      </c>
      <c r="L575" s="3" t="str">
        <f>IF(K575&lt;-5,"CRÍTICO",IF(K575&lt;0,"ATENÇÃO",IF(K575&lt;=5,"OPORTUNO","MUITO BOM")))</f>
        <v>MUITO BOM</v>
      </c>
      <c r="M575" s="3">
        <v>35</v>
      </c>
      <c r="N575" s="3">
        <v>97.83</v>
      </c>
      <c r="O575" s="3">
        <v>28.35164835164835</v>
      </c>
    </row>
    <row r="576" spans="1:15" hidden="1" x14ac:dyDescent="0.25">
      <c r="A576" s="5">
        <v>46146</v>
      </c>
      <c r="B576" s="6" t="s">
        <v>52</v>
      </c>
      <c r="C576" s="3" t="s">
        <v>48</v>
      </c>
      <c r="D576" s="3">
        <v>31</v>
      </c>
      <c r="E576" s="3">
        <v>28</v>
      </c>
      <c r="F576" s="3">
        <v>15.09</v>
      </c>
      <c r="G576" s="3">
        <v>7</v>
      </c>
      <c r="H576" s="3">
        <v>0</v>
      </c>
      <c r="I576" s="3">
        <f>E576+G576+H576</f>
        <v>35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28</v>
      </c>
      <c r="K576" s="3">
        <f>I576-J576</f>
        <v>7</v>
      </c>
      <c r="L576" s="3" t="str">
        <f>IF(K576&lt;-5,"CRÍTICO",IF(K576&lt;0,"ATENÇÃO",IF(K576&lt;=5,"BOM","EXCELENTE")))</f>
        <v>EXCELENTE</v>
      </c>
      <c r="M576" s="3">
        <v>29</v>
      </c>
      <c r="N576" s="3">
        <v>99.01</v>
      </c>
      <c r="O576" s="3">
        <v>17.766497461928939</v>
      </c>
    </row>
    <row r="577" spans="1:16" hidden="1" x14ac:dyDescent="0.25">
      <c r="A577" s="5">
        <v>46147</v>
      </c>
      <c r="B577" s="6" t="s">
        <v>52</v>
      </c>
      <c r="C577" s="3" t="s">
        <v>48</v>
      </c>
      <c r="D577" s="3">
        <v>34</v>
      </c>
      <c r="E577" s="3">
        <v>31</v>
      </c>
      <c r="F577" s="3">
        <v>14.15</v>
      </c>
      <c r="G577" s="3">
        <v>3</v>
      </c>
      <c r="H577" s="3">
        <v>0</v>
      </c>
      <c r="I577" s="3">
        <f>E577+G577+H577</f>
        <v>34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28</v>
      </c>
      <c r="K577" s="3">
        <f>I577-J577</f>
        <v>6</v>
      </c>
      <c r="L577" s="3" t="str">
        <f>IF(K577&lt;-5,"CRÍTICO",IF(K577&lt;0,"ATENÇÃO",IF(K577&lt;=5,"BOM","EXCELENTE")))</f>
        <v>EXCELENTE</v>
      </c>
      <c r="M577" s="3">
        <v>31</v>
      </c>
      <c r="N577" s="3">
        <v>99.01</v>
      </c>
      <c r="O577" s="3">
        <v>17.766497461928939</v>
      </c>
    </row>
    <row r="578" spans="1:16" x14ac:dyDescent="0.25">
      <c r="A578" s="5">
        <v>46149</v>
      </c>
      <c r="B578" s="6" t="s">
        <v>47</v>
      </c>
      <c r="C578" s="3" t="s">
        <v>48</v>
      </c>
      <c r="D578" s="3">
        <v>39</v>
      </c>
      <c r="E578" s="3">
        <v>34</v>
      </c>
      <c r="F578" s="3">
        <v>8.33</v>
      </c>
      <c r="G578" s="3">
        <v>0</v>
      </c>
      <c r="H578" s="3">
        <v>0</v>
      </c>
      <c r="I578" s="3">
        <f>E578+G578+H578</f>
        <v>34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26</v>
      </c>
      <c r="K578" s="3">
        <f>I578-J578</f>
        <v>8</v>
      </c>
      <c r="L578" s="3" t="str">
        <f>IF(K578&lt;-5,"CRÍTICO",IF(K578&lt;0,"ATENÇÃO",IF(K578&lt;=5,"BOM","EXCELENTE")))</f>
        <v>EXCELENTE</v>
      </c>
      <c r="M578" s="3">
        <v>19</v>
      </c>
      <c r="N578" s="3">
        <v>99.18</v>
      </c>
      <c r="O578" s="3">
        <v>24.501424501424498</v>
      </c>
    </row>
    <row r="579" spans="1:16" hidden="1" x14ac:dyDescent="0.25">
      <c r="A579" s="5">
        <v>46149</v>
      </c>
      <c r="B579" s="6" t="s">
        <v>49</v>
      </c>
      <c r="C579" s="3" t="s">
        <v>48</v>
      </c>
      <c r="D579" s="3">
        <v>33</v>
      </c>
      <c r="E579" s="3">
        <v>29</v>
      </c>
      <c r="F579" s="3">
        <v>13.37</v>
      </c>
      <c r="G579" s="3">
        <v>5</v>
      </c>
      <c r="H579" s="3">
        <v>0</v>
      </c>
      <c r="I579" s="3">
        <f>E579+G579+H579</f>
        <v>34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26</v>
      </c>
      <c r="K579" s="3">
        <f>I579-J579</f>
        <v>8</v>
      </c>
      <c r="L579" s="3" t="str">
        <f>IF(K579&lt;-5,"CRÍTICO",IF(K579&lt;0,"ATENÇÃO",IF(K579&lt;=5,"BOM","EXCELENTE")))</f>
        <v>EXCELENTE</v>
      </c>
      <c r="M579" s="3">
        <v>31</v>
      </c>
      <c r="N579" s="3">
        <v>99.35</v>
      </c>
      <c r="O579" s="3">
        <v>19.852941176470591</v>
      </c>
    </row>
    <row r="580" spans="1:16" hidden="1" x14ac:dyDescent="0.25">
      <c r="A580" s="5">
        <v>46149</v>
      </c>
      <c r="B580" s="6" t="s">
        <v>50</v>
      </c>
      <c r="C580" s="9" t="s">
        <v>48</v>
      </c>
      <c r="D580" s="3">
        <v>24</v>
      </c>
      <c r="E580" s="3">
        <v>24</v>
      </c>
      <c r="F580" s="3">
        <v>25.23</v>
      </c>
      <c r="G580" s="3">
        <v>5</v>
      </c>
      <c r="H580" s="3">
        <v>0</v>
      </c>
      <c r="I580" s="3">
        <f>E580+G580+H580</f>
        <v>29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26</v>
      </c>
      <c r="K580" s="3">
        <f>I580-J580</f>
        <v>3</v>
      </c>
      <c r="L580" s="3" t="str">
        <f>IF(K580&lt;-5,"CRÍTICO",IF(K580&lt;0,"ATENÇÃO",IF(K580&lt;=5,"BOM","EXCELENTE")))</f>
        <v>BOM</v>
      </c>
      <c r="M580" s="3">
        <v>27</v>
      </c>
      <c r="N580" s="3">
        <v>99.07</v>
      </c>
      <c r="O580" s="3">
        <v>20.098039215686271</v>
      </c>
    </row>
    <row r="581" spans="1:16" hidden="1" x14ac:dyDescent="0.25">
      <c r="A581" s="5">
        <v>46149</v>
      </c>
      <c r="B581" s="6" t="s">
        <v>51</v>
      </c>
      <c r="C581" s="3" t="s">
        <v>48</v>
      </c>
      <c r="D581" s="3">
        <v>17</v>
      </c>
      <c r="E581" s="3">
        <v>16</v>
      </c>
      <c r="F581" s="3">
        <v>30.25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3" t="str">
        <f>IF(K581&lt;-5,"CRÍTICO",IF(K581&lt;0,"ATENÇÃO",IF(K581&lt;=5,"BOM","EXCELENTE")))</f>
        <v>BOM</v>
      </c>
      <c r="M581" s="3">
        <v>19</v>
      </c>
      <c r="N581" s="3">
        <v>98.81</v>
      </c>
      <c r="O581" s="3">
        <v>22.767857142857139</v>
      </c>
    </row>
    <row r="582" spans="1:16" hidden="1" x14ac:dyDescent="0.25">
      <c r="A582" s="5">
        <v>46149</v>
      </c>
      <c r="B582" s="6" t="s">
        <v>52</v>
      </c>
      <c r="C582" s="3" t="s">
        <v>48</v>
      </c>
      <c r="D582" s="3">
        <v>30</v>
      </c>
      <c r="E582" s="3">
        <v>29</v>
      </c>
      <c r="F582" s="3">
        <v>17.100000000000001</v>
      </c>
      <c r="G582" s="3">
        <v>2</v>
      </c>
      <c r="H582" s="3">
        <v>0</v>
      </c>
      <c r="I582" s="3">
        <f>E582+G582+H582</f>
        <v>31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26</v>
      </c>
      <c r="K582" s="3">
        <f>I582-J582</f>
        <v>5</v>
      </c>
      <c r="L582" s="3" t="str">
        <f>IF(K582&lt;-5,"CRÍTICO",IF(K582&lt;0,"ATENÇÃO",IF(K582&lt;=5,"BOM","EXCELENTE")))</f>
        <v>BOM</v>
      </c>
      <c r="M582" s="3">
        <v>28</v>
      </c>
      <c r="N582" s="3">
        <v>99.01</v>
      </c>
      <c r="O582" s="3">
        <v>17.766497461928939</v>
      </c>
    </row>
    <row r="583" spans="1:16" hidden="1" x14ac:dyDescent="0.25">
      <c r="A583" s="5">
        <v>46149</v>
      </c>
      <c r="B583" s="6" t="s">
        <v>53</v>
      </c>
      <c r="C583" s="3" t="s">
        <v>48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 t="str">
        <f>IF(K583&lt;-5,"CRÍTICO",IF(K583&lt;0,"ATENÇÃO",IF(K583&lt;=5,"BOM","EXCELENTE")))</f>
        <v>BOM</v>
      </c>
      <c r="M583" s="3">
        <v>0</v>
      </c>
      <c r="N583" s="3">
        <v>100</v>
      </c>
      <c r="O583" s="3">
        <v>17.241379310344829</v>
      </c>
    </row>
    <row r="584" spans="1:16" hidden="1" x14ac:dyDescent="0.25">
      <c r="A584" s="5">
        <v>46149</v>
      </c>
      <c r="B584" s="6" t="s">
        <v>54</v>
      </c>
      <c r="C584" s="9" t="s">
        <v>48</v>
      </c>
      <c r="D584" s="3">
        <v>25</v>
      </c>
      <c r="E584" s="3">
        <v>24</v>
      </c>
      <c r="F584" s="3">
        <v>24.02</v>
      </c>
      <c r="G584" s="3">
        <v>0</v>
      </c>
      <c r="H584" s="3">
        <v>0</v>
      </c>
      <c r="I584" s="3">
        <f>E584+G584+H584</f>
        <v>24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26</v>
      </c>
      <c r="K584" s="3">
        <f>I584-J584</f>
        <v>-2</v>
      </c>
      <c r="L584" s="3" t="str">
        <f>IF(K584&lt;-5,"CRÍTICO",IF(K584&lt;0,"ATENÇÃO",IF(K584&lt;=5,"BOM","EXCELENTE")))</f>
        <v>ATENÇÃO</v>
      </c>
      <c r="M584" s="3">
        <v>22</v>
      </c>
      <c r="N584" s="3">
        <v>98.98</v>
      </c>
      <c r="O584" s="3">
        <v>19.35483870967742</v>
      </c>
    </row>
    <row r="585" spans="1:16" hidden="1" x14ac:dyDescent="0.25">
      <c r="A585" s="5">
        <v>46149</v>
      </c>
      <c r="B585" s="6" t="s">
        <v>55</v>
      </c>
      <c r="C585" s="3" t="s">
        <v>48</v>
      </c>
      <c r="D585" s="3">
        <v>34</v>
      </c>
      <c r="E585" s="3">
        <v>28</v>
      </c>
      <c r="F585" s="3">
        <v>13.53</v>
      </c>
      <c r="G585" s="3">
        <v>0</v>
      </c>
      <c r="H585" s="3">
        <v>0</v>
      </c>
      <c r="I585" s="3">
        <f>E585+G585+H585</f>
        <v>28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2</v>
      </c>
      <c r="L585" s="3" t="str">
        <f>IF(K585&lt;-5,"CRÍTICO",IF(K585&lt;0,"ATENÇÃO",IF(K585&lt;=5,"BOM","EXCELENTE")))</f>
        <v>BOM</v>
      </c>
      <c r="M585" s="3">
        <v>26</v>
      </c>
      <c r="N585" s="3">
        <v>98.94</v>
      </c>
      <c r="O585" s="3">
        <v>21.270718232044199</v>
      </c>
    </row>
    <row r="586" spans="1:16" hidden="1" x14ac:dyDescent="0.25">
      <c r="A586" s="5">
        <v>46149</v>
      </c>
      <c r="B586" s="6" t="s">
        <v>56</v>
      </c>
      <c r="C586" s="3" t="s">
        <v>48</v>
      </c>
      <c r="D586" s="3">
        <v>40</v>
      </c>
      <c r="E586" s="3">
        <v>37</v>
      </c>
      <c r="F586" s="3">
        <v>13.54</v>
      </c>
      <c r="G586" s="3">
        <v>6</v>
      </c>
      <c r="H586" s="3">
        <v>0</v>
      </c>
      <c r="I586" s="3">
        <f>E586+G586+H586</f>
        <v>43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17</v>
      </c>
      <c r="L586" s="3" t="str">
        <f>IF(K586&lt;-5,"CRÍTICO",IF(K586&lt;0,"ATENÇÃO",IF(K586&lt;=5,"BOM","EXCELENTE")))</f>
        <v>EXCELENTE</v>
      </c>
      <c r="M586" s="3">
        <v>51</v>
      </c>
      <c r="N586" s="3">
        <v>99</v>
      </c>
      <c r="O586" s="3">
        <v>22.010869565217391</v>
      </c>
    </row>
    <row r="587" spans="1:16" hidden="1" x14ac:dyDescent="0.25">
      <c r="A587" s="5">
        <v>46149</v>
      </c>
      <c r="B587" s="6" t="s">
        <v>57</v>
      </c>
      <c r="C587" s="3" t="s">
        <v>48</v>
      </c>
      <c r="D587" s="3">
        <v>26</v>
      </c>
      <c r="E587" s="3">
        <v>24</v>
      </c>
      <c r="F587" s="3">
        <v>18.21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3" t="str">
        <f>IF(K587&lt;-5,"CRÍTICO",IF(K587&lt;0,"ATENÇÃO",IF(K587&lt;=5,"BOM","EXCELENTE")))</f>
        <v>BOM</v>
      </c>
      <c r="M587" s="3">
        <v>26</v>
      </c>
      <c r="N587" s="3">
        <v>100</v>
      </c>
      <c r="O587" s="3">
        <v>25</v>
      </c>
    </row>
    <row r="588" spans="1:16" hidden="1" x14ac:dyDescent="0.25">
      <c r="A588" s="5">
        <v>46149</v>
      </c>
      <c r="B588" s="6" t="s">
        <v>58</v>
      </c>
      <c r="C588" s="3" t="s">
        <v>48</v>
      </c>
      <c r="D588" s="3">
        <v>10</v>
      </c>
      <c r="E588" s="3">
        <v>10</v>
      </c>
      <c r="F588" s="3">
        <v>28.38</v>
      </c>
      <c r="G588" s="3">
        <v>0</v>
      </c>
      <c r="H588" s="3">
        <v>0</v>
      </c>
      <c r="I588" s="3">
        <f>E588+G588+H588</f>
        <v>10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26</v>
      </c>
      <c r="K588" s="3">
        <f>I588-J588</f>
        <v>-16</v>
      </c>
      <c r="L588" s="3" t="str">
        <f>IF(K588&lt;-5,"CRÍTICO",IF(K588&lt;0,"ATENÇÃO",IF(K588&lt;=5,"BOM","EXCELENTE")))</f>
        <v>CRÍTICO</v>
      </c>
      <c r="M588" s="3">
        <v>9</v>
      </c>
      <c r="N588" s="3">
        <v>100</v>
      </c>
      <c r="O588" s="3">
        <v>20.183486238532112</v>
      </c>
    </row>
    <row r="589" spans="1:16" x14ac:dyDescent="0.25">
      <c r="A589" s="5">
        <v>46150</v>
      </c>
      <c r="B589" s="6" t="s">
        <v>47</v>
      </c>
      <c r="C589" s="3" t="s">
        <v>48</v>
      </c>
      <c r="D589" s="3">
        <v>34</v>
      </c>
      <c r="E589" s="3">
        <v>30</v>
      </c>
      <c r="F589" s="3">
        <v>11.56</v>
      </c>
      <c r="G589" s="3">
        <v>4</v>
      </c>
      <c r="H589" s="3">
        <v>0</v>
      </c>
      <c r="I589" s="3">
        <f>E589+G589+H589</f>
        <v>34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23</v>
      </c>
      <c r="K589" s="3">
        <f>I589-J589</f>
        <v>11</v>
      </c>
      <c r="L589" s="3" t="str">
        <f>IF(K589&lt;-5,"CRÍTICO",IF(K589&lt;0,"ATENÇÃO",IF(K589&lt;=5,"BOM","EXCELENTE")))</f>
        <v>EXCELENTE</v>
      </c>
      <c r="M589" s="3">
        <v>21</v>
      </c>
      <c r="N589" s="3">
        <v>99.18</v>
      </c>
      <c r="O589" s="3">
        <v>24.501424501424498</v>
      </c>
    </row>
    <row r="590" spans="1:16" hidden="1" x14ac:dyDescent="0.25">
      <c r="A590" s="5">
        <v>46150</v>
      </c>
      <c r="B590" s="6" t="s">
        <v>49</v>
      </c>
      <c r="C590" s="3" t="s">
        <v>48</v>
      </c>
      <c r="D590" s="3">
        <v>31</v>
      </c>
      <c r="E590" s="3">
        <v>28</v>
      </c>
      <c r="F590" s="3">
        <v>15.19</v>
      </c>
      <c r="G590" s="3">
        <v>4</v>
      </c>
      <c r="H590" s="3">
        <v>0</v>
      </c>
      <c r="I590" s="3">
        <f>E590+G590+H590</f>
        <v>32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9</v>
      </c>
      <c r="L590" s="3" t="str">
        <f>IF(K590&lt;-5,"CRÍTICO",IF(K590&lt;0,"ATENÇÃO",IF(K590&lt;=5,"BOM","EXCELENTE")))</f>
        <v>EXCELENTE</v>
      </c>
      <c r="M590" s="3">
        <v>35</v>
      </c>
      <c r="N590" s="3">
        <v>99.35</v>
      </c>
      <c r="O590" s="3">
        <v>19.852941176470591</v>
      </c>
    </row>
    <row r="591" spans="1:16" hidden="1" x14ac:dyDescent="0.25">
      <c r="A591" s="5">
        <v>46150</v>
      </c>
      <c r="B591" s="6" t="s">
        <v>50</v>
      </c>
      <c r="C591" s="9" t="s">
        <v>48</v>
      </c>
      <c r="D591" s="3">
        <v>12</v>
      </c>
      <c r="E591" s="3">
        <v>12</v>
      </c>
      <c r="F591" s="3">
        <v>38.58</v>
      </c>
      <c r="G591" s="3">
        <v>0</v>
      </c>
      <c r="H591" s="3">
        <v>0</v>
      </c>
      <c r="I591" s="3">
        <f>E591+G591+H591</f>
        <v>12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-11</v>
      </c>
      <c r="L591" s="3" t="str">
        <f>IF(K591&lt;-5,"CRÍTICO",IF(K591&lt;0,"ATENÇÃO",IF(K591&lt;=5,"BOM","EXCELENTE")))</f>
        <v>CRÍTICO</v>
      </c>
      <c r="M591" s="3">
        <v>12</v>
      </c>
      <c r="N591" s="3">
        <v>99.07</v>
      </c>
      <c r="O591" s="3">
        <v>20.098039215686271</v>
      </c>
    </row>
    <row r="592" spans="1:16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>
        <v>21</v>
      </c>
      <c r="N592">
        <v>98.91</v>
      </c>
      <c r="O592">
        <v>31.367292225201069</v>
      </c>
      <c r="P592"/>
    </row>
    <row r="593" spans="1:16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>
        <v>0</v>
      </c>
      <c r="N593">
        <v>98.91</v>
      </c>
      <c r="O593">
        <v>31.367292225201069</v>
      </c>
      <c r="P593"/>
    </row>
    <row r="594" spans="1:16" hidden="1" x14ac:dyDescent="0.25">
      <c r="A594" s="5">
        <v>46150</v>
      </c>
      <c r="B594" s="6" t="s">
        <v>51</v>
      </c>
      <c r="C594" s="3" t="s">
        <v>48</v>
      </c>
      <c r="D594" s="3">
        <v>19</v>
      </c>
      <c r="E594" s="3">
        <v>17</v>
      </c>
      <c r="F594" s="3">
        <v>23.59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 t="str">
        <f>IF(K594&lt;-5,"CRÍTICO",IF(K594&lt;0,"ATENÇÃO",IF(K594&lt;=5,"BOM","EXCELENTE")))</f>
        <v>BOM</v>
      </c>
      <c r="M594" s="3">
        <v>16</v>
      </c>
      <c r="N594" s="3">
        <v>98.81</v>
      </c>
      <c r="O594" s="3">
        <v>22.767857142857139</v>
      </c>
    </row>
    <row r="595" spans="1:16" hidden="1" x14ac:dyDescent="0.25">
      <c r="A595" s="5">
        <v>46150</v>
      </c>
      <c r="B595" s="6" t="s">
        <v>52</v>
      </c>
      <c r="C595" s="3" t="s">
        <v>48</v>
      </c>
      <c r="D595" s="3">
        <v>25</v>
      </c>
      <c r="E595" s="3">
        <v>23</v>
      </c>
      <c r="F595" s="3">
        <v>12.17</v>
      </c>
      <c r="G595" s="3">
        <v>6</v>
      </c>
      <c r="H595" s="3">
        <v>0</v>
      </c>
      <c r="I595" s="3">
        <f>E595+G595+H595</f>
        <v>29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23</v>
      </c>
      <c r="K595" s="3">
        <f>I595-J595</f>
        <v>6</v>
      </c>
      <c r="L595" s="3" t="str">
        <f>IF(K595&lt;-5,"CRÍTICO",IF(K595&lt;0,"ATENÇÃO",IF(K595&lt;=5,"BOM","EXCELENTE")))</f>
        <v>EXCELENTE</v>
      </c>
      <c r="M595" s="3">
        <v>26</v>
      </c>
      <c r="N595" s="3">
        <v>99.01</v>
      </c>
      <c r="O595" s="3">
        <v>17.766497461928939</v>
      </c>
    </row>
    <row r="596" spans="1:16" hidden="1" x14ac:dyDescent="0.25">
      <c r="A596" s="5">
        <v>46150</v>
      </c>
      <c r="B596" s="6" t="s">
        <v>53</v>
      </c>
      <c r="C596" s="3" t="s">
        <v>48</v>
      </c>
      <c r="D596" s="3">
        <v>0</v>
      </c>
      <c r="E596" s="3">
        <v>0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 t="str">
        <f>IF(K596&lt;-5,"CRÍTICO",IF(K596&lt;0,"ATENÇÃO",IF(K596&lt;=5,"BOM","EXCELENTE")))</f>
        <v>BOM</v>
      </c>
      <c r="M596" s="3">
        <v>0</v>
      </c>
      <c r="N596" s="3">
        <v>100</v>
      </c>
      <c r="O596" s="3">
        <v>17.241379310344829</v>
      </c>
    </row>
    <row r="597" spans="1:16" hidden="1" x14ac:dyDescent="0.25">
      <c r="A597" s="5">
        <v>46150</v>
      </c>
      <c r="B597" s="6" t="s">
        <v>54</v>
      </c>
      <c r="C597" s="9" t="s">
        <v>48</v>
      </c>
      <c r="D597" s="3">
        <v>30</v>
      </c>
      <c r="E597" s="3">
        <v>27</v>
      </c>
      <c r="F597" s="3">
        <v>15.28</v>
      </c>
      <c r="G597" s="3">
        <v>0</v>
      </c>
      <c r="H597" s="3">
        <v>0</v>
      </c>
      <c r="I597" s="3">
        <f>E597+G597+H597</f>
        <v>27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23</v>
      </c>
      <c r="K597" s="3">
        <f>I597-J597</f>
        <v>4</v>
      </c>
      <c r="L597" s="3" t="str">
        <f>IF(K597&lt;-5,"CRÍTICO",IF(K597&lt;0,"ATENÇÃO",IF(K597&lt;=5,"BOM","EXCELENTE")))</f>
        <v>BOM</v>
      </c>
      <c r="M597" s="3">
        <v>22</v>
      </c>
      <c r="N597" s="3">
        <v>98.98</v>
      </c>
      <c r="O597" s="3">
        <v>19.35483870967742</v>
      </c>
    </row>
    <row r="598" spans="1:16" hidden="1" x14ac:dyDescent="0.25">
      <c r="A598" s="5">
        <v>46150</v>
      </c>
      <c r="B598" s="6" t="s">
        <v>55</v>
      </c>
      <c r="C598" s="3" t="s">
        <v>48</v>
      </c>
      <c r="D598" s="3">
        <v>25</v>
      </c>
      <c r="E598" s="3">
        <v>20</v>
      </c>
      <c r="F598" s="3">
        <v>14.16</v>
      </c>
      <c r="G598" s="3">
        <v>3</v>
      </c>
      <c r="H598" s="3">
        <v>0</v>
      </c>
      <c r="I598" s="3">
        <f>E598+G598+H598</f>
        <v>23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0</v>
      </c>
      <c r="L598" s="3" t="str">
        <f>IF(K598&lt;-5,"CRÍTICO",IF(K598&lt;0,"ATENÇÃO",IF(K598&lt;=5,"BOM","EXCELENTE")))</f>
        <v>BOM</v>
      </c>
      <c r="M598" s="3">
        <v>24</v>
      </c>
      <c r="N598" s="3">
        <v>98.94</v>
      </c>
      <c r="O598" s="3">
        <v>21.270718232044199</v>
      </c>
    </row>
    <row r="599" spans="1:16" hidden="1" x14ac:dyDescent="0.25">
      <c r="A599" s="5">
        <v>46150</v>
      </c>
      <c r="B599" s="6" t="s">
        <v>56</v>
      </c>
      <c r="C599" s="3" t="s">
        <v>48</v>
      </c>
      <c r="D599" s="3">
        <v>22</v>
      </c>
      <c r="E599" s="3">
        <v>18</v>
      </c>
      <c r="F599" s="3">
        <v>15.45</v>
      </c>
      <c r="G599" s="3">
        <v>3</v>
      </c>
      <c r="H599" s="3">
        <v>0</v>
      </c>
      <c r="I599" s="3">
        <f>E599+G599+H599</f>
        <v>21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-2</v>
      </c>
      <c r="L599" s="3" t="str">
        <f>IF(K599&lt;-5,"CRÍTICO",IF(K599&lt;0,"ATENÇÃO",IF(K599&lt;=5,"BOM","EXCELENTE")))</f>
        <v>ATENÇÃO</v>
      </c>
      <c r="M599" s="3">
        <v>18</v>
      </c>
      <c r="N599" s="3">
        <v>99</v>
      </c>
      <c r="O599" s="3">
        <v>22.010869565217391</v>
      </c>
    </row>
    <row r="600" spans="1:16" hidden="1" x14ac:dyDescent="0.25">
      <c r="A600" s="5">
        <v>46150</v>
      </c>
      <c r="B600" s="6" t="s">
        <v>57</v>
      </c>
      <c r="C600" s="3" t="s">
        <v>48</v>
      </c>
      <c r="D600" s="3">
        <v>26</v>
      </c>
      <c r="E600" s="3">
        <v>26</v>
      </c>
      <c r="F600" s="3">
        <v>20.059999999999999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 t="str">
        <f>IF(K600&lt;-5,"CRÍTICO",IF(K600&lt;0,"ATENÇÃO",IF(K600&lt;=5,"BOM","EXCELENTE")))</f>
        <v>BOM</v>
      </c>
      <c r="M600" s="3">
        <v>21</v>
      </c>
      <c r="N600" s="3">
        <v>100</v>
      </c>
      <c r="O600" s="3">
        <v>25</v>
      </c>
    </row>
    <row r="601" spans="1:16" hidden="1" x14ac:dyDescent="0.25">
      <c r="A601" s="5">
        <v>46150</v>
      </c>
      <c r="B601" s="6" t="s">
        <v>58</v>
      </c>
      <c r="C601" s="3" t="s">
        <v>48</v>
      </c>
      <c r="D601" s="3">
        <v>19</v>
      </c>
      <c r="E601" s="3">
        <v>19</v>
      </c>
      <c r="F601" s="3">
        <v>17.079999999999998</v>
      </c>
      <c r="G601" s="3">
        <v>0</v>
      </c>
      <c r="H601" s="3">
        <v>0</v>
      </c>
      <c r="I601" s="3">
        <f>E601+G601+H601</f>
        <v>19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23</v>
      </c>
      <c r="K601" s="3">
        <f>I601-J601</f>
        <v>-4</v>
      </c>
      <c r="L601" s="3" t="str">
        <f>IF(K601&lt;-5,"CRÍTICO",IF(K601&lt;0,"ATENÇÃO",IF(K601&lt;=5,"BOM","EXCELENTE")))</f>
        <v>ATENÇÃO</v>
      </c>
      <c r="M601" s="3">
        <v>17</v>
      </c>
      <c r="N601" s="3">
        <v>100</v>
      </c>
      <c r="O601" s="3">
        <v>20.183486238532112</v>
      </c>
    </row>
    <row r="602" spans="1:16" x14ac:dyDescent="0.25">
      <c r="A602" s="5">
        <v>46153</v>
      </c>
      <c r="B602" s="6" t="s">
        <v>47</v>
      </c>
      <c r="C602" s="3" t="s">
        <v>48</v>
      </c>
      <c r="D602" s="3">
        <v>36</v>
      </c>
      <c r="E602" s="3">
        <v>29</v>
      </c>
      <c r="F602" s="3">
        <v>11.5</v>
      </c>
      <c r="G602" s="3">
        <v>5</v>
      </c>
      <c r="H602" s="3">
        <v>0</v>
      </c>
      <c r="I602" s="3">
        <f>E602+G602+H602</f>
        <v>34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24</v>
      </c>
      <c r="K602" s="3">
        <f>I602-J602</f>
        <v>10</v>
      </c>
      <c r="L602" s="3" t="str">
        <f>IF(K602&lt;-5,"CRÍTICO",IF(K602&lt;0,"ATENÇÃO",IF(K602&lt;=5,"BOM","EXCELENTE")))</f>
        <v>EXCELENTE</v>
      </c>
      <c r="M602" s="3">
        <v>18</v>
      </c>
      <c r="N602" s="3">
        <v>99.18</v>
      </c>
      <c r="O602" s="3">
        <v>24.501424501424498</v>
      </c>
    </row>
    <row r="603" spans="1:16" hidden="1" x14ac:dyDescent="0.25">
      <c r="A603" s="5">
        <v>46153</v>
      </c>
      <c r="B603" s="6" t="s">
        <v>49</v>
      </c>
      <c r="C603" s="3" t="s">
        <v>48</v>
      </c>
      <c r="D603" s="3">
        <v>31</v>
      </c>
      <c r="E603" s="3">
        <v>29</v>
      </c>
      <c r="F603" s="3">
        <v>17.13</v>
      </c>
      <c r="G603" s="3">
        <v>1</v>
      </c>
      <c r="H603" s="3">
        <v>0</v>
      </c>
      <c r="I603" s="3">
        <f>E603+G603+H603</f>
        <v>30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6</v>
      </c>
      <c r="L603" s="3" t="str">
        <f>IF(K603&lt;-5,"CRÍTICO",IF(K603&lt;0,"ATENÇÃO",IF(K603&lt;=5,"BOM","EXCELENTE")))</f>
        <v>EXCELENTE</v>
      </c>
      <c r="M603" s="3">
        <v>30</v>
      </c>
      <c r="N603" s="3">
        <v>99.35</v>
      </c>
      <c r="O603" s="3">
        <v>19.852941176470591</v>
      </c>
    </row>
    <row r="604" spans="1:16" hidden="1" x14ac:dyDescent="0.25">
      <c r="A604" s="5">
        <v>46153</v>
      </c>
      <c r="B604" s="6" t="s">
        <v>50</v>
      </c>
      <c r="C604" s="9" t="s">
        <v>48</v>
      </c>
      <c r="D604" s="3">
        <v>22</v>
      </c>
      <c r="E604" s="3">
        <v>22</v>
      </c>
      <c r="F604" s="3">
        <v>26.55</v>
      </c>
      <c r="G604" s="3">
        <v>4</v>
      </c>
      <c r="H604" s="3">
        <v>0</v>
      </c>
      <c r="I604" s="3">
        <f>E604+G604+H604</f>
        <v>26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2</v>
      </c>
      <c r="L604" s="3" t="str">
        <f>IF(K604&lt;-5,"CRÍTICO",IF(K604&lt;0,"ATENÇÃO",IF(K604&lt;=5,"BOM","EXCELENTE")))</f>
        <v>BOM</v>
      </c>
      <c r="M604" s="3">
        <v>26</v>
      </c>
      <c r="N604" s="3">
        <v>99.07</v>
      </c>
      <c r="O604" s="3">
        <v>20.098039215686271</v>
      </c>
    </row>
    <row r="605" spans="1:16" hidden="1" x14ac:dyDescent="0.25">
      <c r="A605" s="5">
        <v>46153</v>
      </c>
      <c r="B605" s="6" t="s">
        <v>51</v>
      </c>
      <c r="C605" s="3" t="s">
        <v>48</v>
      </c>
      <c r="D605" s="3">
        <v>30</v>
      </c>
      <c r="E605" s="3">
        <v>27</v>
      </c>
      <c r="F605" s="3">
        <v>16.46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3" t="str">
        <f>IF(K605&lt;-5,"CRÍTICO",IF(K605&lt;0,"ATENÇÃO",IF(K605&lt;=5,"BOM","EXCELENTE")))</f>
        <v>BOM</v>
      </c>
      <c r="M605" s="3">
        <v>22</v>
      </c>
      <c r="N605" s="3">
        <v>98.81</v>
      </c>
      <c r="O605" s="3">
        <v>22.767857142857139</v>
      </c>
    </row>
    <row r="606" spans="1:16" hidden="1" x14ac:dyDescent="0.25">
      <c r="A606" s="5">
        <v>46153</v>
      </c>
      <c r="B606" s="6" t="s">
        <v>52</v>
      </c>
      <c r="C606" s="3" t="s">
        <v>48</v>
      </c>
      <c r="D606" s="3">
        <v>28</v>
      </c>
      <c r="E606" s="3">
        <v>27</v>
      </c>
      <c r="F606" s="3">
        <v>15.05</v>
      </c>
      <c r="G606" s="3">
        <v>4</v>
      </c>
      <c r="H606" s="3">
        <v>0</v>
      </c>
      <c r="I606" s="3">
        <f>E606+G606+H606</f>
        <v>31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24</v>
      </c>
      <c r="K606" s="3">
        <f>I606-J606</f>
        <v>7</v>
      </c>
      <c r="L606" s="3" t="str">
        <f>IF(K606&lt;-5,"CRÍTICO",IF(K606&lt;0,"ATENÇÃO",IF(K606&lt;=5,"BOM","EXCELENTE")))</f>
        <v>EXCELENTE</v>
      </c>
      <c r="M606" s="3">
        <v>27</v>
      </c>
      <c r="N606" s="3">
        <v>99.01</v>
      </c>
      <c r="O606" s="3">
        <v>17.766497461928939</v>
      </c>
    </row>
    <row r="607" spans="1:16" hidden="1" x14ac:dyDescent="0.25">
      <c r="A607" s="5">
        <v>46153</v>
      </c>
      <c r="B607" s="6" t="s">
        <v>53</v>
      </c>
      <c r="C607" s="3" t="s">
        <v>48</v>
      </c>
      <c r="D607" s="3">
        <v>0</v>
      </c>
      <c r="E607" s="3">
        <v>0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 t="str">
        <f>IF(K607&lt;-5,"CRÍTICO",IF(K607&lt;0,"ATENÇÃO",IF(K607&lt;=5,"BOM","EXCELENTE")))</f>
        <v>BOM</v>
      </c>
      <c r="M607" s="3">
        <v>0</v>
      </c>
      <c r="N607" s="3">
        <v>100</v>
      </c>
      <c r="O607" s="3">
        <v>17.241379310344829</v>
      </c>
    </row>
    <row r="608" spans="1:16" hidden="1" x14ac:dyDescent="0.25">
      <c r="A608" s="5">
        <v>46153</v>
      </c>
      <c r="B608" s="6" t="s">
        <v>54</v>
      </c>
      <c r="C608" s="9" t="s">
        <v>48</v>
      </c>
      <c r="D608" s="3">
        <v>26</v>
      </c>
      <c r="E608" s="3">
        <v>24</v>
      </c>
      <c r="F608" s="3">
        <v>18.309999999999999</v>
      </c>
      <c r="G608" s="3">
        <v>0</v>
      </c>
      <c r="H608" s="3">
        <v>0</v>
      </c>
      <c r="I608" s="3">
        <f>E608+G608+H608</f>
        <v>24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24</v>
      </c>
      <c r="K608" s="3">
        <f>I608-J608</f>
        <v>0</v>
      </c>
      <c r="L608" s="3" t="str">
        <f>IF(K608&lt;-5,"CRÍTICO",IF(K608&lt;0,"ATENÇÃO",IF(K608&lt;=5,"BOM","EXCELENTE")))</f>
        <v>BOM</v>
      </c>
      <c r="M608" s="3">
        <v>23</v>
      </c>
      <c r="N608" s="3">
        <v>98.98</v>
      </c>
      <c r="O608" s="3">
        <v>19.35483870967742</v>
      </c>
    </row>
    <row r="609" spans="1:15" hidden="1" x14ac:dyDescent="0.25">
      <c r="A609" s="5">
        <v>46153</v>
      </c>
      <c r="B609" s="6" t="s">
        <v>55</v>
      </c>
      <c r="C609" s="3" t="s">
        <v>48</v>
      </c>
      <c r="D609" s="3">
        <v>39</v>
      </c>
      <c r="E609" s="3">
        <v>31</v>
      </c>
      <c r="F609" s="3">
        <v>12</v>
      </c>
      <c r="G609" s="3">
        <v>1</v>
      </c>
      <c r="H609" s="3">
        <v>0</v>
      </c>
      <c r="I609" s="3">
        <f>E609+G609+H609</f>
        <v>32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8</v>
      </c>
      <c r="L609" s="3" t="str">
        <f>IF(K609&lt;-5,"CRÍTICO",IF(K609&lt;0,"ATENÇÃO",IF(K609&lt;=5,"BOM","EXCELENTE")))</f>
        <v>EXCELENTE</v>
      </c>
      <c r="M609" s="3">
        <v>25</v>
      </c>
      <c r="N609" s="3">
        <v>98.94</v>
      </c>
      <c r="O609" s="3">
        <v>21.270718232044199</v>
      </c>
    </row>
    <row r="610" spans="1:15" hidden="1" x14ac:dyDescent="0.25">
      <c r="A610" s="5">
        <v>46153</v>
      </c>
      <c r="B610" s="6" t="s">
        <v>56</v>
      </c>
      <c r="C610" s="3" t="s">
        <v>48</v>
      </c>
      <c r="D610" s="3">
        <v>25</v>
      </c>
      <c r="E610" s="3">
        <v>22</v>
      </c>
      <c r="F610" s="3">
        <v>17.13</v>
      </c>
      <c r="G610" s="3">
        <v>2</v>
      </c>
      <c r="H610" s="3">
        <v>0</v>
      </c>
      <c r="I610" s="3">
        <f>E610+G610+H610</f>
        <v>24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0</v>
      </c>
      <c r="L610" s="3" t="str">
        <f>IF(K610&lt;-5,"CRÍTICO",IF(K610&lt;0,"ATENÇÃO",IF(K610&lt;=5,"BOM","EXCELENTE")))</f>
        <v>BOM</v>
      </c>
      <c r="M610" s="3">
        <v>21</v>
      </c>
      <c r="N610" s="3">
        <v>99</v>
      </c>
      <c r="O610" s="3">
        <v>22.010869565217391</v>
      </c>
    </row>
    <row r="611" spans="1:15" hidden="1" x14ac:dyDescent="0.25">
      <c r="A611" s="5">
        <v>46153</v>
      </c>
      <c r="B611" s="6" t="s">
        <v>57</v>
      </c>
      <c r="C611" s="3" t="s">
        <v>48</v>
      </c>
      <c r="D611" s="3">
        <v>31</v>
      </c>
      <c r="E611" s="3">
        <v>30</v>
      </c>
      <c r="F611" s="3">
        <v>17.05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3" t="str">
        <f>IF(K611&lt;-5,"CRÍTICO",IF(K611&lt;0,"ATENÇÃO",IF(K611&lt;=5,"BOM","EXCELENTE")))</f>
        <v>BOM</v>
      </c>
      <c r="M611" s="3">
        <v>25</v>
      </c>
      <c r="N611" s="3">
        <v>100</v>
      </c>
      <c r="O611" s="3">
        <v>25</v>
      </c>
    </row>
    <row r="612" spans="1:15" hidden="1" x14ac:dyDescent="0.25">
      <c r="A612" s="5">
        <v>46153</v>
      </c>
      <c r="B612" s="6" t="s">
        <v>58</v>
      </c>
      <c r="C612" s="3" t="s">
        <v>48</v>
      </c>
      <c r="D612" s="3">
        <v>9</v>
      </c>
      <c r="E612" s="3">
        <v>8</v>
      </c>
      <c r="F612" s="3">
        <v>23.37</v>
      </c>
      <c r="G612" s="3">
        <v>0</v>
      </c>
      <c r="H612" s="3">
        <v>0</v>
      </c>
      <c r="I612" s="3">
        <f>E612+G612+H612</f>
        <v>8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24</v>
      </c>
      <c r="K612" s="3">
        <f>I612-J612</f>
        <v>-16</v>
      </c>
      <c r="L612" s="3" t="str">
        <f>IF(K612&lt;-5,"CRÍTICO",IF(K612&lt;0,"ATENÇÃO",IF(K612&lt;=5,"BOM","EXCELENTE")))</f>
        <v>CRÍTICO</v>
      </c>
      <c r="M612" s="3">
        <v>7</v>
      </c>
      <c r="N612" s="3">
        <v>100</v>
      </c>
      <c r="O612" s="3">
        <v>20.183486238532112</v>
      </c>
    </row>
    <row r="613" spans="1:15" x14ac:dyDescent="0.25">
      <c r="A613" s="5">
        <v>46154</v>
      </c>
      <c r="B613" s="6" t="s">
        <v>47</v>
      </c>
      <c r="C613" s="3" t="s">
        <v>48</v>
      </c>
      <c r="D613" s="3">
        <v>25</v>
      </c>
      <c r="E613" s="3">
        <v>18</v>
      </c>
      <c r="F613" s="3">
        <v>9</v>
      </c>
      <c r="G613" s="3">
        <v>8</v>
      </c>
      <c r="H613" s="3">
        <v>0</v>
      </c>
      <c r="I613" s="3">
        <f>E613+G613+H613</f>
        <v>26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25</v>
      </c>
      <c r="K613" s="3">
        <f>I613-J613</f>
        <v>1</v>
      </c>
      <c r="L613" s="3" t="str">
        <f>IF(K613&lt;-5,"CRÍTICO",IF(K613&lt;0,"ATENÇÃO",IF(K613&lt;=5,"BOM","EXCELENTE")))</f>
        <v>BOM</v>
      </c>
      <c r="M613" s="3">
        <v>17</v>
      </c>
      <c r="N613" s="3">
        <v>99.18</v>
      </c>
      <c r="O613" s="3">
        <v>24.501424501424498</v>
      </c>
    </row>
    <row r="614" spans="1:15" hidden="1" x14ac:dyDescent="0.25">
      <c r="A614" s="5">
        <v>46154</v>
      </c>
      <c r="B614" s="6" t="s">
        <v>49</v>
      </c>
      <c r="C614" s="3" t="s">
        <v>48</v>
      </c>
      <c r="D614" s="3">
        <v>38</v>
      </c>
      <c r="E614" s="3">
        <v>35</v>
      </c>
      <c r="F614" s="3">
        <v>12.22</v>
      </c>
      <c r="G614" s="3">
        <v>3</v>
      </c>
      <c r="H614" s="3">
        <v>0</v>
      </c>
      <c r="I614" s="3">
        <f>E614+G614+H614</f>
        <v>38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13</v>
      </c>
      <c r="L614" s="3" t="str">
        <f>IF(K614&lt;-5,"CRÍTICO",IF(K614&lt;0,"ATENÇÃO",IF(K614&lt;=5,"BOM","EXCELENTE")))</f>
        <v>EXCELENTE</v>
      </c>
      <c r="M614" s="3">
        <v>34</v>
      </c>
      <c r="N614" s="3">
        <v>99.35</v>
      </c>
      <c r="O614" s="3">
        <v>19.852941176470591</v>
      </c>
    </row>
    <row r="615" spans="1:15" hidden="1" x14ac:dyDescent="0.25">
      <c r="A615" s="5">
        <v>46154</v>
      </c>
      <c r="B615" s="6" t="s">
        <v>50</v>
      </c>
      <c r="C615" s="9" t="s">
        <v>48</v>
      </c>
      <c r="D615" s="3">
        <v>26</v>
      </c>
      <c r="E615" s="3">
        <v>26</v>
      </c>
      <c r="F615" s="3">
        <v>27</v>
      </c>
      <c r="G615" s="3">
        <v>0</v>
      </c>
      <c r="H615" s="3">
        <v>0</v>
      </c>
      <c r="I615" s="3">
        <f>E615+G615+H615</f>
        <v>26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</v>
      </c>
      <c r="L615" s="3" t="str">
        <f>IF(K615&lt;-5,"CRÍTICO",IF(K615&lt;0,"ATENÇÃO",IF(K615&lt;=5,"BOM","EXCELENTE")))</f>
        <v>BOM</v>
      </c>
      <c r="M615" s="3">
        <v>24</v>
      </c>
      <c r="N615" s="3">
        <v>99.07</v>
      </c>
      <c r="O615" s="3">
        <v>20.098039215686271</v>
      </c>
    </row>
    <row r="616" spans="1:15" hidden="1" x14ac:dyDescent="0.25">
      <c r="A616" s="5">
        <v>46154</v>
      </c>
      <c r="B616" s="6" t="s">
        <v>51</v>
      </c>
      <c r="C616" s="3" t="s">
        <v>48</v>
      </c>
      <c r="D616" s="3">
        <v>37</v>
      </c>
      <c r="E616" s="3">
        <v>30</v>
      </c>
      <c r="F616" s="3">
        <v>13.28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3" t="str">
        <f>IF(K616&lt;-5,"CRÍTICO",IF(K616&lt;0,"ATENÇÃO",IF(K616&lt;=5,"BOM","EXCELENTE")))</f>
        <v>BOM</v>
      </c>
      <c r="M616" s="3">
        <v>27</v>
      </c>
      <c r="N616" s="3">
        <v>98.81</v>
      </c>
      <c r="O616" s="3">
        <v>22.767857142857139</v>
      </c>
    </row>
    <row r="617" spans="1:15" hidden="1" x14ac:dyDescent="0.25">
      <c r="A617" s="5">
        <v>46154</v>
      </c>
      <c r="B617" s="6" t="s">
        <v>52</v>
      </c>
      <c r="C617" s="3" t="s">
        <v>48</v>
      </c>
      <c r="D617" s="3">
        <v>25</v>
      </c>
      <c r="E617" s="3">
        <v>24</v>
      </c>
      <c r="F617" s="3">
        <v>17.21</v>
      </c>
      <c r="G617" s="3">
        <v>5</v>
      </c>
      <c r="H617" s="3">
        <v>0</v>
      </c>
      <c r="I617" s="3">
        <f>E617+G617+H617</f>
        <v>29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25</v>
      </c>
      <c r="K617" s="3">
        <f>I617-J617</f>
        <v>4</v>
      </c>
      <c r="L617" s="3" t="str">
        <f>IF(K617&lt;-5,"CRÍTICO",IF(K617&lt;0,"ATENÇÃO",IF(K617&lt;=5,"BOM","EXCELENTE")))</f>
        <v>BOM</v>
      </c>
      <c r="M617" s="3">
        <v>26</v>
      </c>
      <c r="N617" s="3">
        <v>99.01</v>
      </c>
      <c r="O617" s="3">
        <v>17.766497461928939</v>
      </c>
    </row>
    <row r="618" spans="1:15" hidden="1" x14ac:dyDescent="0.25">
      <c r="A618" s="5">
        <v>46154</v>
      </c>
      <c r="B618" s="6" t="s">
        <v>53</v>
      </c>
      <c r="C618" s="3" t="s">
        <v>48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 t="str">
        <f>IF(K618&lt;-5,"CRÍTICO",IF(K618&lt;0,"ATENÇÃO",IF(K618&lt;=5,"BOM","EXCELENTE")))</f>
        <v>BOM</v>
      </c>
      <c r="M618" s="3">
        <v>0</v>
      </c>
      <c r="N618" s="3">
        <v>100</v>
      </c>
      <c r="O618" s="3">
        <v>17.241379310344829</v>
      </c>
    </row>
    <row r="619" spans="1:15" hidden="1" x14ac:dyDescent="0.25">
      <c r="A619" s="5">
        <v>46154</v>
      </c>
      <c r="B619" s="6" t="s">
        <v>54</v>
      </c>
      <c r="C619" s="9" t="s">
        <v>48</v>
      </c>
      <c r="D619" s="3">
        <v>26</v>
      </c>
      <c r="E619" s="3">
        <v>24</v>
      </c>
      <c r="F619" s="3">
        <v>25.14</v>
      </c>
      <c r="G619" s="3">
        <v>0</v>
      </c>
      <c r="H619" s="3">
        <v>0</v>
      </c>
      <c r="I619" s="3">
        <f>E619+G619+H619</f>
        <v>24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25</v>
      </c>
      <c r="K619" s="3">
        <f>I619-J619</f>
        <v>-1</v>
      </c>
      <c r="L619" s="3" t="str">
        <f>IF(K619&lt;-5,"CRÍTICO",IF(K619&lt;0,"ATENÇÃO",IF(K619&lt;=5,"BOM","EXCELENTE")))</f>
        <v>ATENÇÃO</v>
      </c>
      <c r="M619" s="3">
        <v>18</v>
      </c>
      <c r="N619" s="3">
        <v>98.98</v>
      </c>
      <c r="O619" s="3">
        <v>19.35483870967742</v>
      </c>
    </row>
    <row r="620" spans="1:15" hidden="1" x14ac:dyDescent="0.25">
      <c r="A620" s="5">
        <v>46154</v>
      </c>
      <c r="B620" s="6" t="s">
        <v>55</v>
      </c>
      <c r="C620" s="3" t="s">
        <v>48</v>
      </c>
      <c r="D620" s="3">
        <v>29</v>
      </c>
      <c r="E620" s="3">
        <v>26</v>
      </c>
      <c r="F620" s="3">
        <v>15.07</v>
      </c>
      <c r="G620" s="3">
        <v>5</v>
      </c>
      <c r="H620" s="3">
        <v>0</v>
      </c>
      <c r="I620" s="3">
        <f>E620+G620+H620</f>
        <v>31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6</v>
      </c>
      <c r="L620" s="3" t="str">
        <f>IF(K620&lt;-5,"CRÍTICO",IF(K620&lt;0,"ATENÇÃO",IF(K620&lt;=5,"BOM","EXCELENTE")))</f>
        <v>EXCELENTE</v>
      </c>
      <c r="M620" s="3">
        <v>26</v>
      </c>
      <c r="N620" s="3">
        <v>98.94</v>
      </c>
      <c r="O620" s="3">
        <v>21.270718232044199</v>
      </c>
    </row>
    <row r="621" spans="1:15" hidden="1" x14ac:dyDescent="0.25">
      <c r="A621" s="5">
        <v>46154</v>
      </c>
      <c r="B621" s="6" t="s">
        <v>56</v>
      </c>
      <c r="C621" s="3" t="s">
        <v>48</v>
      </c>
      <c r="D621" s="3">
        <v>28</v>
      </c>
      <c r="E621" s="3">
        <v>26</v>
      </c>
      <c r="F621" s="3">
        <v>23.59</v>
      </c>
      <c r="G621" s="3">
        <v>2</v>
      </c>
      <c r="H621" s="3">
        <v>0</v>
      </c>
      <c r="I621" s="3">
        <f>E621+G621+H621</f>
        <v>28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3</v>
      </c>
      <c r="L621" s="3" t="str">
        <f>IF(K621&lt;-5,"CRÍTICO",IF(K621&lt;0,"ATENÇÃO",IF(K621&lt;=5,"BOM","EXCELENTE")))</f>
        <v>BOM</v>
      </c>
      <c r="M621" s="3">
        <v>22</v>
      </c>
      <c r="N621" s="3">
        <v>99</v>
      </c>
      <c r="O621" s="3">
        <v>22.010869565217391</v>
      </c>
    </row>
    <row r="622" spans="1:15" hidden="1" x14ac:dyDescent="0.25">
      <c r="A622" s="5">
        <v>46154</v>
      </c>
      <c r="B622" s="6" t="s">
        <v>57</v>
      </c>
      <c r="C622" s="3" t="s">
        <v>48</v>
      </c>
      <c r="D622" s="3">
        <v>25</v>
      </c>
      <c r="E622" s="3">
        <v>24</v>
      </c>
      <c r="F622" s="3">
        <v>25.44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 t="str">
        <f>IF(K622&lt;-5,"CRÍTICO",IF(K622&lt;0,"ATENÇÃO",IF(K622&lt;=5,"BOM","EXCELENTE")))</f>
        <v>BOM</v>
      </c>
      <c r="M622" s="3">
        <v>19</v>
      </c>
      <c r="N622" s="3">
        <v>100</v>
      </c>
      <c r="O622" s="3">
        <v>25</v>
      </c>
    </row>
    <row r="623" spans="1:15" hidden="1" x14ac:dyDescent="0.25">
      <c r="A623" s="5">
        <v>46154</v>
      </c>
      <c r="B623" s="6" t="s">
        <v>58</v>
      </c>
      <c r="C623" s="3" t="s">
        <v>48</v>
      </c>
      <c r="D623" s="3">
        <v>30</v>
      </c>
      <c r="E623" s="3">
        <v>26</v>
      </c>
      <c r="F623" s="3">
        <v>17.190000000000001</v>
      </c>
      <c r="G623" s="3">
        <v>0</v>
      </c>
      <c r="H623" s="3">
        <v>0</v>
      </c>
      <c r="I623" s="3">
        <f>E623+G623+H623</f>
        <v>26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25</v>
      </c>
      <c r="K623" s="3">
        <f>I623-J623</f>
        <v>1</v>
      </c>
      <c r="L623" s="3" t="str">
        <f>IF(K623&lt;-5,"CRÍTICO",IF(K623&lt;0,"ATENÇÃO",IF(K623&lt;=5,"BOM","EXCELENTE")))</f>
        <v>BOM</v>
      </c>
      <c r="M623" s="3">
        <v>22</v>
      </c>
      <c r="N623" s="3">
        <v>100</v>
      </c>
      <c r="O623" s="3">
        <v>20.183486238532112</v>
      </c>
    </row>
    <row r="624" spans="1:15" x14ac:dyDescent="0.25">
      <c r="A624" s="5">
        <v>46155</v>
      </c>
      <c r="B624" s="6" t="s">
        <v>47</v>
      </c>
      <c r="C624" s="3" t="s">
        <v>48</v>
      </c>
      <c r="D624" s="3">
        <v>28</v>
      </c>
      <c r="E624" s="3">
        <v>21</v>
      </c>
      <c r="F624" s="3">
        <v>17.22</v>
      </c>
      <c r="G624" s="3">
        <v>2</v>
      </c>
      <c r="H624" s="3">
        <v>0</v>
      </c>
      <c r="I624" s="3">
        <f>E624+G624+H624</f>
        <v>23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23</v>
      </c>
      <c r="K624" s="3">
        <f>I624-J624</f>
        <v>0</v>
      </c>
      <c r="L624" s="3" t="str">
        <f>IF(K624&lt;-5,"CRÍTICO",IF(K624&lt;0,"ATENÇÃO",IF(K624&lt;=5,"BOM","EXCELENTE")))</f>
        <v>BOM</v>
      </c>
      <c r="M624" s="3">
        <v>17</v>
      </c>
      <c r="N624" s="3">
        <v>99.18</v>
      </c>
      <c r="O624" s="3">
        <v>24.501424501424498</v>
      </c>
    </row>
    <row r="625" spans="1:16" hidden="1" x14ac:dyDescent="0.25">
      <c r="A625" s="5">
        <v>46155</v>
      </c>
      <c r="B625" s="6" t="s">
        <v>49</v>
      </c>
      <c r="C625" s="3" t="s">
        <v>48</v>
      </c>
      <c r="D625" s="3">
        <v>33</v>
      </c>
      <c r="E625" s="3">
        <v>29</v>
      </c>
      <c r="F625" s="3">
        <v>18.309999999999999</v>
      </c>
      <c r="G625" s="3">
        <v>1</v>
      </c>
      <c r="H625" s="3">
        <v>0</v>
      </c>
      <c r="I625" s="3">
        <f>E625+G625+H625</f>
        <v>30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7</v>
      </c>
      <c r="L625" s="3" t="str">
        <f>IF(K625&lt;-5,"CRÍTICO",IF(K625&lt;0,"ATENÇÃO",IF(K625&lt;=5,"BOM","EXCELENTE")))</f>
        <v>EXCELENTE</v>
      </c>
      <c r="M625" s="3">
        <v>30</v>
      </c>
      <c r="N625" s="3">
        <v>99.35</v>
      </c>
      <c r="O625" s="3">
        <v>19.852941176470591</v>
      </c>
    </row>
    <row r="626" spans="1:16" hidden="1" x14ac:dyDescent="0.25">
      <c r="A626" s="5">
        <v>46155</v>
      </c>
      <c r="B626" s="6" t="s">
        <v>50</v>
      </c>
      <c r="C626" s="9" t="s">
        <v>48</v>
      </c>
      <c r="D626" s="3">
        <v>17</v>
      </c>
      <c r="E626" s="3">
        <v>16</v>
      </c>
      <c r="F626" s="3">
        <v>28.53</v>
      </c>
      <c r="G626" s="3">
        <v>5</v>
      </c>
      <c r="H626" s="3">
        <v>0</v>
      </c>
      <c r="I626" s="3">
        <f>E626+G626+H626</f>
        <v>21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-2</v>
      </c>
      <c r="L626" s="3" t="str">
        <f>IF(K626&lt;-5,"CRÍTICO",IF(K626&lt;0,"ATENÇÃO",IF(K626&lt;=5,"BOM","EXCELENTE")))</f>
        <v>ATENÇÃO</v>
      </c>
      <c r="M626" s="3">
        <v>19</v>
      </c>
      <c r="N626" s="3">
        <v>99.07</v>
      </c>
      <c r="O626" s="3">
        <v>20.098039215686271</v>
      </c>
    </row>
    <row r="627" spans="1:16" hidden="1" x14ac:dyDescent="0.25">
      <c r="A627" s="5">
        <v>46155</v>
      </c>
      <c r="B627" s="6" t="s">
        <v>51</v>
      </c>
      <c r="C627" s="3" t="s">
        <v>48</v>
      </c>
      <c r="D627" s="3">
        <v>12</v>
      </c>
      <c r="E627" s="3">
        <v>9</v>
      </c>
      <c r="F627" s="3">
        <v>22.13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 t="str">
        <f>IF(K627&lt;-5,"CRÍTICO",IF(K627&lt;0,"ATENÇÃO",IF(K627&lt;=5,"BOM","EXCELENTE")))</f>
        <v>BOM</v>
      </c>
      <c r="M627" s="3">
        <v>13</v>
      </c>
      <c r="N627" s="3">
        <v>98.81</v>
      </c>
      <c r="O627" s="3">
        <v>22.767857142857139</v>
      </c>
    </row>
    <row r="628" spans="1:16" hidden="1" x14ac:dyDescent="0.25">
      <c r="A628" s="5">
        <v>46155</v>
      </c>
      <c r="B628" s="6" t="s">
        <v>52</v>
      </c>
      <c r="C628" s="3" t="s">
        <v>48</v>
      </c>
      <c r="D628" s="3">
        <v>28</v>
      </c>
      <c r="E628" s="3">
        <v>25</v>
      </c>
      <c r="F628" s="3">
        <v>20.05</v>
      </c>
      <c r="G628" s="3">
        <v>2</v>
      </c>
      <c r="H628" s="3">
        <v>0</v>
      </c>
      <c r="I628" s="3">
        <f>E628+G628+H628</f>
        <v>27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23</v>
      </c>
      <c r="K628" s="3">
        <f>I628-J628</f>
        <v>4</v>
      </c>
      <c r="L628" s="3" t="str">
        <f>IF(K628&lt;-5,"CRÍTICO",IF(K628&lt;0,"ATENÇÃO",IF(K628&lt;=5,"BOM","EXCELENTE")))</f>
        <v>BOM</v>
      </c>
      <c r="M628" s="3">
        <v>19</v>
      </c>
      <c r="N628" s="3">
        <v>99.01</v>
      </c>
      <c r="O628" s="3">
        <v>17.766497461928939</v>
      </c>
    </row>
    <row r="629" spans="1:16" hidden="1" x14ac:dyDescent="0.25">
      <c r="A629" s="5">
        <v>46155</v>
      </c>
      <c r="B629" s="6" t="s">
        <v>53</v>
      </c>
      <c r="C629" s="3" t="s">
        <v>48</v>
      </c>
      <c r="D629" s="3">
        <v>0</v>
      </c>
      <c r="E629" s="3">
        <v>0</v>
      </c>
      <c r="F629" s="3">
        <v>0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 t="str">
        <f>IF(K629&lt;-5,"CRÍTICO",IF(K629&lt;0,"ATENÇÃO",IF(K629&lt;=5,"BOM","EXCELENTE")))</f>
        <v>BOM</v>
      </c>
      <c r="M629" s="3">
        <v>0</v>
      </c>
      <c r="N629" s="3">
        <v>100</v>
      </c>
      <c r="O629" s="3">
        <v>17.241379310344829</v>
      </c>
    </row>
    <row r="630" spans="1:16" hidden="1" x14ac:dyDescent="0.25">
      <c r="A630" s="5">
        <v>46155</v>
      </c>
      <c r="B630" s="6" t="s">
        <v>54</v>
      </c>
      <c r="C630" s="9" t="s">
        <v>48</v>
      </c>
      <c r="D630" s="3">
        <v>21</v>
      </c>
      <c r="E630" s="3">
        <v>21</v>
      </c>
      <c r="F630" s="3">
        <v>28.56</v>
      </c>
      <c r="G630" s="3">
        <v>1</v>
      </c>
      <c r="H630" s="3">
        <v>0</v>
      </c>
      <c r="I630" s="3">
        <f>E630+G630+H630</f>
        <v>22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-1</v>
      </c>
      <c r="L630" s="3" t="str">
        <f>IF(K630&lt;-5,"CRÍTICO",IF(K630&lt;0,"ATENÇÃO",IF(K630&lt;=5,"BOM","EXCELENTE")))</f>
        <v>ATENÇÃO</v>
      </c>
      <c r="M630" s="3">
        <v>22</v>
      </c>
      <c r="N630" s="3">
        <v>98.98</v>
      </c>
      <c r="O630" s="3">
        <v>19.35483870967742</v>
      </c>
    </row>
    <row r="631" spans="1:16" hidden="1" x14ac:dyDescent="0.25">
      <c r="A631" s="5">
        <v>46155</v>
      </c>
      <c r="B631" s="6" t="s">
        <v>55</v>
      </c>
      <c r="C631" s="3" t="s">
        <v>48</v>
      </c>
      <c r="D631" s="3">
        <v>33</v>
      </c>
      <c r="E631" s="3">
        <v>27</v>
      </c>
      <c r="F631" s="3">
        <v>15.43</v>
      </c>
      <c r="G631" s="3">
        <v>0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IF(K631&lt;-5,"CRÍTICO",IF(K631&lt;0,"ATENÇÃO",IF(K631&lt;=5,"BOM","EXCELENTE")))</f>
        <v>BOM</v>
      </c>
      <c r="M631" s="3">
        <v>23</v>
      </c>
      <c r="N631" s="3">
        <v>98.94</v>
      </c>
      <c r="O631" s="3">
        <v>21.270718232044199</v>
      </c>
    </row>
    <row r="632" spans="1:16" hidden="1" x14ac:dyDescent="0.25">
      <c r="A632" s="5">
        <v>46155</v>
      </c>
      <c r="B632" s="6" t="s">
        <v>56</v>
      </c>
      <c r="C632" s="3" t="s">
        <v>48</v>
      </c>
      <c r="D632" s="3">
        <v>21</v>
      </c>
      <c r="E632" s="3">
        <v>20</v>
      </c>
      <c r="F632" s="3">
        <v>22.3</v>
      </c>
      <c r="G632" s="3">
        <v>5</v>
      </c>
      <c r="H632" s="3">
        <v>0</v>
      </c>
      <c r="I632" s="3">
        <f>E632+G632+H632</f>
        <v>25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2</v>
      </c>
      <c r="L632" s="3" t="str">
        <f>IF(K632&lt;-5,"CRÍTICO",IF(K632&lt;0,"ATENÇÃO",IF(K632&lt;=5,"BOM","EXCELENTE")))</f>
        <v>BOM</v>
      </c>
      <c r="M632" s="3">
        <v>22</v>
      </c>
      <c r="N632" s="3">
        <v>99</v>
      </c>
      <c r="O632" s="3">
        <v>22.010869565217391</v>
      </c>
    </row>
    <row r="633" spans="1:16" hidden="1" x14ac:dyDescent="0.25">
      <c r="A633" s="5">
        <v>46155</v>
      </c>
      <c r="B633" s="6" t="s">
        <v>57</v>
      </c>
      <c r="C633" s="3" t="s">
        <v>48</v>
      </c>
      <c r="D633" s="3">
        <v>30</v>
      </c>
      <c r="E633" s="3">
        <v>29</v>
      </c>
      <c r="F633" s="3">
        <v>15.49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>IF(K633&lt;-5,"CRÍTICO",IF(K633&lt;0,"ATENÇÃO",IF(K633&lt;=5,"BOM","EXCELENTE")))</f>
        <v>BOM</v>
      </c>
      <c r="M633" s="3">
        <v>26</v>
      </c>
      <c r="N633" s="3">
        <v>100</v>
      </c>
      <c r="O633" s="3">
        <v>25</v>
      </c>
    </row>
    <row r="634" spans="1:16" hidden="1" x14ac:dyDescent="0.25">
      <c r="A634" s="5">
        <v>46155</v>
      </c>
      <c r="B634" s="6" t="s">
        <v>58</v>
      </c>
      <c r="C634" s="3" t="s">
        <v>48</v>
      </c>
      <c r="D634" s="3">
        <v>24</v>
      </c>
      <c r="E634" s="3">
        <v>22</v>
      </c>
      <c r="F634" s="3">
        <v>21.47</v>
      </c>
      <c r="G634" s="3">
        <v>0</v>
      </c>
      <c r="H634" s="3">
        <v>0</v>
      </c>
      <c r="I634" s="3">
        <f>E634+G634+H634</f>
        <v>22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-1</v>
      </c>
      <c r="L634" s="3" t="str">
        <f>IF(K634&lt;-5,"CRÍTICO",IF(K634&lt;0,"ATENÇÃO",IF(K634&lt;=5,"BOM","EXCELENTE")))</f>
        <v>ATENÇÃO</v>
      </c>
      <c r="M634" s="3">
        <v>18</v>
      </c>
      <c r="N634" s="3">
        <v>100</v>
      </c>
      <c r="O634" s="3">
        <v>20.183486238532112</v>
      </c>
    </row>
    <row r="635" spans="1:16" x14ac:dyDescent="0.25">
      <c r="A635" s="5">
        <v>46156</v>
      </c>
      <c r="B635" s="6" t="s">
        <v>47</v>
      </c>
      <c r="C635" s="3" t="s">
        <v>48</v>
      </c>
      <c r="D635" s="3">
        <v>33</v>
      </c>
      <c r="E635" s="3">
        <v>28</v>
      </c>
      <c r="F635" s="3">
        <v>10.58</v>
      </c>
      <c r="G635" s="3">
        <v>6</v>
      </c>
      <c r="H635" s="3">
        <v>0</v>
      </c>
      <c r="I635" s="3">
        <f>E635+G635+H635</f>
        <v>34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11</v>
      </c>
      <c r="L635" s="3" t="str">
        <f>IF(K635&lt;-5,"CRÍTICO",IF(K635&lt;0,"ATENÇÃO",IF(K635&lt;=5,"BOM","EXCELENTE")))</f>
        <v>EXCELENTE</v>
      </c>
      <c r="M635" s="3">
        <v>23</v>
      </c>
      <c r="N635" s="3">
        <v>99.18</v>
      </c>
      <c r="O635" s="3">
        <v>24.501424501424498</v>
      </c>
    </row>
    <row r="636" spans="1:16" hidden="1" x14ac:dyDescent="0.25">
      <c r="A636" s="5">
        <v>46156</v>
      </c>
      <c r="B636" s="6" t="s">
        <v>49</v>
      </c>
      <c r="C636" s="3" t="s">
        <v>48</v>
      </c>
      <c r="D636" s="3">
        <v>29</v>
      </c>
      <c r="E636" s="3">
        <v>29</v>
      </c>
      <c r="F636" s="3">
        <v>12.28</v>
      </c>
      <c r="G636" s="3">
        <v>4</v>
      </c>
      <c r="H636" s="3">
        <v>0</v>
      </c>
      <c r="I636" s="3">
        <f>E636+G636+H636</f>
        <v>33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10</v>
      </c>
      <c r="L636" s="3" t="str">
        <f>IF(K636&lt;-5,"CRÍTICO",IF(K636&lt;0,"ATENÇÃO",IF(K636&lt;=5,"BOM","EXCELENTE")))</f>
        <v>EXCELENTE</v>
      </c>
      <c r="M636" s="3">
        <v>33</v>
      </c>
      <c r="N636" s="3">
        <v>99.35</v>
      </c>
      <c r="O636" s="3">
        <v>19.852941176470591</v>
      </c>
    </row>
    <row r="637" spans="1:16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>
        <v>31</v>
      </c>
      <c r="N637">
        <v>98.91</v>
      </c>
      <c r="O637">
        <v>31.367292225201069</v>
      </c>
      <c r="P637"/>
    </row>
    <row r="638" spans="1:16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>
        <v>14</v>
      </c>
      <c r="N638">
        <v>96.67</v>
      </c>
      <c r="O638">
        <v>31.451612903225811</v>
      </c>
      <c r="P638"/>
    </row>
    <row r="639" spans="1:16" hidden="1" x14ac:dyDescent="0.25">
      <c r="A639" s="5">
        <v>46156</v>
      </c>
      <c r="B639" s="6" t="s">
        <v>50</v>
      </c>
      <c r="C639" s="9" t="s">
        <v>48</v>
      </c>
      <c r="D639" s="3">
        <v>25</v>
      </c>
      <c r="E639" s="3">
        <v>23</v>
      </c>
      <c r="F639" s="3">
        <v>20.56</v>
      </c>
      <c r="G639" s="3">
        <v>4</v>
      </c>
      <c r="H639" s="3">
        <v>0</v>
      </c>
      <c r="I639" s="3">
        <f>E639+G639+H639</f>
        <v>27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4</v>
      </c>
      <c r="L639" s="3" t="str">
        <f>IF(K639&lt;-5,"CRÍTICO",IF(K639&lt;0,"ATENÇÃO",IF(K639&lt;=5,"BOM","EXCELENTE")))</f>
        <v>BOM</v>
      </c>
      <c r="M639" s="3">
        <v>25</v>
      </c>
      <c r="N639" s="3">
        <v>99.07</v>
      </c>
      <c r="O639" s="3">
        <v>20.098039215686271</v>
      </c>
    </row>
    <row r="640" spans="1:16" hidden="1" x14ac:dyDescent="0.25">
      <c r="A640" s="5">
        <v>46156</v>
      </c>
      <c r="B640" s="6" t="s">
        <v>51</v>
      </c>
      <c r="C640" s="3" t="s">
        <v>48</v>
      </c>
      <c r="D640" s="3">
        <v>22</v>
      </c>
      <c r="E640" s="3">
        <v>18</v>
      </c>
      <c r="F640" s="3">
        <v>25.02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3" t="str">
        <f>IF(K640&lt;-5,"CRÍTICO",IF(K640&lt;0,"ATENÇÃO",IF(K640&lt;=5,"BOM","EXCELENTE")))</f>
        <v>BOM</v>
      </c>
      <c r="M640" s="3">
        <v>17</v>
      </c>
      <c r="N640" s="3">
        <v>98.81</v>
      </c>
      <c r="O640" s="3">
        <v>22.767857142857139</v>
      </c>
    </row>
    <row r="641" spans="1:15" hidden="1" x14ac:dyDescent="0.25">
      <c r="A641" s="5">
        <v>46156</v>
      </c>
      <c r="B641" s="6" t="s">
        <v>52</v>
      </c>
      <c r="C641" s="3" t="s">
        <v>48</v>
      </c>
      <c r="D641" s="3">
        <v>14</v>
      </c>
      <c r="E641" s="3">
        <v>13</v>
      </c>
      <c r="F641" s="3">
        <v>19.05</v>
      </c>
      <c r="G641" s="3">
        <v>0</v>
      </c>
      <c r="H641" s="3">
        <v>0</v>
      </c>
      <c r="I641" s="3">
        <f>E641+G641+H641</f>
        <v>13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23</v>
      </c>
      <c r="K641" s="3">
        <f>I641-J641</f>
        <v>-10</v>
      </c>
      <c r="L641" s="3" t="str">
        <f>IF(K641&lt;-5,"CRÍTICO",IF(K641&lt;0,"ATENÇÃO",IF(K641&lt;=5,"BOM","EXCELENTE")))</f>
        <v>CRÍTICO</v>
      </c>
      <c r="M641" s="3">
        <v>18</v>
      </c>
      <c r="N641" s="3">
        <v>99.01</v>
      </c>
      <c r="O641" s="3">
        <v>17.766497461928939</v>
      </c>
    </row>
    <row r="642" spans="1:15" hidden="1" x14ac:dyDescent="0.25">
      <c r="A642" s="5">
        <v>46156</v>
      </c>
      <c r="B642" s="6" t="s">
        <v>53</v>
      </c>
      <c r="C642" s="3" t="s">
        <v>48</v>
      </c>
      <c r="D642" s="3">
        <v>0</v>
      </c>
      <c r="E642" s="3">
        <v>0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 t="str">
        <f>IF(K642&lt;-5,"CRÍTICO",IF(K642&lt;0,"ATENÇÃO",IF(K642&lt;=5,"BOM","EXCELENTE")))</f>
        <v>BOM</v>
      </c>
      <c r="M642" s="3">
        <v>0</v>
      </c>
      <c r="N642" s="3">
        <v>100</v>
      </c>
      <c r="O642" s="3">
        <v>17.241379310344829</v>
      </c>
    </row>
    <row r="643" spans="1:15" hidden="1" x14ac:dyDescent="0.25">
      <c r="A643" s="5">
        <v>46156</v>
      </c>
      <c r="B643" s="6" t="s">
        <v>54</v>
      </c>
      <c r="C643" s="9" t="s">
        <v>48</v>
      </c>
      <c r="D643" s="3">
        <v>17</v>
      </c>
      <c r="E643" s="3">
        <v>17</v>
      </c>
      <c r="F643" s="3">
        <v>28.35</v>
      </c>
      <c r="G643" s="3">
        <v>0</v>
      </c>
      <c r="H643" s="3">
        <v>0</v>
      </c>
      <c r="I643" s="3">
        <f>E643+G643+H643</f>
        <v>17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23</v>
      </c>
      <c r="K643" s="3">
        <f>I643-J643</f>
        <v>-6</v>
      </c>
      <c r="L643" s="3" t="str">
        <f>IF(K643&lt;-5,"CRÍTICO",IF(K643&lt;0,"ATENÇÃO",IF(K643&lt;=5,"BOM","EXCELENTE")))</f>
        <v>CRÍTICO</v>
      </c>
      <c r="M643" s="3">
        <v>13</v>
      </c>
      <c r="N643" s="3">
        <v>98.98</v>
      </c>
      <c r="O643" s="3">
        <v>19.35483870967742</v>
      </c>
    </row>
    <row r="644" spans="1:15" hidden="1" x14ac:dyDescent="0.25">
      <c r="A644" s="5">
        <v>46156</v>
      </c>
      <c r="B644" s="6" t="s">
        <v>55</v>
      </c>
      <c r="C644" s="3" t="s">
        <v>48</v>
      </c>
      <c r="D644" s="3">
        <v>9</v>
      </c>
      <c r="E644" s="3">
        <v>9</v>
      </c>
      <c r="F644" s="3">
        <v>25.25</v>
      </c>
      <c r="G644" s="3">
        <v>1</v>
      </c>
      <c r="H644" s="3">
        <v>0</v>
      </c>
      <c r="I644" s="3">
        <f>E644+G644+H644</f>
        <v>10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-13</v>
      </c>
      <c r="L644" s="3" t="str">
        <f>IF(K644&lt;-5,"CRÍTICO",IF(K644&lt;0,"ATENÇÃO",IF(K644&lt;=5,"BOM","EXCELENTE")))</f>
        <v>CRÍTICO</v>
      </c>
      <c r="M644" s="3">
        <v>9</v>
      </c>
      <c r="N644" s="3">
        <v>98.94</v>
      </c>
      <c r="O644" s="3">
        <v>21.270718232044199</v>
      </c>
    </row>
    <row r="645" spans="1:15" hidden="1" x14ac:dyDescent="0.25">
      <c r="A645" s="5">
        <v>46156</v>
      </c>
      <c r="B645" s="6" t="s">
        <v>56</v>
      </c>
      <c r="C645" s="3" t="s">
        <v>48</v>
      </c>
      <c r="D645" s="3">
        <v>26</v>
      </c>
      <c r="E645" s="3">
        <v>24</v>
      </c>
      <c r="F645" s="3">
        <v>18.579999999999998</v>
      </c>
      <c r="G645" s="3">
        <v>0</v>
      </c>
      <c r="H645" s="3">
        <v>0</v>
      </c>
      <c r="I645" s="3">
        <f>E645+G645+H645</f>
        <v>24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1</v>
      </c>
      <c r="L645" s="3" t="str">
        <f>IF(K645&lt;-5,"CRÍTICO",IF(K645&lt;0,"ATENÇÃO",IF(K645&lt;=5,"BOM","EXCELENTE")))</f>
        <v>BOM</v>
      </c>
      <c r="M645" s="3">
        <v>12</v>
      </c>
      <c r="N645" s="3">
        <v>99</v>
      </c>
      <c r="O645" s="3">
        <v>22.010869565217391</v>
      </c>
    </row>
    <row r="646" spans="1:15" hidden="1" x14ac:dyDescent="0.25">
      <c r="A646" s="5">
        <v>46156</v>
      </c>
      <c r="B646" s="6" t="s">
        <v>57</v>
      </c>
      <c r="C646" s="3" t="s">
        <v>48</v>
      </c>
      <c r="D646" s="3">
        <v>22</v>
      </c>
      <c r="E646" s="3">
        <v>18</v>
      </c>
      <c r="F646" s="3">
        <v>23.52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3" t="str">
        <f>IF(K646&lt;-5,"CRÍTICO",IF(K646&lt;0,"ATENÇÃO",IF(K646&lt;=5,"BOM","EXCELENTE")))</f>
        <v>BOM</v>
      </c>
      <c r="M646" s="3">
        <v>16</v>
      </c>
      <c r="N646" s="3">
        <v>100</v>
      </c>
      <c r="O646" s="3">
        <v>25</v>
      </c>
    </row>
    <row r="647" spans="1:15" hidden="1" x14ac:dyDescent="0.25">
      <c r="A647" s="5">
        <v>46156</v>
      </c>
      <c r="B647" s="6" t="s">
        <v>58</v>
      </c>
      <c r="C647" s="3" t="s">
        <v>48</v>
      </c>
      <c r="D647" s="3">
        <v>29</v>
      </c>
      <c r="E647" s="3">
        <v>26</v>
      </c>
      <c r="F647" s="3">
        <v>20.36</v>
      </c>
      <c r="G647" s="3">
        <v>0</v>
      </c>
      <c r="H647" s="3">
        <v>0</v>
      </c>
      <c r="I647" s="3">
        <f>E647+G647+H647</f>
        <v>26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23</v>
      </c>
      <c r="K647" s="3">
        <f>I647-J647</f>
        <v>3</v>
      </c>
      <c r="L647" s="3" t="str">
        <f>IF(K647&lt;-5,"CRÍTICO",IF(K647&lt;0,"ATENÇÃO",IF(K647&lt;=5,"BOM","EXCELENTE")))</f>
        <v>BOM</v>
      </c>
      <c r="M647" s="3">
        <v>23</v>
      </c>
      <c r="N647" s="3">
        <v>100</v>
      </c>
      <c r="O647" s="3">
        <v>20.183486238532112</v>
      </c>
    </row>
    <row r="648" spans="1:15" x14ac:dyDescent="0.25">
      <c r="A648" s="5">
        <v>46157</v>
      </c>
      <c r="B648" s="6" t="s">
        <v>47</v>
      </c>
      <c r="C648" s="3" t="s">
        <v>48</v>
      </c>
      <c r="D648" s="3">
        <v>20</v>
      </c>
      <c r="E648" s="3">
        <v>19</v>
      </c>
      <c r="F648" s="3">
        <v>13.2</v>
      </c>
      <c r="G648" s="3">
        <v>1</v>
      </c>
      <c r="H648" s="3">
        <v>0</v>
      </c>
      <c r="I648" s="3">
        <f>E648+G648+H648</f>
        <v>20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-3</v>
      </c>
      <c r="L648" s="3" t="str">
        <f>IF(K648&lt;-5,"CRÍTICO",IF(K648&lt;0,"ATENÇÃO",IF(K648&lt;=5,"BOM","EXCELENTE")))</f>
        <v>ATENÇÃO</v>
      </c>
      <c r="M648" s="3">
        <v>12</v>
      </c>
      <c r="N648" s="3">
        <v>99.18</v>
      </c>
      <c r="O648" s="3">
        <v>24.501424501424498</v>
      </c>
    </row>
    <row r="649" spans="1:15" hidden="1" x14ac:dyDescent="0.25">
      <c r="A649" s="5">
        <v>46157</v>
      </c>
      <c r="B649" s="6" t="s">
        <v>49</v>
      </c>
      <c r="C649" s="3" t="s">
        <v>48</v>
      </c>
      <c r="D649" s="3">
        <v>20</v>
      </c>
      <c r="E649" s="3">
        <v>19</v>
      </c>
      <c r="F649" s="3">
        <v>23.34</v>
      </c>
      <c r="G649" s="3">
        <v>2</v>
      </c>
      <c r="H649" s="3">
        <v>0</v>
      </c>
      <c r="I649" s="3">
        <f>E649+G649+H649</f>
        <v>21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-2</v>
      </c>
      <c r="L649" s="3" t="str">
        <f>IF(K649&lt;-5,"CRÍTICO",IF(K649&lt;0,"ATENÇÃO",IF(K649&lt;=5,"BOM","EXCELENTE")))</f>
        <v>ATENÇÃO</v>
      </c>
      <c r="M649" s="3">
        <v>21</v>
      </c>
      <c r="N649" s="3">
        <v>99.35</v>
      </c>
      <c r="O649" s="3">
        <v>19.852941176470591</v>
      </c>
    </row>
    <row r="650" spans="1:15" hidden="1" x14ac:dyDescent="0.25">
      <c r="A650" s="5">
        <v>46157</v>
      </c>
      <c r="B650" s="6" t="s">
        <v>50</v>
      </c>
      <c r="C650" s="9" t="s">
        <v>48</v>
      </c>
      <c r="D650" s="3">
        <v>26</v>
      </c>
      <c r="E650" s="3">
        <v>26</v>
      </c>
      <c r="F650" s="3">
        <v>25.22</v>
      </c>
      <c r="G650" s="3">
        <v>3</v>
      </c>
      <c r="H650" s="3">
        <v>0</v>
      </c>
      <c r="I650" s="3">
        <f>E650+G650+H650</f>
        <v>29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6</v>
      </c>
      <c r="L650" s="3" t="str">
        <f>IF(K650&lt;-5,"CRÍTICO",IF(K650&lt;0,"ATENÇÃO",IF(K650&lt;=5,"BOM","EXCELENTE")))</f>
        <v>EXCELENTE</v>
      </c>
      <c r="M650" s="3">
        <v>29</v>
      </c>
      <c r="N650" s="3">
        <v>99.07</v>
      </c>
      <c r="O650" s="3">
        <v>20.098039215686271</v>
      </c>
    </row>
    <row r="651" spans="1:15" hidden="1" x14ac:dyDescent="0.25">
      <c r="A651" s="5">
        <v>46157</v>
      </c>
      <c r="B651" s="6" t="s">
        <v>51</v>
      </c>
      <c r="C651" s="3" t="s">
        <v>48</v>
      </c>
      <c r="D651" s="3">
        <v>35</v>
      </c>
      <c r="E651" s="3">
        <v>31</v>
      </c>
      <c r="F651" s="3">
        <v>18.53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3" t="str">
        <f>IF(K651&lt;-5,"CRÍTICO",IF(K651&lt;0,"ATENÇÃO",IF(K651&lt;=5,"BOM","EXCELENTE")))</f>
        <v>BOM</v>
      </c>
      <c r="M651" s="3">
        <v>30</v>
      </c>
      <c r="N651" s="3">
        <v>98.81</v>
      </c>
      <c r="O651" s="3">
        <v>22.767857142857139</v>
      </c>
    </row>
    <row r="652" spans="1:15" hidden="1" x14ac:dyDescent="0.25">
      <c r="A652" s="5">
        <v>46157</v>
      </c>
      <c r="B652" s="6" t="s">
        <v>52</v>
      </c>
      <c r="C652" s="3" t="s">
        <v>48</v>
      </c>
      <c r="D652" s="3">
        <v>27</v>
      </c>
      <c r="E652" s="3">
        <v>25</v>
      </c>
      <c r="F652" s="3">
        <v>18.420000000000002</v>
      </c>
      <c r="G652" s="3">
        <v>2</v>
      </c>
      <c r="H652" s="3">
        <v>0</v>
      </c>
      <c r="I652" s="3">
        <f>E652+G652+H652</f>
        <v>27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23</v>
      </c>
      <c r="K652" s="3">
        <f>I652-J652</f>
        <v>4</v>
      </c>
      <c r="L652" s="3" t="str">
        <f>IF(K652&lt;-5,"CRÍTICO",IF(K652&lt;0,"ATENÇÃO",IF(K652&lt;=5,"BOM","EXCELENTE")))</f>
        <v>BOM</v>
      </c>
      <c r="M652" s="3">
        <v>23</v>
      </c>
      <c r="N652" s="3">
        <v>99.01</v>
      </c>
      <c r="O652" s="3">
        <v>17.766497461928939</v>
      </c>
    </row>
    <row r="653" spans="1:15" hidden="1" x14ac:dyDescent="0.25">
      <c r="A653" s="5">
        <v>46157</v>
      </c>
      <c r="B653" s="6" t="s">
        <v>53</v>
      </c>
      <c r="C653" s="3" t="s">
        <v>48</v>
      </c>
      <c r="D653" s="3">
        <v>0</v>
      </c>
      <c r="E653" s="3">
        <v>0</v>
      </c>
      <c r="F653" s="3">
        <v>0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3" t="str">
        <f>IF(K653&lt;-5,"CRÍTICO",IF(K653&lt;0,"ATENÇÃO",IF(K653&lt;=5,"BOM","EXCELENTE")))</f>
        <v>BOM</v>
      </c>
      <c r="M653" s="3">
        <v>0</v>
      </c>
      <c r="N653" s="3">
        <v>100</v>
      </c>
      <c r="O653" s="3">
        <v>17.241379310344829</v>
      </c>
    </row>
    <row r="654" spans="1:15" hidden="1" x14ac:dyDescent="0.25">
      <c r="A654" s="5">
        <v>46157</v>
      </c>
      <c r="B654" s="6" t="s">
        <v>54</v>
      </c>
      <c r="C654" s="9" t="s">
        <v>48</v>
      </c>
      <c r="D654" s="3">
        <v>28</v>
      </c>
      <c r="E654" s="3">
        <v>25</v>
      </c>
      <c r="F654" s="3">
        <v>22.04</v>
      </c>
      <c r="G654" s="3">
        <v>0</v>
      </c>
      <c r="H654" s="3">
        <v>0</v>
      </c>
      <c r="I654" s="3">
        <f>E654+G654+H654</f>
        <v>25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23</v>
      </c>
      <c r="K654" s="3">
        <f>I654-J654</f>
        <v>2</v>
      </c>
      <c r="L654" s="3" t="str">
        <f>IF(K654&lt;-5,"CRÍTICO",IF(K654&lt;0,"ATENÇÃO",IF(K654&lt;=5,"BOM","EXCELENTE")))</f>
        <v>BOM</v>
      </c>
      <c r="M654" s="3">
        <v>23</v>
      </c>
      <c r="N654" s="3">
        <v>98.98</v>
      </c>
      <c r="O654" s="3">
        <v>19.35483870967742</v>
      </c>
    </row>
    <row r="655" spans="1:15" hidden="1" x14ac:dyDescent="0.25">
      <c r="A655" s="5">
        <v>46157</v>
      </c>
      <c r="B655" s="6" t="s">
        <v>55</v>
      </c>
      <c r="C655" s="3" t="s">
        <v>48</v>
      </c>
      <c r="D655" s="3">
        <v>17</v>
      </c>
      <c r="E655" s="3">
        <v>14</v>
      </c>
      <c r="F655" s="3">
        <v>15.05</v>
      </c>
      <c r="G655" s="3">
        <v>1</v>
      </c>
      <c r="H655" s="3">
        <v>0</v>
      </c>
      <c r="I655" s="3">
        <f>E655+G655+H655</f>
        <v>15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-8</v>
      </c>
      <c r="L655" s="3" t="str">
        <f>IF(K655&lt;-5,"CRÍTICO",IF(K655&lt;0,"ATENÇÃO",IF(K655&lt;=5,"BOM","EXCELENTE")))</f>
        <v>CRÍTICO</v>
      </c>
      <c r="M655" s="3">
        <v>14</v>
      </c>
      <c r="N655" s="3">
        <v>98.94</v>
      </c>
      <c r="O655" s="3">
        <v>21.270718232044199</v>
      </c>
    </row>
    <row r="656" spans="1:15" hidden="1" x14ac:dyDescent="0.25">
      <c r="A656" s="5">
        <v>46157</v>
      </c>
      <c r="B656" s="6" t="s">
        <v>56</v>
      </c>
      <c r="C656" s="3" t="s">
        <v>48</v>
      </c>
      <c r="D656" s="3">
        <v>34</v>
      </c>
      <c r="E656" s="3">
        <v>32</v>
      </c>
      <c r="F656" s="3">
        <v>15.4</v>
      </c>
      <c r="G656" s="3">
        <v>0</v>
      </c>
      <c r="H656" s="3">
        <v>0</v>
      </c>
      <c r="I656" s="3">
        <f>E656+G656+H656</f>
        <v>32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9</v>
      </c>
      <c r="L656" s="3" t="str">
        <f>IF(K656&lt;-5,"CRÍTICO",IF(K656&lt;0,"ATENÇÃO",IF(K656&lt;=5,"BOM","EXCELENTE")))</f>
        <v>EXCELENTE</v>
      </c>
      <c r="M656" s="3">
        <v>13</v>
      </c>
      <c r="N656" s="3">
        <v>99</v>
      </c>
      <c r="O656" s="3">
        <v>22.010869565217391</v>
      </c>
    </row>
    <row r="657" spans="1:16" hidden="1" x14ac:dyDescent="0.25">
      <c r="A657" s="5">
        <v>46157</v>
      </c>
      <c r="B657" s="6" t="s">
        <v>57</v>
      </c>
      <c r="C657" s="3" t="s">
        <v>48</v>
      </c>
      <c r="D657" s="3">
        <v>28</v>
      </c>
      <c r="E657" s="3">
        <v>25</v>
      </c>
      <c r="F657" s="3">
        <v>25.42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3" t="str">
        <f>IF(K657&lt;-5,"CRÍTICO",IF(K657&lt;0,"ATENÇÃO",IF(K657&lt;=5,"BOM","EXCELENTE")))</f>
        <v>BOM</v>
      </c>
      <c r="M657" s="3">
        <v>24</v>
      </c>
      <c r="N657" s="3">
        <v>100</v>
      </c>
      <c r="O657" s="3">
        <v>25</v>
      </c>
    </row>
    <row r="658" spans="1:16" hidden="1" x14ac:dyDescent="0.25">
      <c r="A658" s="5">
        <v>46157</v>
      </c>
      <c r="B658" s="6" t="s">
        <v>58</v>
      </c>
      <c r="C658" s="3" t="s">
        <v>48</v>
      </c>
      <c r="D658" s="3">
        <v>13</v>
      </c>
      <c r="E658" s="3">
        <v>13</v>
      </c>
      <c r="F658" s="3">
        <v>33.590000000000003</v>
      </c>
      <c r="G658" s="3">
        <v>0</v>
      </c>
      <c r="H658" s="3">
        <v>0</v>
      </c>
      <c r="I658" s="3">
        <f>E658+G658+H658</f>
        <v>13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23</v>
      </c>
      <c r="K658" s="3">
        <f>I658-J658</f>
        <v>-10</v>
      </c>
      <c r="L658" s="3" t="str">
        <f>IF(K658&lt;-5,"CRÍTICO",IF(K658&lt;0,"ATENÇÃO",IF(K658&lt;=5,"BOM","EXCELENTE")))</f>
        <v>CRÍTICO</v>
      </c>
      <c r="M658" s="3">
        <v>11</v>
      </c>
      <c r="N658" s="3">
        <v>100</v>
      </c>
      <c r="O658" s="3">
        <v>20.183486238532112</v>
      </c>
    </row>
    <row r="659" spans="1:16" x14ac:dyDescent="0.25">
      <c r="A659" s="5">
        <v>46160</v>
      </c>
      <c r="B659" s="6" t="s">
        <v>47</v>
      </c>
      <c r="C659" s="3" t="s">
        <v>48</v>
      </c>
      <c r="D659" s="3">
        <v>42</v>
      </c>
      <c r="E659" s="3">
        <v>27</v>
      </c>
      <c r="F659" s="3">
        <v>7.38</v>
      </c>
      <c r="G659" s="3">
        <v>4</v>
      </c>
      <c r="H659" s="3">
        <v>0</v>
      </c>
      <c r="I659" s="3">
        <f>E659+G659+H659</f>
        <v>31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21</v>
      </c>
      <c r="K659" s="3">
        <f>I659-J659</f>
        <v>10</v>
      </c>
      <c r="L659" s="3" t="str">
        <f>IF(K659&lt;-5,"CRÍTICO",IF(K659&lt;0,"ATENÇÃO",IF(K659&lt;=5,"BOM","EXCELENTE")))</f>
        <v>EXCELENTE</v>
      </c>
      <c r="M659" s="3">
        <v>19</v>
      </c>
      <c r="N659" s="3">
        <v>99.18</v>
      </c>
      <c r="O659" s="3">
        <v>24.501424501424498</v>
      </c>
    </row>
    <row r="660" spans="1:16" hidden="1" x14ac:dyDescent="0.25">
      <c r="A660" s="5">
        <v>46160</v>
      </c>
      <c r="B660" s="6" t="s">
        <v>49</v>
      </c>
      <c r="C660" s="3" t="s">
        <v>48</v>
      </c>
      <c r="D660" s="3">
        <v>46</v>
      </c>
      <c r="E660" s="3">
        <v>39</v>
      </c>
      <c r="F660" s="3">
        <v>11.41</v>
      </c>
      <c r="G660" s="3">
        <v>7</v>
      </c>
      <c r="H660" s="3">
        <v>0</v>
      </c>
      <c r="I660" s="3">
        <f>E660+G660+H660</f>
        <v>46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25</v>
      </c>
      <c r="L660" s="3" t="str">
        <f>IF(K660&lt;-5,"CRÍTICO",IF(K660&lt;0,"ATENÇÃO",IF(K660&lt;=5,"BOM","EXCELENTE")))</f>
        <v>EXCELENTE</v>
      </c>
      <c r="M660" s="3">
        <v>42</v>
      </c>
      <c r="N660" s="3">
        <v>99.35</v>
      </c>
      <c r="O660" s="3">
        <v>19.852941176470591</v>
      </c>
    </row>
    <row r="661" spans="1:16" hidden="1" x14ac:dyDescent="0.25">
      <c r="A661" s="5">
        <v>46160</v>
      </c>
      <c r="B661" s="6" t="s">
        <v>50</v>
      </c>
      <c r="C661" s="9" t="s">
        <v>48</v>
      </c>
      <c r="D661" s="3">
        <v>23</v>
      </c>
      <c r="E661" s="3">
        <v>23</v>
      </c>
      <c r="F661" s="3">
        <v>21.44</v>
      </c>
      <c r="G661" s="3">
        <v>3</v>
      </c>
      <c r="H661" s="3">
        <v>0</v>
      </c>
      <c r="I661" s="3">
        <f>E661+G661+H661</f>
        <v>26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5</v>
      </c>
      <c r="L661" s="3" t="str">
        <f>IF(K661&lt;-5,"CRÍTICO",IF(K661&lt;0,"ATENÇÃO",IF(K661&lt;=5,"BOM","EXCELENTE")))</f>
        <v>BOM</v>
      </c>
      <c r="M661" s="3">
        <v>26</v>
      </c>
      <c r="N661" s="3">
        <v>99.07</v>
      </c>
      <c r="O661" s="3">
        <v>20.098039215686271</v>
      </c>
    </row>
    <row r="662" spans="1:16" hidden="1" x14ac:dyDescent="0.25">
      <c r="A662" s="5">
        <v>46160</v>
      </c>
      <c r="B662" s="6" t="s">
        <v>51</v>
      </c>
      <c r="C662" s="3" t="s">
        <v>48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3" t="str">
        <f>IF(K662&lt;-5,"CRÍTICO",IF(K662&lt;0,"ATENÇÃO",IF(K662&lt;=5,"BOM","EXCELENTE")))</f>
        <v>BOM</v>
      </c>
      <c r="M662" s="3">
        <v>0</v>
      </c>
      <c r="N662" s="3">
        <v>98.81</v>
      </c>
      <c r="O662" s="3">
        <v>22.767857142857139</v>
      </c>
    </row>
    <row r="663" spans="1:16" hidden="1" x14ac:dyDescent="0.25">
      <c r="A663" s="5">
        <v>46160</v>
      </c>
      <c r="B663" s="6" t="s">
        <v>52</v>
      </c>
      <c r="C663" s="3" t="s">
        <v>48</v>
      </c>
      <c r="D663" s="3">
        <v>29</v>
      </c>
      <c r="E663" s="3">
        <v>27</v>
      </c>
      <c r="F663" s="3">
        <v>12.34</v>
      </c>
      <c r="G663" s="3">
        <v>3</v>
      </c>
      <c r="H663" s="3">
        <v>0</v>
      </c>
      <c r="I663" s="3">
        <f>E663+G663+H663</f>
        <v>30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21</v>
      </c>
      <c r="K663" s="3">
        <f>I663-J663</f>
        <v>9</v>
      </c>
      <c r="L663" s="3" t="str">
        <f>IF(K663&lt;-5,"CRÍTICO",IF(K663&lt;0,"ATENÇÃO",IF(K663&lt;=5,"BOM","EXCELENTE")))</f>
        <v>EXCELENTE</v>
      </c>
      <c r="M663" s="3">
        <v>25</v>
      </c>
      <c r="N663" s="3">
        <v>99.01</v>
      </c>
      <c r="O663" s="3">
        <v>17.766497461928939</v>
      </c>
    </row>
    <row r="664" spans="1:16" hidden="1" x14ac:dyDescent="0.25">
      <c r="A664" s="5">
        <v>46160</v>
      </c>
      <c r="B664" s="6" t="s">
        <v>53</v>
      </c>
      <c r="C664" s="3" t="s">
        <v>48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3" t="str">
        <f>IF(K664&lt;-5,"CRÍTICO",IF(K664&lt;0,"ATENÇÃO",IF(K664&lt;=5,"BOM","EXCELENTE")))</f>
        <v>BOM</v>
      </c>
      <c r="M664" s="3">
        <v>0</v>
      </c>
      <c r="N664" s="3">
        <v>100</v>
      </c>
      <c r="O664" s="3">
        <v>17.241379310344829</v>
      </c>
    </row>
    <row r="665" spans="1:16" hidden="1" x14ac:dyDescent="0.25"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P665"/>
    </row>
    <row r="666" spans="1:16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P666"/>
    </row>
    <row r="667" spans="1:16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P667"/>
    </row>
    <row r="668" spans="1:16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P668"/>
    </row>
    <row r="669" spans="1:16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P669"/>
    </row>
    <row r="670" spans="1:16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P670"/>
    </row>
    <row r="671" spans="1:16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P671"/>
    </row>
    <row r="672" spans="1:16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P672"/>
    </row>
    <row r="673" spans="4:16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P673"/>
    </row>
    <row r="674" spans="4:16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P674"/>
    </row>
    <row r="675" spans="4:16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P675"/>
    </row>
    <row r="676" spans="4:16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P676"/>
    </row>
    <row r="677" spans="4:16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P677"/>
    </row>
    <row r="678" spans="4:16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P678"/>
    </row>
    <row r="679" spans="4:16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P679"/>
    </row>
    <row r="680" spans="4:16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P680"/>
    </row>
    <row r="681" spans="4:16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P681"/>
    </row>
    <row r="682" spans="4:16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P682"/>
    </row>
    <row r="683" spans="4:16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P683"/>
    </row>
    <row r="684" spans="4:16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P684"/>
    </row>
    <row r="685" spans="4:16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P685"/>
    </row>
    <row r="686" spans="4:16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P686"/>
    </row>
    <row r="687" spans="4:16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P687"/>
    </row>
    <row r="688" spans="4:16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P688"/>
    </row>
    <row r="689" spans="4:16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P689"/>
    </row>
    <row r="690" spans="4:16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P690"/>
    </row>
    <row r="691" spans="4:16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P691"/>
    </row>
    <row r="692" spans="4:16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P692"/>
    </row>
    <row r="693" spans="4:16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P693"/>
    </row>
    <row r="694" spans="4:16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P694"/>
    </row>
    <row r="695" spans="4:16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P695"/>
    </row>
    <row r="696" spans="4:16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P696"/>
    </row>
    <row r="697" spans="4:16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P697"/>
    </row>
    <row r="698" spans="4:16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P698"/>
    </row>
    <row r="699" spans="4:16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P699"/>
    </row>
    <row r="700" spans="4:16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P700"/>
    </row>
    <row r="701" spans="4:16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P701"/>
    </row>
    <row r="702" spans="4:16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P702"/>
    </row>
    <row r="703" spans="4:16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P703"/>
    </row>
    <row r="704" spans="4:16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P704"/>
    </row>
    <row r="705" spans="4:16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P705"/>
    </row>
    <row r="706" spans="4:16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P706"/>
    </row>
    <row r="707" spans="4:16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P707"/>
    </row>
    <row r="708" spans="4:16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P708"/>
    </row>
    <row r="709" spans="4:16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P709"/>
    </row>
    <row r="710" spans="4:16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P710"/>
    </row>
    <row r="711" spans="4:16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P711"/>
    </row>
    <row r="712" spans="4:16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P712"/>
    </row>
    <row r="713" spans="4:16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P713"/>
    </row>
    <row r="714" spans="4:16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P714"/>
    </row>
    <row r="715" spans="4:16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P715"/>
    </row>
    <row r="716" spans="4:16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P716"/>
    </row>
    <row r="717" spans="4:16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P717"/>
    </row>
    <row r="718" spans="4:16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P718"/>
    </row>
    <row r="719" spans="4:16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P719"/>
    </row>
    <row r="720" spans="4:16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P720"/>
    </row>
    <row r="721" spans="1:16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P721"/>
    </row>
    <row r="722" spans="1:16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P722"/>
    </row>
    <row r="723" spans="1:16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P723"/>
    </row>
    <row r="724" spans="1:16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P724"/>
    </row>
    <row r="725" spans="1:16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P725"/>
    </row>
    <row r="726" spans="1:16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P726"/>
    </row>
    <row r="727" spans="1:16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P727"/>
    </row>
    <row r="728" spans="1:16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P728"/>
    </row>
    <row r="729" spans="1:16" hidden="1" x14ac:dyDescent="0.25">
      <c r="A729" s="5">
        <v>46160</v>
      </c>
      <c r="B729" s="6" t="s">
        <v>54</v>
      </c>
      <c r="C729" s="9" t="s">
        <v>48</v>
      </c>
      <c r="D729" s="3">
        <v>20</v>
      </c>
      <c r="E729" s="3">
        <v>20</v>
      </c>
      <c r="F729" s="3">
        <v>24.07</v>
      </c>
      <c r="G729" s="3">
        <v>3</v>
      </c>
      <c r="H729" s="3">
        <v>0</v>
      </c>
      <c r="I729" s="3">
        <f>E729+G729+H729</f>
        <v>23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21</v>
      </c>
      <c r="K729" s="3">
        <f>I729-J729</f>
        <v>2</v>
      </c>
      <c r="L729" s="3" t="str">
        <f>IF(K729&lt;-5,"CRÍTICO",IF(K729&lt;0,"ATENÇÃO",IF(K729&lt;=5,"BOM","EXCELENTE")))</f>
        <v>BOM</v>
      </c>
      <c r="M729" s="3">
        <v>21</v>
      </c>
      <c r="N729" s="3">
        <v>98.98</v>
      </c>
      <c r="O729" s="3">
        <v>19.35483870967742</v>
      </c>
    </row>
    <row r="730" spans="1:16" hidden="1" x14ac:dyDescent="0.25">
      <c r="A730" s="5">
        <v>46160</v>
      </c>
      <c r="B730" s="6" t="s">
        <v>55</v>
      </c>
      <c r="C730" s="3" t="s">
        <v>48</v>
      </c>
      <c r="D730" s="3">
        <v>28</v>
      </c>
      <c r="E730" s="3">
        <v>22</v>
      </c>
      <c r="F730" s="3">
        <v>17.149999999999999</v>
      </c>
      <c r="G730" s="3">
        <v>0</v>
      </c>
      <c r="H730" s="3">
        <v>0</v>
      </c>
      <c r="I730" s="3">
        <f>E730+G730+H730</f>
        <v>22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1</v>
      </c>
      <c r="L730" s="3" t="str">
        <f>IF(K730&lt;-5,"CRÍTICO",IF(K730&lt;0,"ATENÇÃO",IF(K730&lt;=5,"BOM","EXCELENTE")))</f>
        <v>BOM</v>
      </c>
      <c r="M730" s="3">
        <v>19</v>
      </c>
      <c r="N730" s="3">
        <v>98.94</v>
      </c>
      <c r="O730" s="3">
        <v>21.270718232044199</v>
      </c>
    </row>
    <row r="731" spans="1:16" hidden="1" x14ac:dyDescent="0.25">
      <c r="A731" s="5">
        <v>46160</v>
      </c>
      <c r="B731" s="6" t="s">
        <v>56</v>
      </c>
      <c r="C731" s="3" t="s">
        <v>48</v>
      </c>
      <c r="D731" s="3">
        <v>25</v>
      </c>
      <c r="E731" s="3">
        <v>23</v>
      </c>
      <c r="F731" s="3">
        <v>16.55</v>
      </c>
      <c r="G731" s="3">
        <v>2</v>
      </c>
      <c r="H731" s="3">
        <v>0</v>
      </c>
      <c r="I731" s="3">
        <f>E731+G731+H731</f>
        <v>25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4</v>
      </c>
      <c r="L731" s="3" t="str">
        <f>IF(K731&lt;-5,"CRÍTICO",IF(K731&lt;0,"ATENÇÃO",IF(K731&lt;=5,"BOM","EXCELENTE")))</f>
        <v>BOM</v>
      </c>
      <c r="M731" s="3">
        <v>20</v>
      </c>
      <c r="N731" s="3">
        <v>99</v>
      </c>
      <c r="O731" s="3">
        <v>22.010869565217391</v>
      </c>
    </row>
    <row r="732" spans="1:16" hidden="1" x14ac:dyDescent="0.25">
      <c r="A732" s="5">
        <v>46160</v>
      </c>
      <c r="B732" s="6" t="s">
        <v>57</v>
      </c>
      <c r="C732" s="3" t="s">
        <v>48</v>
      </c>
      <c r="D732" s="3">
        <v>28</v>
      </c>
      <c r="E732" s="3">
        <v>26</v>
      </c>
      <c r="F732" s="3">
        <v>13.58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3" t="str">
        <f>IF(K732&lt;-5,"CRÍTICO",IF(K732&lt;0,"ATENÇÃO",IF(K732&lt;=5,"BOM","EXCELENTE")))</f>
        <v>BOM</v>
      </c>
      <c r="M732" s="3">
        <v>23</v>
      </c>
      <c r="N732" s="3">
        <v>100</v>
      </c>
      <c r="O732" s="3">
        <v>25</v>
      </c>
    </row>
    <row r="733" spans="1:16" hidden="1" x14ac:dyDescent="0.25">
      <c r="A733" s="5">
        <v>46160</v>
      </c>
      <c r="B733" s="6" t="s">
        <v>58</v>
      </c>
      <c r="C733" s="3" t="s">
        <v>48</v>
      </c>
      <c r="D733" s="3">
        <v>16</v>
      </c>
      <c r="E733" s="3">
        <v>15</v>
      </c>
      <c r="F733" s="3">
        <v>19.190000000000001</v>
      </c>
      <c r="G733" s="3">
        <v>0</v>
      </c>
      <c r="H733" s="3">
        <v>0</v>
      </c>
      <c r="I733" s="3">
        <f>E733+G733+H733</f>
        <v>15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21</v>
      </c>
      <c r="K733" s="3">
        <f>I733-J733</f>
        <v>-6</v>
      </c>
      <c r="L733" s="3" t="str">
        <f>IF(K733&lt;-5,"CRÍTICO",IF(K733&lt;0,"ATENÇÃO",IF(K733&lt;=5,"BOM","EXCELENTE")))</f>
        <v>CRÍTICO</v>
      </c>
      <c r="M733" s="3">
        <v>13</v>
      </c>
      <c r="N733" s="3">
        <v>100</v>
      </c>
      <c r="O733" s="3">
        <v>20.183486238532112</v>
      </c>
    </row>
    <row r="734" spans="1:16" x14ac:dyDescent="0.25">
      <c r="A734" s="7">
        <v>46161</v>
      </c>
      <c r="B734" s="8" t="s">
        <v>47</v>
      </c>
      <c r="C734" s="9" t="s">
        <v>48</v>
      </c>
      <c r="D734" s="3">
        <v>38</v>
      </c>
      <c r="E734" s="3">
        <v>33</v>
      </c>
      <c r="F734" s="3">
        <v>12.17</v>
      </c>
      <c r="G734" s="3">
        <v>1</v>
      </c>
      <c r="H734" s="3">
        <v>0</v>
      </c>
      <c r="I734" s="3">
        <f>E734+G734+H734</f>
        <v>34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23</v>
      </c>
      <c r="K734" s="3">
        <f>I734-J734</f>
        <v>11</v>
      </c>
      <c r="L734" s="3" t="str">
        <f>IF(K734&lt;-5,"CRÍTICO",IF(K734&lt;0,"ATENÇÃO",IF(K734&lt;=5,"BOM","EXCELENTE")))</f>
        <v>EXCELENTE</v>
      </c>
      <c r="M734" s="3">
        <v>17</v>
      </c>
      <c r="N734" s="3">
        <v>99.18</v>
      </c>
      <c r="O734" s="3">
        <v>24.501424501424498</v>
      </c>
    </row>
    <row r="735" spans="1:16" hidden="1" x14ac:dyDescent="0.25">
      <c r="A735" s="7">
        <v>46161</v>
      </c>
      <c r="B735" s="8" t="s">
        <v>49</v>
      </c>
      <c r="C735" s="9" t="s">
        <v>48</v>
      </c>
      <c r="D735" s="3">
        <v>33</v>
      </c>
      <c r="E735" s="3">
        <v>31</v>
      </c>
      <c r="F735" s="3">
        <v>16.46</v>
      </c>
      <c r="G735" s="3">
        <v>3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>IF(K735&lt;-5,"CRÍTICO",IF(K735&lt;0,"ATENÇÃO",IF(K735&lt;=5,"BOM","EXCELENTE")))</f>
        <v>EXCELENTE</v>
      </c>
      <c r="M735" s="3">
        <v>33</v>
      </c>
      <c r="N735" s="3">
        <v>99.35</v>
      </c>
      <c r="O735" s="3">
        <v>19.852941176470591</v>
      </c>
    </row>
    <row r="736" spans="1:16" hidden="1" x14ac:dyDescent="0.25">
      <c r="A736" s="7">
        <v>46161</v>
      </c>
      <c r="B736" s="8" t="s">
        <v>50</v>
      </c>
      <c r="C736" s="9" t="s">
        <v>48</v>
      </c>
      <c r="D736" s="3">
        <v>33</v>
      </c>
      <c r="E736" s="3">
        <v>32</v>
      </c>
      <c r="F736" s="3">
        <v>16.54</v>
      </c>
      <c r="G736" s="3">
        <v>2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>IF(K736&lt;-5,"CRÍTICO",IF(K736&lt;0,"ATENÇÃO",IF(K736&lt;=5,"BOM","EXCELENTE")))</f>
        <v>EXCELENTE</v>
      </c>
      <c r="M736" s="3">
        <v>29</v>
      </c>
      <c r="N736" s="3">
        <v>99.07</v>
      </c>
      <c r="O736" s="3">
        <v>20.098039215686271</v>
      </c>
    </row>
    <row r="737" spans="1:16" hidden="1" x14ac:dyDescent="0.25">
      <c r="A737" s="7">
        <v>46161</v>
      </c>
      <c r="B737" s="8" t="s">
        <v>51</v>
      </c>
      <c r="C737" s="9" t="s">
        <v>48</v>
      </c>
      <c r="D737" s="3">
        <v>0</v>
      </c>
      <c r="E737" s="3">
        <v>0</v>
      </c>
      <c r="F737" s="3">
        <v>0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3" t="str">
        <f>IF(K737&lt;-5,"CRÍTICO",IF(K737&lt;0,"ATENÇÃO",IF(K737&lt;=5,"BOM","EXCELENTE")))</f>
        <v>BOM</v>
      </c>
      <c r="M737" s="3">
        <v>0</v>
      </c>
      <c r="N737" s="3">
        <v>98.81</v>
      </c>
      <c r="O737" s="3">
        <v>22.767857142857139</v>
      </c>
    </row>
    <row r="738" spans="1:16" hidden="1" x14ac:dyDescent="0.25">
      <c r="A738" s="7">
        <v>46161</v>
      </c>
      <c r="B738" s="8" t="s">
        <v>52</v>
      </c>
      <c r="C738" s="9" t="s">
        <v>48</v>
      </c>
      <c r="D738" s="3">
        <v>23</v>
      </c>
      <c r="E738" s="3">
        <v>22</v>
      </c>
      <c r="F738" s="3">
        <v>13.4</v>
      </c>
      <c r="G738" s="3">
        <v>2</v>
      </c>
      <c r="H738" s="3">
        <v>0</v>
      </c>
      <c r="I738" s="3">
        <f>E738+G738+H738</f>
        <v>24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23</v>
      </c>
      <c r="K738" s="3">
        <f>I738-J738</f>
        <v>1</v>
      </c>
      <c r="L738" s="3" t="str">
        <f>IF(K738&lt;-5,"CRÍTICO",IF(K738&lt;0,"ATENÇÃO",IF(K738&lt;=5,"BOM","EXCELENTE")))</f>
        <v>BOM</v>
      </c>
      <c r="M738" s="3">
        <v>23</v>
      </c>
      <c r="N738" s="3">
        <v>99.01</v>
      </c>
      <c r="O738" s="3">
        <v>17.766497461928939</v>
      </c>
    </row>
    <row r="739" spans="1:16" hidden="1" x14ac:dyDescent="0.25">
      <c r="A739" s="7">
        <v>46161</v>
      </c>
      <c r="B739" s="8" t="s">
        <v>53</v>
      </c>
      <c r="C739" s="9" t="s">
        <v>48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3" t="str">
        <f>IF(K739&lt;-5,"CRÍTICO",IF(K739&lt;0,"ATENÇÃO",IF(K739&lt;=5,"BOM","EXCELENTE")))</f>
        <v>BOM</v>
      </c>
      <c r="M739" s="3">
        <v>0</v>
      </c>
      <c r="N739" s="3">
        <v>100</v>
      </c>
      <c r="O739" s="3">
        <v>17.241379310344829</v>
      </c>
    </row>
    <row r="740" spans="1:16" hidden="1" x14ac:dyDescent="0.25">
      <c r="A740" s="7">
        <v>46161</v>
      </c>
      <c r="B740" s="8" t="s">
        <v>54</v>
      </c>
      <c r="C740" s="9" t="s">
        <v>48</v>
      </c>
      <c r="D740" s="3">
        <v>28</v>
      </c>
      <c r="E740" s="3">
        <v>25</v>
      </c>
      <c r="F740" s="3">
        <v>16.55</v>
      </c>
      <c r="G740" s="3">
        <v>0</v>
      </c>
      <c r="H740" s="3">
        <v>0</v>
      </c>
      <c r="I740" s="3">
        <f>E740+G740+H740</f>
        <v>25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23</v>
      </c>
      <c r="K740" s="3">
        <f>I740-J740</f>
        <v>2</v>
      </c>
      <c r="L740" s="3" t="str">
        <f>IF(K740&lt;-5,"CRÍTICO",IF(K740&lt;0,"ATENÇÃO",IF(K740&lt;=5,"BOM","EXCELENTE")))</f>
        <v>BOM</v>
      </c>
      <c r="M740" s="3">
        <v>22</v>
      </c>
      <c r="N740" s="3">
        <v>98.98</v>
      </c>
      <c r="O740" s="3">
        <v>19.35483870967742</v>
      </c>
    </row>
    <row r="741" spans="1:16" hidden="1" x14ac:dyDescent="0.25">
      <c r="A741" s="7">
        <v>46161</v>
      </c>
      <c r="B741" s="8" t="s">
        <v>55</v>
      </c>
      <c r="C741" s="9" t="s">
        <v>48</v>
      </c>
      <c r="D741" s="3">
        <v>24</v>
      </c>
      <c r="E741" s="3">
        <v>20</v>
      </c>
      <c r="F741" s="3">
        <v>17</v>
      </c>
      <c r="G741" s="3">
        <v>2</v>
      </c>
      <c r="H741" s="3">
        <v>0</v>
      </c>
      <c r="I741" s="3">
        <f>E741+G741+H741</f>
        <v>22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-1</v>
      </c>
      <c r="L741" s="3" t="str">
        <f>IF(K741&lt;-5,"CRÍTICO",IF(K741&lt;0,"ATENÇÃO",IF(K741&lt;=5,"BOM","EXCELENTE")))</f>
        <v>ATENÇÃO</v>
      </c>
      <c r="M741" s="3">
        <v>16</v>
      </c>
      <c r="N741" s="3">
        <v>98.94</v>
      </c>
      <c r="O741" s="3">
        <v>21.270718232044199</v>
      </c>
    </row>
    <row r="742" spans="1:16" hidden="1" x14ac:dyDescent="0.25">
      <c r="A742" s="7">
        <v>46161</v>
      </c>
      <c r="B742" s="8" t="s">
        <v>56</v>
      </c>
      <c r="C742" s="9" t="s">
        <v>48</v>
      </c>
      <c r="D742" s="3">
        <v>28</v>
      </c>
      <c r="E742" s="3">
        <v>25</v>
      </c>
      <c r="F742" s="3">
        <v>19.03</v>
      </c>
      <c r="G742" s="3">
        <v>3</v>
      </c>
      <c r="H742" s="3">
        <v>0</v>
      </c>
      <c r="I742" s="3">
        <f>E742+G742+H742</f>
        <v>28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5</v>
      </c>
      <c r="L742" s="3" t="str">
        <f>IF(K742&lt;-5,"CRÍTICO",IF(K742&lt;0,"ATENÇÃO",IF(K742&lt;=5,"BOM","EXCELENTE")))</f>
        <v>BOM</v>
      </c>
      <c r="M742" s="3">
        <v>45</v>
      </c>
      <c r="N742" s="3">
        <v>99</v>
      </c>
      <c r="O742" s="3">
        <v>22.010869565217391</v>
      </c>
    </row>
    <row r="743" spans="1:16" hidden="1" x14ac:dyDescent="0.25">
      <c r="A743" s="7">
        <v>46161</v>
      </c>
      <c r="B743" s="8" t="s">
        <v>57</v>
      </c>
      <c r="C743" s="9" t="s">
        <v>48</v>
      </c>
      <c r="D743" s="3">
        <v>22</v>
      </c>
      <c r="E743" s="3">
        <v>21</v>
      </c>
      <c r="F743" s="3">
        <v>24.02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3" t="str">
        <f>IF(K743&lt;-5,"CRÍTICO",IF(K743&lt;0,"ATENÇÃO",IF(K743&lt;=5,"BOM","EXCELENTE")))</f>
        <v>BOM</v>
      </c>
      <c r="M743" s="3">
        <v>19</v>
      </c>
      <c r="N743" s="3">
        <v>100</v>
      </c>
      <c r="O743" s="3">
        <v>25</v>
      </c>
    </row>
    <row r="744" spans="1:16" hidden="1" x14ac:dyDescent="0.25">
      <c r="A744" s="7">
        <v>46161</v>
      </c>
      <c r="B744" s="8" t="s">
        <v>58</v>
      </c>
      <c r="C744" s="9" t="s">
        <v>48</v>
      </c>
      <c r="D744" s="3">
        <v>25</v>
      </c>
      <c r="E744" s="3">
        <v>23</v>
      </c>
      <c r="F744" s="3">
        <v>17.03</v>
      </c>
      <c r="G744" s="3">
        <v>0</v>
      </c>
      <c r="H744" s="3">
        <v>0</v>
      </c>
      <c r="I744" s="3">
        <f>E744+G744+H744</f>
        <v>23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23</v>
      </c>
      <c r="K744" s="3">
        <f>I744-J744</f>
        <v>0</v>
      </c>
      <c r="L744" s="3" t="str">
        <f>IF(K744&lt;-5,"CRÍTICO",IF(K744&lt;0,"ATENÇÃO",IF(K744&lt;=5,"BOM","EXCELENTE")))</f>
        <v>BOM</v>
      </c>
      <c r="M744" s="3">
        <v>22</v>
      </c>
      <c r="N744" s="3">
        <v>100</v>
      </c>
      <c r="O744" s="3">
        <v>20.183486238532112</v>
      </c>
    </row>
    <row r="745" spans="1:16" x14ac:dyDescent="0.25">
      <c r="A745" s="7">
        <v>46162</v>
      </c>
      <c r="B745" s="8" t="s">
        <v>47</v>
      </c>
      <c r="C745" s="9" t="s">
        <v>48</v>
      </c>
      <c r="D745" s="3">
        <v>36</v>
      </c>
      <c r="E745" s="3">
        <v>25</v>
      </c>
      <c r="F745" s="3">
        <v>11.43</v>
      </c>
      <c r="G745" s="3">
        <v>6</v>
      </c>
      <c r="H745" s="3">
        <v>0</v>
      </c>
      <c r="I745" s="3">
        <f>E745+G745+H745</f>
        <v>31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21</v>
      </c>
      <c r="K745" s="3">
        <f>I745-J745</f>
        <v>10</v>
      </c>
      <c r="L745" s="3" t="str">
        <f>IF(K745&lt;-5,"CRÍTICO",IF(K745&lt;0,"ATENÇÃO",IF(K745&lt;=5,"OPORTUNO","MUITO BOM")))</f>
        <v>MUITO BOM</v>
      </c>
      <c r="M745" s="3">
        <v>20</v>
      </c>
      <c r="N745" s="3">
        <v>99.18</v>
      </c>
      <c r="O745" s="3">
        <v>24.501424501424498</v>
      </c>
    </row>
    <row r="746" spans="1:16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  <c r="P746"/>
    </row>
    <row r="747" spans="1:16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  <c r="P747"/>
    </row>
    <row r="748" spans="1:16" hidden="1" x14ac:dyDescent="0.25">
      <c r="A748" s="7">
        <v>46162</v>
      </c>
      <c r="B748" s="8" t="s">
        <v>49</v>
      </c>
      <c r="C748" s="9" t="s">
        <v>48</v>
      </c>
      <c r="D748" s="3">
        <v>25</v>
      </c>
      <c r="E748" s="3">
        <v>23</v>
      </c>
      <c r="F748" s="3">
        <v>15.11</v>
      </c>
      <c r="G748" s="3">
        <v>2</v>
      </c>
      <c r="H748" s="3">
        <v>0</v>
      </c>
      <c r="I748" s="3">
        <f>E748+G748+H748</f>
        <v>25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21</v>
      </c>
      <c r="K748" s="3">
        <f>I748-J748</f>
        <v>4</v>
      </c>
      <c r="L748" s="3" t="str">
        <f>IF(K748&lt;-5,"CRÍTICO",IF(K748&lt;0,"ATENÇÃO",IF(K748&lt;=5,"OPORTUNO","MUITO BOM")))</f>
        <v>OPORTUNO</v>
      </c>
      <c r="M748" s="3">
        <v>29</v>
      </c>
      <c r="N748" s="3">
        <v>99.35</v>
      </c>
      <c r="O748" s="3">
        <v>19.852941176470591</v>
      </c>
    </row>
    <row r="749" spans="1:16" hidden="1" x14ac:dyDescent="0.25">
      <c r="A749" s="7">
        <v>46162</v>
      </c>
      <c r="B749" s="8" t="s">
        <v>50</v>
      </c>
      <c r="C749" s="9" t="s">
        <v>48</v>
      </c>
      <c r="D749" s="3">
        <v>27</v>
      </c>
      <c r="E749" s="3">
        <v>26</v>
      </c>
      <c r="F749" s="3">
        <v>18.579999999999998</v>
      </c>
      <c r="G749" s="3">
        <v>1</v>
      </c>
      <c r="H749" s="3">
        <v>0</v>
      </c>
      <c r="I749" s="3">
        <f>E749+G749+H749</f>
        <v>27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21</v>
      </c>
      <c r="K749" s="3">
        <f>I749-J749</f>
        <v>6</v>
      </c>
      <c r="L749" s="3" t="str">
        <f>IF(K749&lt;-5,"CRÍTICO",IF(K749&lt;0,"ATENÇÃO",IF(K749&lt;=5,"OPORTUNO","MUITO BOM")))</f>
        <v>MUITO BOM</v>
      </c>
      <c r="M749" s="3">
        <v>25</v>
      </c>
      <c r="N749" s="3">
        <v>99.07</v>
      </c>
      <c r="O749" s="3">
        <v>20.098039215686271</v>
      </c>
    </row>
    <row r="750" spans="1:16" hidden="1" x14ac:dyDescent="0.25">
      <c r="A750" s="7">
        <v>46162</v>
      </c>
      <c r="B750" s="8" t="s">
        <v>51</v>
      </c>
      <c r="C750" s="9" t="s">
        <v>48</v>
      </c>
      <c r="D750" s="3">
        <v>0</v>
      </c>
      <c r="E750" s="3">
        <v>0</v>
      </c>
      <c r="F750" s="3">
        <v>0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3" t="str">
        <f>IF(K750&lt;-5,"CRÍTICO",IF(K750&lt;0,"ATENÇÃO",IF(K750&lt;=5,"OPORTUNO","MUITO BOM")))</f>
        <v>OPORTUNO</v>
      </c>
      <c r="M750" s="3">
        <v>0</v>
      </c>
      <c r="N750" s="3">
        <v>98.81</v>
      </c>
      <c r="O750" s="3">
        <v>22.767857142857139</v>
      </c>
    </row>
    <row r="751" spans="1:16" hidden="1" x14ac:dyDescent="0.25">
      <c r="A751" s="7">
        <v>46162</v>
      </c>
      <c r="B751" s="8" t="s">
        <v>52</v>
      </c>
      <c r="C751" s="9" t="s">
        <v>48</v>
      </c>
      <c r="D751" s="3">
        <v>30</v>
      </c>
      <c r="E751" s="3">
        <v>28</v>
      </c>
      <c r="F751" s="3">
        <v>10.26</v>
      </c>
      <c r="G751" s="3">
        <v>2</v>
      </c>
      <c r="H751" s="3">
        <v>0</v>
      </c>
      <c r="I751" s="3">
        <f>E751+G751+H751</f>
        <v>30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21</v>
      </c>
      <c r="K751" s="3">
        <f>I751-J751</f>
        <v>9</v>
      </c>
      <c r="L751" s="3" t="str">
        <f>IF(K751&lt;-5,"CRÍTICO",IF(K751&lt;0,"ATENÇÃO",IF(K751&lt;=5,"OPORTUNO","MUITO BOM")))</f>
        <v>MUITO BOM</v>
      </c>
      <c r="M751" s="3">
        <v>28</v>
      </c>
      <c r="N751" s="3">
        <v>99.01</v>
      </c>
      <c r="O751" s="3">
        <v>17.766497461928939</v>
      </c>
    </row>
    <row r="752" spans="1:16" hidden="1" x14ac:dyDescent="0.25">
      <c r="A752" s="7">
        <v>46162</v>
      </c>
      <c r="B752" s="8" t="s">
        <v>53</v>
      </c>
      <c r="C752" s="9" t="s">
        <v>48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3" t="str">
        <f>IF(K752&lt;-5,"CRÍTICO",IF(K752&lt;0,"ATENÇÃO",IF(K752&lt;=5,"OPORTUNO","MUITO BOM")))</f>
        <v>OPORTUNO</v>
      </c>
      <c r="M752" s="3">
        <v>0</v>
      </c>
      <c r="N752" s="3">
        <v>100</v>
      </c>
      <c r="O752" s="3">
        <v>17.241379310344829</v>
      </c>
    </row>
    <row r="753" spans="1:15" hidden="1" x14ac:dyDescent="0.25">
      <c r="A753" s="7">
        <v>46162</v>
      </c>
      <c r="B753" s="8" t="s">
        <v>54</v>
      </c>
      <c r="C753" s="9" t="s">
        <v>48</v>
      </c>
      <c r="D753" s="3">
        <v>24</v>
      </c>
      <c r="E753" s="3">
        <v>24</v>
      </c>
      <c r="F753" s="3">
        <v>23.52</v>
      </c>
      <c r="G753" s="3">
        <v>1</v>
      </c>
      <c r="H753" s="3">
        <v>0</v>
      </c>
      <c r="I753" s="3">
        <f>E753+G753+H753</f>
        <v>25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21</v>
      </c>
      <c r="K753" s="3">
        <f>I753-J753</f>
        <v>4</v>
      </c>
      <c r="L753" s="3" t="str">
        <f>IF(K753&lt;-5,"CRÍTICO",IF(K753&lt;0,"ATENÇÃO",IF(K753&lt;=5,"OPORTUNO","MUITO BOM")))</f>
        <v>OPORTUNO</v>
      </c>
      <c r="M753" s="3">
        <v>22</v>
      </c>
      <c r="N753" s="3">
        <v>98.98</v>
      </c>
      <c r="O753" s="3">
        <v>19.35483870967742</v>
      </c>
    </row>
    <row r="754" spans="1:15" hidden="1" x14ac:dyDescent="0.25">
      <c r="A754" s="7">
        <v>46162</v>
      </c>
      <c r="B754" s="8" t="s">
        <v>55</v>
      </c>
      <c r="C754" s="9" t="s">
        <v>48</v>
      </c>
      <c r="D754" s="3">
        <v>32</v>
      </c>
      <c r="E754" s="3">
        <v>26</v>
      </c>
      <c r="F754" s="3">
        <v>14.11</v>
      </c>
      <c r="G754" s="3">
        <v>0</v>
      </c>
      <c r="H754" s="3">
        <v>0</v>
      </c>
      <c r="I754" s="3">
        <f>E754+G754+H754</f>
        <v>26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5</v>
      </c>
      <c r="L754" s="3" t="str">
        <f>IF(K754&lt;-5,"CRÍTICO",IF(K754&lt;0,"ATENÇÃO",IF(K754&lt;=5,"OPORTUNO","MUITO BOM")))</f>
        <v>OPORTUNO</v>
      </c>
      <c r="M754" s="3">
        <v>23</v>
      </c>
      <c r="N754" s="3">
        <v>98.94</v>
      </c>
      <c r="O754" s="3">
        <v>21.270718232044199</v>
      </c>
    </row>
    <row r="755" spans="1:15" hidden="1" x14ac:dyDescent="0.25">
      <c r="A755" s="7">
        <v>46162</v>
      </c>
      <c r="B755" s="8" t="s">
        <v>56</v>
      </c>
      <c r="C755" s="9" t="s">
        <v>48</v>
      </c>
      <c r="D755" s="3">
        <v>25</v>
      </c>
      <c r="E755" s="3">
        <v>23</v>
      </c>
      <c r="F755" s="3">
        <v>20.02</v>
      </c>
      <c r="G755" s="3">
        <v>2</v>
      </c>
      <c r="H755" s="3">
        <v>0</v>
      </c>
      <c r="I755" s="3">
        <f>E755+G755+H755</f>
        <v>25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4</v>
      </c>
      <c r="L755" s="3" t="str">
        <f>IF(K755&lt;-5,"CRÍTICO",IF(K755&lt;0,"ATENÇÃO",IF(K755&lt;=5,"OPORTUNO","MUITO BOM")))</f>
        <v>OPORTUNO</v>
      </c>
      <c r="M755" s="3">
        <v>19</v>
      </c>
      <c r="N755" s="3">
        <v>99</v>
      </c>
      <c r="O755" s="3">
        <v>22.010869565217391</v>
      </c>
    </row>
    <row r="756" spans="1:15" hidden="1" x14ac:dyDescent="0.25">
      <c r="A756" s="7">
        <v>46162</v>
      </c>
      <c r="B756" s="8" t="s">
        <v>57</v>
      </c>
      <c r="C756" s="9" t="s">
        <v>48</v>
      </c>
      <c r="D756" s="3">
        <v>16</v>
      </c>
      <c r="E756" s="3">
        <v>13</v>
      </c>
      <c r="F756" s="3">
        <v>25.44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3" t="str">
        <f>IF(K756&lt;-5,"CRÍTICO",IF(K756&lt;0,"ATENÇÃO",IF(K756&lt;=5,"OPORTUNO","MUITO BOM")))</f>
        <v>OPORTUNO</v>
      </c>
      <c r="M756" s="3">
        <v>8</v>
      </c>
      <c r="N756" s="3">
        <v>100</v>
      </c>
      <c r="O756" s="3">
        <v>25</v>
      </c>
    </row>
    <row r="757" spans="1:15" hidden="1" x14ac:dyDescent="0.25">
      <c r="A757" s="7">
        <v>46162</v>
      </c>
      <c r="B757" s="8" t="s">
        <v>58</v>
      </c>
      <c r="C757" s="9" t="s">
        <v>48</v>
      </c>
      <c r="D757" s="3">
        <v>0</v>
      </c>
      <c r="E757" s="3">
        <v>0</v>
      </c>
      <c r="F757" s="3">
        <v>0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>IF(K757&lt;-5,"CRÍTICO",IF(K757&lt;0,"ATENÇÃO",IF(K757&lt;=5,"OPORTUNO","MUITO BOM")))</f>
        <v>OPORTUNO</v>
      </c>
      <c r="M757" s="3">
        <v>0</v>
      </c>
      <c r="N757" s="3">
        <v>100</v>
      </c>
      <c r="O757" s="3">
        <v>20.183486238532112</v>
      </c>
    </row>
    <row r="758" spans="1:15" x14ac:dyDescent="0.25">
      <c r="A758" s="5">
        <v>46163</v>
      </c>
      <c r="B758" s="6" t="s">
        <v>47</v>
      </c>
      <c r="C758" s="3" t="s">
        <v>48</v>
      </c>
      <c r="D758" s="3">
        <v>31</v>
      </c>
      <c r="E758" s="3">
        <v>19</v>
      </c>
      <c r="F758" s="3">
        <v>5.55</v>
      </c>
      <c r="G758" s="3">
        <v>1</v>
      </c>
      <c r="H758" s="3">
        <v>0</v>
      </c>
      <c r="I758" s="3">
        <f>E758+G758+H758</f>
        <v>20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18</v>
      </c>
      <c r="K758" s="3">
        <f>I758-J758</f>
        <v>2</v>
      </c>
      <c r="L758" s="3" t="str">
        <f>IF(K758&lt;-5,"CRÍTICO",IF(K758&lt;0,"ATENÇÃO",IF(K758&lt;=5,"OPORTUNO","MUITO BOM")))</f>
        <v>OPORTUNO</v>
      </c>
      <c r="M758" s="3">
        <v>17</v>
      </c>
      <c r="N758" s="3">
        <v>99.18</v>
      </c>
      <c r="O758" s="3">
        <v>24.501424501424498</v>
      </c>
    </row>
    <row r="759" spans="1:15" hidden="1" x14ac:dyDescent="0.25">
      <c r="A759" s="5">
        <v>46163</v>
      </c>
      <c r="B759" s="6" t="s">
        <v>49</v>
      </c>
      <c r="C759" s="3" t="s">
        <v>48</v>
      </c>
      <c r="D759" s="3">
        <v>31</v>
      </c>
      <c r="E759" s="3">
        <v>27</v>
      </c>
      <c r="F759" s="3">
        <v>10.15</v>
      </c>
      <c r="G759" s="3">
        <v>4</v>
      </c>
      <c r="H759" s="3">
        <v>0</v>
      </c>
      <c r="I759" s="3">
        <f>E759+G759+H759</f>
        <v>31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13</v>
      </c>
      <c r="L759" s="3" t="str">
        <f>IF(K759&lt;-5,"CRÍTICO",IF(K759&lt;0,"ATENÇÃO",IF(K759&lt;=5,"OPORTUNO","MUITO BOM")))</f>
        <v>MUITO BOM</v>
      </c>
      <c r="M759" s="3">
        <v>28</v>
      </c>
      <c r="N759" s="3">
        <v>99.35</v>
      </c>
      <c r="O759" s="3">
        <v>19.852941176470591</v>
      </c>
    </row>
    <row r="760" spans="1:15" hidden="1" x14ac:dyDescent="0.25">
      <c r="A760" s="5">
        <v>46163</v>
      </c>
      <c r="B760" s="6" t="s">
        <v>50</v>
      </c>
      <c r="C760" s="3" t="s">
        <v>48</v>
      </c>
      <c r="D760" s="3">
        <v>24</v>
      </c>
      <c r="E760" s="3">
        <v>22</v>
      </c>
      <c r="F760" s="3">
        <v>18.55</v>
      </c>
      <c r="G760" s="3">
        <v>1</v>
      </c>
      <c r="H760" s="3">
        <v>0</v>
      </c>
      <c r="I760" s="3">
        <f>E760+G760+H760</f>
        <v>23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5</v>
      </c>
      <c r="L760" s="3" t="str">
        <f>IF(K760&lt;-5,"CRÍTICO",IF(K760&lt;0,"ATENÇÃO",IF(K760&lt;=5,"OPORTUNO","MUITO BOM")))</f>
        <v>OPORTUNO</v>
      </c>
      <c r="M760" s="3">
        <v>21</v>
      </c>
      <c r="N760" s="3">
        <v>99.07</v>
      </c>
      <c r="O760" s="3">
        <v>20.098039215686271</v>
      </c>
    </row>
    <row r="761" spans="1:15" hidden="1" x14ac:dyDescent="0.25">
      <c r="A761" s="5">
        <v>46163</v>
      </c>
      <c r="B761" s="6" t="s">
        <v>51</v>
      </c>
      <c r="C761" s="3" t="s">
        <v>48</v>
      </c>
      <c r="D761" s="3">
        <v>0</v>
      </c>
      <c r="E761" s="3">
        <v>0</v>
      </c>
      <c r="F761" s="3">
        <v>0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3" t="str">
        <f>IF(K761&lt;-5,"CRÍTICO",IF(K761&lt;0,"ATENÇÃO",IF(K761&lt;=5,"OPORTUNO","MUITO BOM")))</f>
        <v>OPORTUNO</v>
      </c>
      <c r="M761" s="3">
        <v>0</v>
      </c>
      <c r="N761" s="3">
        <v>98.81</v>
      </c>
      <c r="O761" s="3">
        <v>22.767857142857139</v>
      </c>
    </row>
    <row r="762" spans="1:15" hidden="1" x14ac:dyDescent="0.25">
      <c r="A762" s="5">
        <v>46163</v>
      </c>
      <c r="B762" s="6" t="s">
        <v>52</v>
      </c>
      <c r="C762" s="3" t="s">
        <v>48</v>
      </c>
      <c r="D762" s="3">
        <v>28</v>
      </c>
      <c r="E762" s="3">
        <v>23</v>
      </c>
      <c r="F762" s="3">
        <v>9.02</v>
      </c>
      <c r="G762" s="3">
        <v>3</v>
      </c>
      <c r="H762" s="3">
        <v>0</v>
      </c>
      <c r="I762" s="3">
        <f>E762+G762+H762</f>
        <v>26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18</v>
      </c>
      <c r="K762" s="3">
        <f>I762-J762</f>
        <v>8</v>
      </c>
      <c r="L762" s="3" t="str">
        <f>IF(K762&lt;-5,"CRÍTICO",IF(K762&lt;0,"ATENÇÃO",IF(K762&lt;=5,"OPORTUNO","MUITO BOM")))</f>
        <v>MUITO BOM</v>
      </c>
      <c r="M762" s="3">
        <v>25</v>
      </c>
      <c r="N762" s="3">
        <v>99.01</v>
      </c>
      <c r="O762" s="3">
        <v>17.766497461928939</v>
      </c>
    </row>
    <row r="763" spans="1:15" hidden="1" x14ac:dyDescent="0.25">
      <c r="A763" s="5">
        <v>46163</v>
      </c>
      <c r="B763" s="6" t="s">
        <v>53</v>
      </c>
      <c r="C763" s="3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3" t="str">
        <f>IF(K763&lt;-5,"CRÍTICO",IF(K763&lt;0,"ATENÇÃO",IF(K763&lt;=5,"OPORTUNO","MUITO BOM")))</f>
        <v>OPORTUNO</v>
      </c>
      <c r="M763" s="3">
        <v>0</v>
      </c>
      <c r="N763" s="3">
        <v>100</v>
      </c>
      <c r="O763" s="3">
        <v>17.241379310344829</v>
      </c>
    </row>
    <row r="764" spans="1:15" hidden="1" x14ac:dyDescent="0.25">
      <c r="A764" s="5">
        <v>46163</v>
      </c>
      <c r="B764" s="6" t="s">
        <v>54</v>
      </c>
      <c r="C764" s="3" t="s">
        <v>48</v>
      </c>
      <c r="D764" s="3">
        <v>22</v>
      </c>
      <c r="E764" s="3">
        <v>21</v>
      </c>
      <c r="F764" s="3">
        <v>19.05</v>
      </c>
      <c r="G764" s="3">
        <v>1</v>
      </c>
      <c r="H764" s="3">
        <v>0</v>
      </c>
      <c r="I764" s="3">
        <f>E764+G764+H764</f>
        <v>22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18</v>
      </c>
      <c r="K764" s="3">
        <f>I764-J764</f>
        <v>4</v>
      </c>
      <c r="L764" s="3" t="str">
        <f>IF(K764&lt;-5,"CRÍTICO",IF(K764&lt;0,"ATENÇÃO",IF(K764&lt;=5,"OPORTUNO","MUITO BOM")))</f>
        <v>OPORTUNO</v>
      </c>
      <c r="M764" s="3">
        <v>19</v>
      </c>
      <c r="N764" s="3">
        <v>98.98</v>
      </c>
      <c r="O764" s="3">
        <v>19.35483870967742</v>
      </c>
    </row>
    <row r="765" spans="1:15" hidden="1" x14ac:dyDescent="0.25">
      <c r="A765" s="5">
        <v>46163</v>
      </c>
      <c r="B765" s="6" t="s">
        <v>55</v>
      </c>
      <c r="C765" s="3" t="s">
        <v>48</v>
      </c>
      <c r="D765" s="3">
        <v>17</v>
      </c>
      <c r="E765" s="3">
        <v>14</v>
      </c>
      <c r="F765" s="3">
        <v>17.2</v>
      </c>
      <c r="G765" s="3">
        <v>0</v>
      </c>
      <c r="H765" s="3">
        <v>0</v>
      </c>
      <c r="I765" s="3">
        <f>E765+G765+H765</f>
        <v>14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-4</v>
      </c>
      <c r="L765" s="3" t="str">
        <f>IF(K765&lt;-5,"CRÍTICO",IF(K765&lt;0,"ATENÇÃO",IF(K765&lt;=5,"OPORTUNO","MUITO BOM")))</f>
        <v>ATENÇÃO</v>
      </c>
      <c r="M765" s="3">
        <v>14</v>
      </c>
      <c r="N765" s="3">
        <v>98.94</v>
      </c>
      <c r="O765" s="3">
        <v>21.270718232044199</v>
      </c>
    </row>
    <row r="766" spans="1:15" hidden="1" x14ac:dyDescent="0.25">
      <c r="A766" s="5">
        <v>46163</v>
      </c>
      <c r="B766" s="6" t="s">
        <v>56</v>
      </c>
      <c r="C766" s="3" t="s">
        <v>48</v>
      </c>
      <c r="D766" s="3">
        <v>19</v>
      </c>
      <c r="E766" s="3">
        <v>19</v>
      </c>
      <c r="F766" s="3">
        <v>24.12</v>
      </c>
      <c r="G766" s="3">
        <v>0</v>
      </c>
      <c r="H766" s="3">
        <v>0</v>
      </c>
      <c r="I766" s="3">
        <f>E766+G766+H766</f>
        <v>19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1</v>
      </c>
      <c r="L766" s="3" t="str">
        <f>IF(K766&lt;-5,"CRÍTICO",IF(K766&lt;0,"ATENÇÃO",IF(K766&lt;=5,"OPORTUNO","MUITO BOM")))</f>
        <v>OPORTUNO</v>
      </c>
      <c r="M766" s="3">
        <v>17</v>
      </c>
      <c r="N766" s="3">
        <v>99</v>
      </c>
      <c r="O766" s="3">
        <v>22.010869565217391</v>
      </c>
    </row>
    <row r="767" spans="1:15" hidden="1" x14ac:dyDescent="0.25">
      <c r="A767" s="5">
        <v>46163</v>
      </c>
      <c r="B767" s="6" t="s">
        <v>57</v>
      </c>
      <c r="C767" s="3" t="s">
        <v>48</v>
      </c>
      <c r="D767" s="3">
        <v>18</v>
      </c>
      <c r="E767" s="3">
        <v>15</v>
      </c>
      <c r="F767" s="3">
        <v>14.09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3" t="str">
        <f>IF(K767&lt;-5,"CRÍTICO",IF(K767&lt;0,"ATENÇÃO",IF(K767&lt;=5,"OPORTUNO","MUITO BOM")))</f>
        <v>OPORTUNO</v>
      </c>
      <c r="M767" s="3">
        <v>15</v>
      </c>
      <c r="N767" s="3">
        <v>100</v>
      </c>
      <c r="O767" s="3">
        <v>25</v>
      </c>
    </row>
    <row r="768" spans="1:15" hidden="1" x14ac:dyDescent="0.25">
      <c r="A768" s="5">
        <v>46163</v>
      </c>
      <c r="B768" s="6" t="s">
        <v>58</v>
      </c>
      <c r="C768" s="3" t="s">
        <v>48</v>
      </c>
      <c r="D768" s="3">
        <v>0</v>
      </c>
      <c r="E768" s="3">
        <v>0</v>
      </c>
      <c r="F768" s="3">
        <v>0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>IF(K768&lt;-5,"CRÍTICO",IF(K768&lt;0,"ATENÇÃO",IF(K768&lt;=5,"OPORTUNO","MUITO BOM")))</f>
        <v>OPORTUNO</v>
      </c>
      <c r="M768" s="3">
        <v>0</v>
      </c>
      <c r="N768" s="3">
        <v>100</v>
      </c>
      <c r="O768" s="3">
        <v>20.183486238532112</v>
      </c>
    </row>
    <row r="769" spans="1:16" x14ac:dyDescent="0.25">
      <c r="A769" s="5">
        <v>46164</v>
      </c>
      <c r="B769" s="6" t="s">
        <v>47</v>
      </c>
      <c r="C769" s="3" t="s">
        <v>48</v>
      </c>
      <c r="D769" s="3">
        <v>23</v>
      </c>
      <c r="E769" s="3">
        <v>15</v>
      </c>
      <c r="F769" s="3">
        <v>15.08</v>
      </c>
      <c r="G769" s="3">
        <v>1</v>
      </c>
      <c r="H769" s="3">
        <v>0</v>
      </c>
      <c r="I769" s="3">
        <f>E769+G769+H769</f>
        <v>16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15</v>
      </c>
      <c r="K769" s="3">
        <f>I769-J769</f>
        <v>1</v>
      </c>
      <c r="L769" s="3" t="str">
        <f>IF(K769&lt;-5,"CRÍTICO",IF(K769&lt;0,"ATENÇÃO",IF(K769&lt;=5,"OPORTUNO","MUITO BOM")))</f>
        <v>OPORTUNO</v>
      </c>
      <c r="M769" s="3">
        <v>11</v>
      </c>
      <c r="N769" s="3">
        <v>99.18</v>
      </c>
      <c r="O769" s="3">
        <v>24.501424501424498</v>
      </c>
    </row>
    <row r="770" spans="1:16" hidden="1" x14ac:dyDescent="0.25">
      <c r="A770" s="10">
        <v>46164</v>
      </c>
      <c r="B770" s="6" t="s">
        <v>49</v>
      </c>
      <c r="C770" s="3" t="s">
        <v>48</v>
      </c>
      <c r="D770" s="3">
        <v>30</v>
      </c>
      <c r="E770" s="3">
        <v>27</v>
      </c>
      <c r="F770" s="3">
        <v>9.15</v>
      </c>
      <c r="G770" s="3">
        <v>6</v>
      </c>
      <c r="H770" s="3">
        <v>0</v>
      </c>
      <c r="I770" s="3">
        <f>E770+G770+H770</f>
        <v>33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18</v>
      </c>
      <c r="L770" s="3" t="str">
        <f>IF(K770&lt;-5,"CRÍTICO",IF(K770&lt;0,"ATENÇÃO",IF(K770&lt;=5,"OPORTUNO","MUITO BOM")))</f>
        <v>MUITO BOM</v>
      </c>
      <c r="M770" s="3">
        <v>24</v>
      </c>
      <c r="N770" s="3">
        <v>99.35</v>
      </c>
      <c r="O770" s="3">
        <v>19.852941176470591</v>
      </c>
    </row>
    <row r="771" spans="1:16" hidden="1" x14ac:dyDescent="0.25">
      <c r="A771" s="10">
        <v>46164</v>
      </c>
      <c r="B771" s="6" t="s">
        <v>50</v>
      </c>
      <c r="C771" s="3" t="s">
        <v>48</v>
      </c>
      <c r="D771" s="3">
        <v>13</v>
      </c>
      <c r="E771" s="3">
        <v>12</v>
      </c>
      <c r="F771" s="3">
        <v>16.53</v>
      </c>
      <c r="G771" s="3">
        <v>0</v>
      </c>
      <c r="H771" s="3">
        <v>0</v>
      </c>
      <c r="I771" s="3">
        <f>E771+G771+H771</f>
        <v>12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-3</v>
      </c>
      <c r="L771" s="3" t="str">
        <f>IF(K771&lt;-5,"CRÍTICO",IF(K771&lt;0,"ATENÇÃO",IF(K771&lt;=5,"OPORTUNO","MUITO BOM")))</f>
        <v>ATENÇÃO</v>
      </c>
      <c r="M771" s="3">
        <v>12</v>
      </c>
      <c r="N771" s="3">
        <v>99.07</v>
      </c>
      <c r="O771" s="3">
        <v>20.098039215686271</v>
      </c>
    </row>
    <row r="772" spans="1:16" hidden="1" x14ac:dyDescent="0.25">
      <c r="A772" s="10">
        <v>46164</v>
      </c>
      <c r="B772" s="6" t="s">
        <v>51</v>
      </c>
      <c r="C772" s="3" t="s">
        <v>48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3" t="str">
        <f>IF(K772&lt;-5,"CRÍTICO",IF(K772&lt;0,"ATENÇÃO",IF(K772&lt;=5,"OPORTUNO","MUITO BOM")))</f>
        <v>OPORTUNO</v>
      </c>
      <c r="M772" s="3">
        <v>0</v>
      </c>
      <c r="N772" s="3">
        <v>98.81</v>
      </c>
      <c r="O772" s="3">
        <v>22.767857142857139</v>
      </c>
    </row>
    <row r="773" spans="1:16" hidden="1" x14ac:dyDescent="0.25">
      <c r="A773" s="10">
        <v>46164</v>
      </c>
      <c r="B773" s="6" t="s">
        <v>52</v>
      </c>
      <c r="C773" s="3" t="s">
        <v>48</v>
      </c>
      <c r="D773" s="3">
        <v>17</v>
      </c>
      <c r="E773" s="3">
        <v>14</v>
      </c>
      <c r="F773" s="3">
        <v>13.23</v>
      </c>
      <c r="G773" s="3">
        <v>1</v>
      </c>
      <c r="H773" s="3">
        <v>0</v>
      </c>
      <c r="I773" s="3">
        <f>E773+G773+H773</f>
        <v>15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15</v>
      </c>
      <c r="K773" s="3">
        <f>I773-J773</f>
        <v>0</v>
      </c>
      <c r="L773" s="3" t="str">
        <f>IF(K773&lt;-5,"CRÍTICO",IF(K773&lt;0,"ATENÇÃO",IF(K773&lt;=5,"OPORTUNO","MUITO BOM")))</f>
        <v>OPORTUNO</v>
      </c>
      <c r="M773" s="3">
        <v>13</v>
      </c>
      <c r="N773" s="3">
        <v>99.01</v>
      </c>
      <c r="O773" s="3">
        <v>17.766497461928939</v>
      </c>
    </row>
    <row r="774" spans="1:16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  <c r="P774"/>
    </row>
    <row r="775" spans="1:16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>
        <v>21</v>
      </c>
      <c r="N775">
        <v>98.73</v>
      </c>
      <c r="O775">
        <v>35.756385068762278</v>
      </c>
      <c r="P775"/>
    </row>
    <row r="776" spans="1:16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>
        <v>18</v>
      </c>
      <c r="N776">
        <v>98.32</v>
      </c>
      <c r="O776">
        <v>26.763485477178421</v>
      </c>
      <c r="P776"/>
    </row>
    <row r="777" spans="1:16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>
        <v>17</v>
      </c>
      <c r="N777">
        <v>99.19</v>
      </c>
      <c r="O777">
        <v>27.637130801687761</v>
      </c>
      <c r="P777"/>
    </row>
    <row r="778" spans="1:16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>
        <v>0</v>
      </c>
      <c r="N778">
        <v>100</v>
      </c>
      <c r="O778">
        <v>39.568345323741013</v>
      </c>
      <c r="P778"/>
    </row>
    <row r="779" spans="1:16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>
        <v>23</v>
      </c>
      <c r="N779">
        <v>98.54</v>
      </c>
      <c r="O779">
        <v>28.544776119402989</v>
      </c>
      <c r="P779"/>
    </row>
    <row r="780" spans="1:16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>
        <v>20</v>
      </c>
      <c r="N780">
        <v>100</v>
      </c>
      <c r="O780">
        <v>34.366925064599492</v>
      </c>
      <c r="P780"/>
    </row>
    <row r="781" spans="1:16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>
        <v>0</v>
      </c>
      <c r="N781">
        <v>0</v>
      </c>
      <c r="O781">
        <v>0</v>
      </c>
      <c r="P781"/>
    </row>
    <row r="782" spans="1:16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100</v>
      </c>
      <c r="O782">
        <v>29.518072289156631</v>
      </c>
      <c r="P782"/>
    </row>
    <row r="783" spans="1:16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97.45</v>
      </c>
      <c r="O783">
        <v>41.421143847487002</v>
      </c>
      <c r="P783"/>
    </row>
    <row r="784" spans="1:16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13</v>
      </c>
      <c r="N784">
        <v>96.58</v>
      </c>
      <c r="O784">
        <v>30.396475770925111</v>
      </c>
      <c r="P784"/>
    </row>
    <row r="785" spans="1:16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>
        <v>14</v>
      </c>
      <c r="N785">
        <v>100</v>
      </c>
      <c r="O785">
        <v>27.44282744282744</v>
      </c>
      <c r="P785"/>
    </row>
    <row r="786" spans="1:16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>
        <v>16</v>
      </c>
      <c r="N786">
        <v>99.49</v>
      </c>
      <c r="O786">
        <v>40.200000000000003</v>
      </c>
      <c r="P786"/>
    </row>
    <row r="787" spans="1:16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0</v>
      </c>
      <c r="N787">
        <v>100</v>
      </c>
      <c r="O787">
        <v>25</v>
      </c>
      <c r="P787"/>
    </row>
    <row r="788" spans="1:16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>
        <v>24</v>
      </c>
      <c r="N788">
        <v>100</v>
      </c>
      <c r="O788">
        <v>34.15094339622641</v>
      </c>
      <c r="P788"/>
    </row>
    <row r="789" spans="1:16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>
        <v>15</v>
      </c>
      <c r="N789">
        <v>100</v>
      </c>
      <c r="O789">
        <v>32.731376975169297</v>
      </c>
      <c r="P789"/>
    </row>
    <row r="790" spans="1:16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>
        <v>21</v>
      </c>
      <c r="N790">
        <v>99.31</v>
      </c>
      <c r="O790">
        <v>30.96234309623431</v>
      </c>
      <c r="P790"/>
    </row>
    <row r="791" spans="1:16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>
        <v>27</v>
      </c>
      <c r="N791">
        <v>96.67</v>
      </c>
      <c r="O791">
        <v>31.451612903225811</v>
      </c>
      <c r="P791"/>
    </row>
    <row r="792" spans="1:16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>
        <v>20</v>
      </c>
      <c r="N792">
        <v>100</v>
      </c>
      <c r="O792">
        <v>27.676767676767678</v>
      </c>
      <c r="P792"/>
    </row>
    <row r="793" spans="1:16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>
        <v>27</v>
      </c>
      <c r="N793">
        <v>100</v>
      </c>
      <c r="O793">
        <v>31.17723156532988</v>
      </c>
      <c r="P793"/>
    </row>
    <row r="794" spans="1:16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>
        <v>10</v>
      </c>
      <c r="N794">
        <v>100</v>
      </c>
      <c r="O794">
        <v>27.609427609427609</v>
      </c>
      <c r="P794"/>
    </row>
    <row r="795" spans="1:16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>
        <v>22</v>
      </c>
      <c r="N795">
        <v>96.4</v>
      </c>
      <c r="O795">
        <v>28.764044943820231</v>
      </c>
      <c r="P795"/>
    </row>
    <row r="796" spans="1:16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>
        <v>0</v>
      </c>
      <c r="N796">
        <v>100</v>
      </c>
      <c r="O796">
        <v>33.980582524271853</v>
      </c>
      <c r="P796"/>
    </row>
    <row r="797" spans="1:16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>
        <v>6</v>
      </c>
      <c r="N797">
        <v>97.56</v>
      </c>
      <c r="O797">
        <v>32.515337423312893</v>
      </c>
      <c r="P797"/>
    </row>
    <row r="798" spans="1:16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>
        <v>12</v>
      </c>
      <c r="N798">
        <v>97.11</v>
      </c>
      <c r="O798">
        <v>37.408312958435211</v>
      </c>
      <c r="P798"/>
    </row>
    <row r="799" spans="1:16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0</v>
      </c>
      <c r="N799">
        <v>0</v>
      </c>
      <c r="O799">
        <v>0</v>
      </c>
      <c r="P799"/>
    </row>
    <row r="800" spans="1:16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100</v>
      </c>
      <c r="O800">
        <v>30.470347648261761</v>
      </c>
      <c r="P800"/>
    </row>
    <row r="801" spans="1:16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>
        <v>16</v>
      </c>
      <c r="N801">
        <v>100</v>
      </c>
      <c r="O801">
        <v>32.371134020618562</v>
      </c>
      <c r="P801"/>
    </row>
    <row r="802" spans="1:16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>
        <v>10</v>
      </c>
      <c r="N802">
        <v>98.32</v>
      </c>
      <c r="O802">
        <v>32.318501170960189</v>
      </c>
      <c r="P802"/>
    </row>
    <row r="803" spans="1:16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>
        <v>20</v>
      </c>
      <c r="N803">
        <v>96.43</v>
      </c>
      <c r="O803">
        <v>27.015250544662312</v>
      </c>
      <c r="P803"/>
    </row>
    <row r="804" spans="1:16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>
        <v>20</v>
      </c>
      <c r="N804">
        <v>98.89</v>
      </c>
      <c r="O804">
        <v>28.021978021978018</v>
      </c>
      <c r="P804"/>
    </row>
    <row r="805" spans="1:16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>
        <v>0</v>
      </c>
      <c r="N805">
        <v>100</v>
      </c>
      <c r="O805">
        <v>33.333333333333329</v>
      </c>
      <c r="P805"/>
    </row>
    <row r="806" spans="1:16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27.43362831858407</v>
      </c>
      <c r="P806"/>
    </row>
    <row r="807" spans="1:16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98.65</v>
      </c>
      <c r="O807">
        <v>30.978260869565219</v>
      </c>
      <c r="P807"/>
    </row>
    <row r="808" spans="1:16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100</v>
      </c>
      <c r="O808">
        <v>12</v>
      </c>
      <c r="P808"/>
    </row>
    <row r="809" spans="1:16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0</v>
      </c>
      <c r="O809">
        <v>0</v>
      </c>
      <c r="P809"/>
    </row>
    <row r="810" spans="1:16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97.56</v>
      </c>
      <c r="O810">
        <v>31.067961165048541</v>
      </c>
      <c r="P810"/>
    </row>
    <row r="811" spans="1:16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0</v>
      </c>
      <c r="O811">
        <v>0</v>
      </c>
      <c r="P811"/>
    </row>
    <row r="812" spans="1:16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  <c r="P812"/>
    </row>
    <row r="813" spans="1:16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  <c r="P813"/>
    </row>
    <row r="814" spans="1:16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100</v>
      </c>
      <c r="O814">
        <v>53.846153846153847</v>
      </c>
      <c r="P814"/>
    </row>
    <row r="815" spans="1:16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44.05594405594406</v>
      </c>
      <c r="P815"/>
    </row>
    <row r="816" spans="1:16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31.872509960159359</v>
      </c>
      <c r="P816"/>
    </row>
    <row r="817" spans="1:16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>
        <v>22</v>
      </c>
      <c r="N817">
        <v>98.41</v>
      </c>
      <c r="O817">
        <v>29.22465208747515</v>
      </c>
      <c r="P817"/>
    </row>
    <row r="818" spans="1:16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>
        <v>24</v>
      </c>
      <c r="N818">
        <v>96.81</v>
      </c>
      <c r="O818">
        <v>27.980535279805348</v>
      </c>
      <c r="P818"/>
    </row>
    <row r="819" spans="1:16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>
        <v>25</v>
      </c>
      <c r="N819">
        <v>98.73</v>
      </c>
      <c r="O819">
        <v>35.756385068762278</v>
      </c>
      <c r="P819"/>
    </row>
    <row r="820" spans="1:16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>
        <v>29</v>
      </c>
      <c r="N820">
        <v>98.32</v>
      </c>
      <c r="O820">
        <v>26.763485477178421</v>
      </c>
      <c r="P820"/>
    </row>
    <row r="821" spans="1:16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>
        <v>27</v>
      </c>
      <c r="N821">
        <v>99.19</v>
      </c>
      <c r="O821">
        <v>27.637130801687761</v>
      </c>
      <c r="P821"/>
    </row>
    <row r="822" spans="1:16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>
        <v>9</v>
      </c>
      <c r="N822">
        <v>100</v>
      </c>
      <c r="O822">
        <v>39.568345323741013</v>
      </c>
      <c r="P822"/>
    </row>
    <row r="823" spans="1:16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>
        <v>26</v>
      </c>
      <c r="N823">
        <v>98.54</v>
      </c>
      <c r="O823">
        <v>28.544776119402989</v>
      </c>
      <c r="P823"/>
    </row>
    <row r="824" spans="1:16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>
        <v>27</v>
      </c>
      <c r="N824">
        <v>100</v>
      </c>
      <c r="O824">
        <v>34.366925064599492</v>
      </c>
      <c r="P824"/>
    </row>
    <row r="825" spans="1:16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>
        <v>0</v>
      </c>
      <c r="N825">
        <v>0</v>
      </c>
      <c r="O825">
        <v>0</v>
      </c>
      <c r="P825"/>
    </row>
    <row r="826" spans="1:16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>
        <v>17</v>
      </c>
      <c r="N826">
        <v>100</v>
      </c>
      <c r="O826">
        <v>29.518072289156631</v>
      </c>
      <c r="P826"/>
    </row>
    <row r="827" spans="1:16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>
        <v>38</v>
      </c>
      <c r="N827">
        <v>97.45</v>
      </c>
      <c r="O827">
        <v>41.421143847487002</v>
      </c>
      <c r="P827"/>
    </row>
    <row r="828" spans="1:16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>
        <v>25</v>
      </c>
      <c r="N828">
        <v>96.58</v>
      </c>
      <c r="O828">
        <v>30.396475770925111</v>
      </c>
      <c r="P828"/>
    </row>
    <row r="829" spans="1:16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>
        <v>25</v>
      </c>
      <c r="N829">
        <v>100</v>
      </c>
      <c r="O829">
        <v>27.44282744282744</v>
      </c>
      <c r="P829"/>
    </row>
    <row r="830" spans="1:16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>
        <v>24</v>
      </c>
      <c r="N830">
        <v>99.49</v>
      </c>
      <c r="O830">
        <v>40.200000000000003</v>
      </c>
      <c r="P830"/>
    </row>
    <row r="831" spans="1:16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0</v>
      </c>
      <c r="N831">
        <v>100</v>
      </c>
      <c r="O831">
        <v>25</v>
      </c>
      <c r="P831"/>
    </row>
    <row r="832" spans="1:16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>
        <v>34</v>
      </c>
      <c r="N832">
        <v>100</v>
      </c>
      <c r="O832">
        <v>34.15094339622641</v>
      </c>
      <c r="P832"/>
    </row>
    <row r="833" spans="1:16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>
        <v>30</v>
      </c>
      <c r="N833">
        <v>100</v>
      </c>
      <c r="O833">
        <v>32.731376975169297</v>
      </c>
      <c r="P833"/>
    </row>
    <row r="834" spans="1:16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>
        <v>27</v>
      </c>
      <c r="N834">
        <v>99.31</v>
      </c>
      <c r="O834">
        <v>30.96234309623431</v>
      </c>
      <c r="P834"/>
    </row>
    <row r="835" spans="1:16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>
        <v>28</v>
      </c>
      <c r="N835">
        <v>96.67</v>
      </c>
      <c r="O835">
        <v>31.451612903225811</v>
      </c>
      <c r="P835"/>
    </row>
    <row r="836" spans="1:16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>
        <v>25</v>
      </c>
      <c r="N836">
        <v>100</v>
      </c>
      <c r="O836">
        <v>27.676767676767678</v>
      </c>
      <c r="P836"/>
    </row>
    <row r="837" spans="1:16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>
        <v>46</v>
      </c>
      <c r="N837">
        <v>100</v>
      </c>
      <c r="O837">
        <v>31.17723156532988</v>
      </c>
      <c r="P837"/>
    </row>
    <row r="838" spans="1:16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  <c r="P838"/>
    </row>
    <row r="839" spans="1:16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>
        <v>29</v>
      </c>
      <c r="N839">
        <v>96.4</v>
      </c>
      <c r="O839">
        <v>28.764044943820231</v>
      </c>
      <c r="P839"/>
    </row>
    <row r="840" spans="1:16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>
        <v>21</v>
      </c>
      <c r="N840">
        <v>100</v>
      </c>
      <c r="O840">
        <v>33.980582524271853</v>
      </c>
      <c r="P840"/>
    </row>
    <row r="841" spans="1:16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>
        <v>6</v>
      </c>
      <c r="N841">
        <v>97.56</v>
      </c>
      <c r="O841">
        <v>32.515337423312893</v>
      </c>
      <c r="P841"/>
    </row>
    <row r="842" spans="1:16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>
        <v>15</v>
      </c>
      <c r="N842">
        <v>97.11</v>
      </c>
      <c r="O842">
        <v>37.408312958435211</v>
      </c>
      <c r="P842"/>
    </row>
    <row r="843" spans="1:16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0</v>
      </c>
      <c r="N843">
        <v>0</v>
      </c>
      <c r="O843">
        <v>0</v>
      </c>
      <c r="P843"/>
    </row>
    <row r="844" spans="1:16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>
        <v>25</v>
      </c>
      <c r="N844">
        <v>100</v>
      </c>
      <c r="O844">
        <v>30.470347648261761</v>
      </c>
      <c r="P844"/>
    </row>
    <row r="845" spans="1:16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>
        <v>28</v>
      </c>
      <c r="N845">
        <v>100</v>
      </c>
      <c r="O845">
        <v>32.371134020618562</v>
      </c>
      <c r="P845"/>
    </row>
    <row r="846" spans="1:16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>
        <v>26</v>
      </c>
      <c r="N846">
        <v>98.32</v>
      </c>
      <c r="O846">
        <v>32.318501170960189</v>
      </c>
      <c r="P846"/>
    </row>
    <row r="847" spans="1:16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>
        <v>37</v>
      </c>
      <c r="N847">
        <v>96.43</v>
      </c>
      <c r="O847">
        <v>27.015250544662312</v>
      </c>
      <c r="P847"/>
    </row>
    <row r="848" spans="1:16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>
        <v>25</v>
      </c>
      <c r="N848">
        <v>98.89</v>
      </c>
      <c r="O848">
        <v>28.021978021978018</v>
      </c>
      <c r="P848"/>
    </row>
    <row r="849" spans="1:16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>
        <v>9</v>
      </c>
      <c r="N849">
        <v>100</v>
      </c>
      <c r="O849">
        <v>33.333333333333329</v>
      </c>
      <c r="P849"/>
    </row>
    <row r="850" spans="1:16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>
        <v>0</v>
      </c>
      <c r="N850">
        <v>100</v>
      </c>
      <c r="O850">
        <v>27.43362831858407</v>
      </c>
      <c r="P850"/>
    </row>
    <row r="851" spans="1:16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>
        <v>32</v>
      </c>
      <c r="N851">
        <v>98.65</v>
      </c>
      <c r="O851">
        <v>30.978260869565219</v>
      </c>
      <c r="P851"/>
    </row>
    <row r="852" spans="1:16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>
        <v>0</v>
      </c>
      <c r="N852">
        <v>100</v>
      </c>
      <c r="O852">
        <v>12</v>
      </c>
      <c r="P852"/>
    </row>
    <row r="853" spans="1:16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0</v>
      </c>
      <c r="O853">
        <v>0</v>
      </c>
      <c r="P853"/>
    </row>
    <row r="854" spans="1:16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97.56</v>
      </c>
      <c r="O854">
        <v>31.067961165048541</v>
      </c>
      <c r="P854"/>
    </row>
    <row r="855" spans="1:16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0</v>
      </c>
      <c r="O855">
        <v>0</v>
      </c>
      <c r="P855"/>
    </row>
    <row r="856" spans="1:16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  <c r="P856"/>
    </row>
    <row r="857" spans="1:16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  <c r="P857"/>
    </row>
    <row r="858" spans="1:16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100</v>
      </c>
      <c r="O858">
        <v>53.846153846153847</v>
      </c>
      <c r="P858"/>
    </row>
    <row r="859" spans="1:16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44.05594405594406</v>
      </c>
      <c r="P859"/>
    </row>
    <row r="860" spans="1:16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>
        <v>18</v>
      </c>
      <c r="N860">
        <v>100</v>
      </c>
      <c r="O860">
        <v>31.872509960159359</v>
      </c>
      <c r="P860"/>
    </row>
    <row r="861" spans="1:16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>
        <v>27</v>
      </c>
      <c r="N861">
        <v>98.41</v>
      </c>
      <c r="O861">
        <v>29.22465208747515</v>
      </c>
      <c r="P861"/>
    </row>
    <row r="862" spans="1:16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>
        <v>17</v>
      </c>
      <c r="N862">
        <v>96.81</v>
      </c>
      <c r="O862">
        <v>27.980535279805348</v>
      </c>
      <c r="P862"/>
    </row>
    <row r="863" spans="1:16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>
        <v>30</v>
      </c>
      <c r="N863">
        <v>98.73</v>
      </c>
      <c r="O863">
        <v>35.756385068762278</v>
      </c>
      <c r="P863"/>
    </row>
    <row r="864" spans="1:16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>
        <v>33</v>
      </c>
      <c r="N864">
        <v>98.32</v>
      </c>
      <c r="O864">
        <v>26.763485477178421</v>
      </c>
      <c r="P864"/>
    </row>
    <row r="865" spans="1:16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>
        <v>34</v>
      </c>
      <c r="N865">
        <v>99.19</v>
      </c>
      <c r="O865">
        <v>27.637130801687761</v>
      </c>
      <c r="P865"/>
    </row>
    <row r="866" spans="1:16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>
        <v>8</v>
      </c>
      <c r="N866">
        <v>100</v>
      </c>
      <c r="O866">
        <v>39.568345323741013</v>
      </c>
      <c r="P866"/>
    </row>
    <row r="867" spans="1:16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>
        <v>26</v>
      </c>
      <c r="N867">
        <v>98.54</v>
      </c>
      <c r="O867">
        <v>28.544776119402989</v>
      </c>
      <c r="P867"/>
    </row>
    <row r="868" spans="1:16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>
        <v>6</v>
      </c>
      <c r="N868">
        <v>100</v>
      </c>
      <c r="O868">
        <v>34.366925064599492</v>
      </c>
      <c r="P868"/>
    </row>
    <row r="869" spans="1:16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>
        <v>0</v>
      </c>
      <c r="N869">
        <v>0</v>
      </c>
      <c r="O869">
        <v>0</v>
      </c>
      <c r="P869"/>
    </row>
    <row r="870" spans="1:16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>
        <v>20</v>
      </c>
      <c r="N870">
        <v>100</v>
      </c>
      <c r="O870">
        <v>29.518072289156631</v>
      </c>
      <c r="P870"/>
    </row>
    <row r="871" spans="1:16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>
        <v>38</v>
      </c>
      <c r="N871">
        <v>97.45</v>
      </c>
      <c r="O871">
        <v>41.421143847487002</v>
      </c>
      <c r="P871"/>
    </row>
    <row r="872" spans="1:16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>
        <v>27</v>
      </c>
      <c r="N872">
        <v>96.58</v>
      </c>
      <c r="O872">
        <v>30.396475770925111</v>
      </c>
      <c r="P872"/>
    </row>
    <row r="873" spans="1:16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>
        <v>24</v>
      </c>
      <c r="N873">
        <v>100</v>
      </c>
      <c r="O873">
        <v>27.44282744282744</v>
      </c>
      <c r="P873"/>
    </row>
    <row r="874" spans="1:16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>
        <v>27</v>
      </c>
      <c r="N874">
        <v>99.49</v>
      </c>
      <c r="O874">
        <v>40.200000000000003</v>
      </c>
      <c r="P874"/>
    </row>
    <row r="875" spans="1:16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0</v>
      </c>
      <c r="N875">
        <v>100</v>
      </c>
      <c r="O875">
        <v>25</v>
      </c>
      <c r="P875"/>
    </row>
    <row r="876" spans="1:16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>
        <v>27</v>
      </c>
      <c r="N876">
        <v>100</v>
      </c>
      <c r="O876">
        <v>34.15094339622641</v>
      </c>
      <c r="P876"/>
    </row>
    <row r="877" spans="1:16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>
        <v>15</v>
      </c>
      <c r="N877">
        <v>100</v>
      </c>
      <c r="O877">
        <v>32.731376975169297</v>
      </c>
      <c r="P877"/>
    </row>
    <row r="878" spans="1:16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>
        <v>38</v>
      </c>
      <c r="N878">
        <v>99.31</v>
      </c>
      <c r="O878">
        <v>30.96234309623431</v>
      </c>
      <c r="P878"/>
    </row>
    <row r="879" spans="1:16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>
        <v>25</v>
      </c>
      <c r="N879">
        <v>96.67</v>
      </c>
      <c r="O879">
        <v>31.451612903225811</v>
      </c>
      <c r="P879"/>
    </row>
    <row r="880" spans="1:16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>
        <v>20</v>
      </c>
      <c r="N880">
        <v>100</v>
      </c>
      <c r="O880">
        <v>27.676767676767678</v>
      </c>
      <c r="P880"/>
    </row>
    <row r="881" spans="1:16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>
        <v>49</v>
      </c>
      <c r="N881">
        <v>100</v>
      </c>
      <c r="O881">
        <v>31.17723156532988</v>
      </c>
      <c r="P881"/>
    </row>
    <row r="882" spans="1:16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>
        <v>38</v>
      </c>
      <c r="N882">
        <v>100</v>
      </c>
      <c r="O882">
        <v>27.609427609427609</v>
      </c>
      <c r="P882"/>
    </row>
    <row r="883" spans="1:16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>
        <v>28</v>
      </c>
      <c r="N883">
        <v>96.4</v>
      </c>
      <c r="O883">
        <v>28.764044943820231</v>
      </c>
      <c r="P883"/>
    </row>
    <row r="884" spans="1:16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>
        <v>26</v>
      </c>
      <c r="N884">
        <v>100</v>
      </c>
      <c r="O884">
        <v>33.980582524271853</v>
      </c>
      <c r="P884"/>
    </row>
    <row r="885" spans="1:16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>
        <v>3</v>
      </c>
      <c r="N885">
        <v>97.56</v>
      </c>
      <c r="O885">
        <v>32.515337423312893</v>
      </c>
      <c r="P885"/>
    </row>
    <row r="886" spans="1:16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>
        <v>46</v>
      </c>
      <c r="N886">
        <v>97.11</v>
      </c>
      <c r="O886">
        <v>37.408312958435211</v>
      </c>
      <c r="P886"/>
    </row>
    <row r="887" spans="1:16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0</v>
      </c>
      <c r="N887">
        <v>0</v>
      </c>
      <c r="O887">
        <v>0</v>
      </c>
      <c r="P887"/>
    </row>
    <row r="888" spans="1:16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>
        <v>37</v>
      </c>
      <c r="N888">
        <v>100</v>
      </c>
      <c r="O888">
        <v>30.470347648261761</v>
      </c>
      <c r="P888"/>
    </row>
    <row r="889" spans="1:16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>
        <v>28</v>
      </c>
      <c r="N889">
        <v>100</v>
      </c>
      <c r="O889">
        <v>32.371134020618562</v>
      </c>
      <c r="P889"/>
    </row>
    <row r="890" spans="1:16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>
        <v>26</v>
      </c>
      <c r="N890">
        <v>98.32</v>
      </c>
      <c r="O890">
        <v>32.318501170960189</v>
      </c>
      <c r="P890"/>
    </row>
    <row r="891" spans="1:16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>
        <v>13</v>
      </c>
      <c r="N891">
        <v>96.43</v>
      </c>
      <c r="O891">
        <v>27.015250544662312</v>
      </c>
      <c r="P891"/>
    </row>
    <row r="892" spans="1:16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>
        <v>19</v>
      </c>
      <c r="N892">
        <v>98.89</v>
      </c>
      <c r="O892">
        <v>28.021978021978018</v>
      </c>
      <c r="P892"/>
    </row>
    <row r="893" spans="1:16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>
        <v>8</v>
      </c>
      <c r="N893">
        <v>100</v>
      </c>
      <c r="O893">
        <v>33.333333333333329</v>
      </c>
      <c r="P893"/>
    </row>
    <row r="894" spans="1:16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>
        <v>0</v>
      </c>
      <c r="N894">
        <v>100</v>
      </c>
      <c r="O894">
        <v>27.43362831858407</v>
      </c>
      <c r="P894"/>
    </row>
    <row r="895" spans="1:16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>
        <v>45</v>
      </c>
      <c r="N895">
        <v>98.65</v>
      </c>
      <c r="O895">
        <v>30.978260869565219</v>
      </c>
      <c r="P895"/>
    </row>
    <row r="896" spans="1:16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>
        <v>0</v>
      </c>
      <c r="N896">
        <v>100</v>
      </c>
      <c r="O896">
        <v>12</v>
      </c>
      <c r="P896"/>
    </row>
    <row r="897" spans="1:16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0</v>
      </c>
      <c r="O897">
        <v>0</v>
      </c>
      <c r="P897"/>
    </row>
    <row r="898" spans="1:16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97.56</v>
      </c>
      <c r="O898">
        <v>31.067961165048541</v>
      </c>
      <c r="P898"/>
    </row>
    <row r="899" spans="1:16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0</v>
      </c>
      <c r="O899">
        <v>0</v>
      </c>
      <c r="P899"/>
    </row>
    <row r="900" spans="1:16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  <c r="P900"/>
    </row>
    <row r="901" spans="1:16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  <c r="P901"/>
    </row>
    <row r="902" spans="1:16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  <c r="P902"/>
    </row>
    <row r="903" spans="1:16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44.05594405594406</v>
      </c>
      <c r="P903"/>
    </row>
    <row r="904" spans="1:16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>
        <v>12</v>
      </c>
      <c r="N904">
        <v>100</v>
      </c>
      <c r="O904">
        <v>31.872509960159359</v>
      </c>
      <c r="P904"/>
    </row>
    <row r="905" spans="1:16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>
        <v>25</v>
      </c>
      <c r="N905">
        <v>98.41</v>
      </c>
      <c r="O905">
        <v>29.22465208747515</v>
      </c>
      <c r="P905"/>
    </row>
    <row r="906" spans="1:16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19</v>
      </c>
      <c r="N906">
        <v>96.81</v>
      </c>
      <c r="O906">
        <v>27.980535279805348</v>
      </c>
      <c r="P906"/>
    </row>
    <row r="907" spans="1:16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>
        <v>26</v>
      </c>
      <c r="N907">
        <v>98.73</v>
      </c>
      <c r="O907">
        <v>35.756385068762278</v>
      </c>
      <c r="P907"/>
    </row>
    <row r="908" spans="1:16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>
        <v>24</v>
      </c>
      <c r="N908">
        <v>98.32</v>
      </c>
      <c r="O908">
        <v>26.763485477178421</v>
      </c>
      <c r="P908"/>
    </row>
    <row r="909" spans="1:16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>
        <v>28</v>
      </c>
      <c r="N909">
        <v>99.19</v>
      </c>
      <c r="O909">
        <v>27.637130801687761</v>
      </c>
      <c r="P909"/>
    </row>
    <row r="910" spans="1:16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>
        <v>13</v>
      </c>
      <c r="N910">
        <v>100</v>
      </c>
      <c r="O910">
        <v>39.568345323741013</v>
      </c>
      <c r="P910"/>
    </row>
    <row r="911" spans="1:16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>
        <v>26</v>
      </c>
      <c r="N911">
        <v>98.54</v>
      </c>
      <c r="O911">
        <v>28.544776119402989</v>
      </c>
      <c r="P911"/>
    </row>
    <row r="912" spans="1:16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>
        <v>20</v>
      </c>
      <c r="N912">
        <v>100</v>
      </c>
      <c r="O912">
        <v>34.366925064599492</v>
      </c>
      <c r="P912"/>
    </row>
    <row r="913" spans="1:16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>
        <v>0</v>
      </c>
      <c r="N913">
        <v>0</v>
      </c>
      <c r="O913">
        <v>0</v>
      </c>
      <c r="P913"/>
    </row>
    <row r="914" spans="1:16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>
        <v>14</v>
      </c>
      <c r="N914">
        <v>100</v>
      </c>
      <c r="O914">
        <v>29.518072289156631</v>
      </c>
      <c r="P914"/>
    </row>
    <row r="915" spans="1:16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>
        <v>42</v>
      </c>
      <c r="N915">
        <v>97.45</v>
      </c>
      <c r="O915">
        <v>41.421143847487002</v>
      </c>
      <c r="P915"/>
    </row>
    <row r="916" spans="1:16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>
        <v>26</v>
      </c>
      <c r="N916">
        <v>96.58</v>
      </c>
      <c r="O916">
        <v>30.396475770925111</v>
      </c>
      <c r="P916"/>
    </row>
    <row r="917" spans="1:16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>
        <v>25</v>
      </c>
      <c r="N917">
        <v>100</v>
      </c>
      <c r="O917">
        <v>27.44282744282744</v>
      </c>
      <c r="P917"/>
    </row>
    <row r="918" spans="1:16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>
        <v>33</v>
      </c>
      <c r="N918">
        <v>99.49</v>
      </c>
      <c r="O918">
        <v>40.200000000000003</v>
      </c>
      <c r="P918"/>
    </row>
    <row r="919" spans="1:16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0</v>
      </c>
      <c r="N919">
        <v>100</v>
      </c>
      <c r="O919">
        <v>25</v>
      </c>
      <c r="P919"/>
    </row>
    <row r="920" spans="1:16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>
        <v>27</v>
      </c>
      <c r="N920">
        <v>100</v>
      </c>
      <c r="O920">
        <v>34.15094339622641</v>
      </c>
      <c r="P920"/>
    </row>
    <row r="921" spans="1:16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>
        <v>32</v>
      </c>
      <c r="N921">
        <v>100</v>
      </c>
      <c r="O921">
        <v>32.731376975169297</v>
      </c>
      <c r="P921"/>
    </row>
    <row r="922" spans="1:16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>
        <v>29</v>
      </c>
      <c r="N922">
        <v>99.31</v>
      </c>
      <c r="O922">
        <v>30.96234309623431</v>
      </c>
      <c r="P922"/>
    </row>
    <row r="923" spans="1:16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>
        <v>28</v>
      </c>
      <c r="N923">
        <v>96.67</v>
      </c>
      <c r="O923">
        <v>31.451612903225811</v>
      </c>
      <c r="P923"/>
    </row>
    <row r="924" spans="1:16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>
        <v>27</v>
      </c>
      <c r="N924">
        <v>100</v>
      </c>
      <c r="O924">
        <v>27.676767676767678</v>
      </c>
      <c r="P924"/>
    </row>
    <row r="925" spans="1:16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>
        <v>51</v>
      </c>
      <c r="N925">
        <v>100</v>
      </c>
      <c r="O925">
        <v>31.17723156532988</v>
      </c>
      <c r="P925"/>
    </row>
    <row r="926" spans="1:16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>
        <v>24</v>
      </c>
      <c r="N926">
        <v>100</v>
      </c>
      <c r="O926">
        <v>27.609427609427609</v>
      </c>
      <c r="P926"/>
    </row>
    <row r="927" spans="1:16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>
        <v>26</v>
      </c>
      <c r="N927">
        <v>96.4</v>
      </c>
      <c r="O927">
        <v>28.764044943820231</v>
      </c>
      <c r="P927"/>
    </row>
    <row r="928" spans="1:16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>
        <v>28</v>
      </c>
      <c r="N928">
        <v>100</v>
      </c>
      <c r="O928">
        <v>33.980582524271853</v>
      </c>
      <c r="P928"/>
    </row>
    <row r="929" spans="1:16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>
        <v>7</v>
      </c>
      <c r="N929">
        <v>97.56</v>
      </c>
      <c r="O929">
        <v>32.515337423312893</v>
      </c>
      <c r="P929"/>
    </row>
    <row r="930" spans="1:16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>
        <v>15</v>
      </c>
      <c r="N930">
        <v>97.11</v>
      </c>
      <c r="O930">
        <v>37.408312958435211</v>
      </c>
      <c r="P930"/>
    </row>
    <row r="931" spans="1:16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>
        <v>0</v>
      </c>
      <c r="N931">
        <v>0</v>
      </c>
      <c r="O931">
        <v>0</v>
      </c>
      <c r="P931"/>
    </row>
    <row r="932" spans="1:16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>
        <v>33</v>
      </c>
      <c r="N932">
        <v>100</v>
      </c>
      <c r="O932">
        <v>30.470347648261761</v>
      </c>
      <c r="P932"/>
    </row>
    <row r="933" spans="1:16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>
        <v>23</v>
      </c>
      <c r="N933">
        <v>100</v>
      </c>
      <c r="O933">
        <v>32.371134020618562</v>
      </c>
      <c r="P933"/>
    </row>
    <row r="934" spans="1:16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>
        <v>18</v>
      </c>
      <c r="N934">
        <v>98.32</v>
      </c>
      <c r="O934">
        <v>32.318501170960189</v>
      </c>
      <c r="P934"/>
    </row>
    <row r="935" spans="1:16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>
        <v>39</v>
      </c>
      <c r="N935">
        <v>96.43</v>
      </c>
      <c r="O935">
        <v>27.015250544662312</v>
      </c>
      <c r="P935"/>
    </row>
    <row r="936" spans="1:16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>
        <v>22</v>
      </c>
      <c r="N936">
        <v>98.89</v>
      </c>
      <c r="O936">
        <v>28.021978021978018</v>
      </c>
      <c r="P936"/>
    </row>
    <row r="937" spans="1:16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14</v>
      </c>
      <c r="N937">
        <v>100</v>
      </c>
      <c r="O937">
        <v>33.333333333333329</v>
      </c>
      <c r="P937"/>
    </row>
    <row r="938" spans="1:16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>
        <v>0</v>
      </c>
      <c r="N938">
        <v>100</v>
      </c>
      <c r="O938">
        <v>27.43362831858407</v>
      </c>
      <c r="P938"/>
    </row>
    <row r="939" spans="1:16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>
        <v>27</v>
      </c>
      <c r="N939">
        <v>98.65</v>
      </c>
      <c r="O939">
        <v>30.978260869565219</v>
      </c>
      <c r="P939"/>
    </row>
    <row r="940" spans="1:16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>
        <v>0</v>
      </c>
      <c r="N940">
        <v>100</v>
      </c>
      <c r="O940">
        <v>12</v>
      </c>
      <c r="P940"/>
    </row>
    <row r="941" spans="1:16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0</v>
      </c>
      <c r="O941">
        <v>0</v>
      </c>
      <c r="P941"/>
    </row>
    <row r="942" spans="1:16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97.56</v>
      </c>
      <c r="O942">
        <v>31.067961165048541</v>
      </c>
      <c r="P942"/>
    </row>
    <row r="943" spans="1:16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0</v>
      </c>
      <c r="O943">
        <v>0</v>
      </c>
      <c r="P943"/>
    </row>
    <row r="944" spans="1:16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  <c r="P944"/>
    </row>
    <row r="945" spans="1:16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  <c r="P945"/>
    </row>
    <row r="946" spans="1:16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100</v>
      </c>
      <c r="O946">
        <v>53.846153846153847</v>
      </c>
      <c r="P946"/>
    </row>
    <row r="947" spans="1:16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44.05594405594406</v>
      </c>
      <c r="P947"/>
    </row>
    <row r="948" spans="1:16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>
        <v>16</v>
      </c>
      <c r="N948">
        <v>100</v>
      </c>
      <c r="O948">
        <v>31.872509960159359</v>
      </c>
      <c r="P948"/>
    </row>
    <row r="949" spans="1:16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23</v>
      </c>
      <c r="N949">
        <v>98.41</v>
      </c>
      <c r="O949">
        <v>29.22465208747515</v>
      </c>
      <c r="P949"/>
    </row>
    <row r="950" spans="1:16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>
        <v>21</v>
      </c>
      <c r="N950">
        <v>96.81</v>
      </c>
      <c r="O950">
        <v>27.980535279805348</v>
      </c>
      <c r="P950"/>
    </row>
    <row r="951" spans="1:16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>
        <v>23</v>
      </c>
      <c r="N951">
        <v>98.73</v>
      </c>
      <c r="O951">
        <v>35.756385068762278</v>
      </c>
      <c r="P951"/>
    </row>
    <row r="952" spans="1:16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>
        <v>17</v>
      </c>
      <c r="N952">
        <v>98.32</v>
      </c>
      <c r="O952">
        <v>26.763485477178421</v>
      </c>
      <c r="P952"/>
    </row>
    <row r="953" spans="1:16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>
        <v>36</v>
      </c>
      <c r="N953">
        <v>99.19</v>
      </c>
      <c r="O953">
        <v>27.637130801687761</v>
      </c>
      <c r="P953"/>
    </row>
    <row r="954" spans="1:16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>
        <v>7</v>
      </c>
      <c r="N954">
        <v>100</v>
      </c>
      <c r="O954">
        <v>39.568345323741013</v>
      </c>
      <c r="P954"/>
    </row>
    <row r="955" spans="1:16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>
        <v>31</v>
      </c>
      <c r="N955">
        <v>98.54</v>
      </c>
      <c r="O955">
        <v>28.544776119402989</v>
      </c>
      <c r="P955"/>
    </row>
    <row r="956" spans="1:16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>
        <v>16</v>
      </c>
      <c r="N956">
        <v>100</v>
      </c>
      <c r="O956">
        <v>34.366925064599492</v>
      </c>
      <c r="P956"/>
    </row>
    <row r="957" spans="1:16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>
        <v>0</v>
      </c>
      <c r="N957">
        <v>0</v>
      </c>
      <c r="O957">
        <v>0</v>
      </c>
      <c r="P957"/>
    </row>
    <row r="958" spans="1:16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>
        <v>22</v>
      </c>
      <c r="N958">
        <v>100</v>
      </c>
      <c r="O958">
        <v>29.518072289156631</v>
      </c>
      <c r="P958"/>
    </row>
    <row r="959" spans="1:16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>
        <v>29</v>
      </c>
      <c r="N959">
        <v>97.45</v>
      </c>
      <c r="O959">
        <v>41.421143847487002</v>
      </c>
      <c r="P959"/>
    </row>
    <row r="960" spans="1:16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>
        <v>23</v>
      </c>
      <c r="N960">
        <v>96.58</v>
      </c>
      <c r="O960">
        <v>30.396475770925111</v>
      </c>
      <c r="P960"/>
    </row>
    <row r="961" spans="1:16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>
        <v>22</v>
      </c>
      <c r="N961">
        <v>100</v>
      </c>
      <c r="O961">
        <v>27.44282744282744</v>
      </c>
      <c r="P961"/>
    </row>
    <row r="962" spans="1:16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>
        <v>28</v>
      </c>
      <c r="N962">
        <v>99.49</v>
      </c>
      <c r="O962">
        <v>40.200000000000003</v>
      </c>
      <c r="P962"/>
    </row>
    <row r="963" spans="1:16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0</v>
      </c>
      <c r="N963">
        <v>100</v>
      </c>
      <c r="O963">
        <v>25</v>
      </c>
      <c r="P963"/>
    </row>
    <row r="964" spans="1:16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>
        <v>26</v>
      </c>
      <c r="N964">
        <v>100</v>
      </c>
      <c r="O964">
        <v>34.15094339622641</v>
      </c>
      <c r="P964"/>
    </row>
    <row r="965" spans="1:16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>
        <v>17</v>
      </c>
      <c r="N965">
        <v>100</v>
      </c>
      <c r="O965">
        <v>32.731376975169297</v>
      </c>
      <c r="P965"/>
    </row>
    <row r="966" spans="1:16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  <c r="P966"/>
    </row>
    <row r="967" spans="1:16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>
        <v>28</v>
      </c>
      <c r="N967">
        <v>96.67</v>
      </c>
      <c r="O967">
        <v>31.451612903225811</v>
      </c>
      <c r="P967"/>
    </row>
    <row r="968" spans="1:16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>
        <v>28</v>
      </c>
      <c r="N968">
        <v>100</v>
      </c>
      <c r="O968">
        <v>27.676767676767678</v>
      </c>
      <c r="P968"/>
    </row>
    <row r="969" spans="1:16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>
        <v>42</v>
      </c>
      <c r="N969">
        <v>100</v>
      </c>
      <c r="O969">
        <v>31.17723156532988</v>
      </c>
      <c r="P969"/>
    </row>
    <row r="970" spans="1:16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>
        <v>16</v>
      </c>
      <c r="N970">
        <v>100</v>
      </c>
      <c r="O970">
        <v>27.609427609427609</v>
      </c>
      <c r="P970"/>
    </row>
    <row r="971" spans="1:16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>
        <v>22</v>
      </c>
      <c r="N971">
        <v>96.4</v>
      </c>
      <c r="O971">
        <v>28.764044943820231</v>
      </c>
      <c r="P971"/>
    </row>
    <row r="972" spans="1:16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>
        <v>25</v>
      </c>
      <c r="N972">
        <v>100</v>
      </c>
      <c r="O972">
        <v>33.980582524271853</v>
      </c>
      <c r="P972"/>
    </row>
    <row r="973" spans="1:16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>
        <v>8</v>
      </c>
      <c r="N973">
        <v>97.56</v>
      </c>
      <c r="O973">
        <v>32.515337423312893</v>
      </c>
      <c r="P973"/>
    </row>
    <row r="974" spans="1:16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>
        <v>21</v>
      </c>
      <c r="N974">
        <v>97.11</v>
      </c>
      <c r="O974">
        <v>37.408312958435211</v>
      </c>
      <c r="P974"/>
    </row>
    <row r="975" spans="1:16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>
        <v>0</v>
      </c>
      <c r="N975">
        <v>0</v>
      </c>
      <c r="O975">
        <v>0</v>
      </c>
      <c r="P975"/>
    </row>
    <row r="976" spans="1:16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>
        <v>31</v>
      </c>
      <c r="N976">
        <v>100</v>
      </c>
      <c r="O976">
        <v>30.470347648261761</v>
      </c>
      <c r="P976"/>
    </row>
    <row r="977" spans="1:16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>
        <v>18</v>
      </c>
      <c r="N977">
        <v>100</v>
      </c>
      <c r="O977">
        <v>32.371134020618562</v>
      </c>
      <c r="P977"/>
    </row>
    <row r="978" spans="1:16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>
        <v>20</v>
      </c>
      <c r="N978">
        <v>98.32</v>
      </c>
      <c r="O978">
        <v>32.318501170960189</v>
      </c>
      <c r="P978"/>
    </row>
    <row r="979" spans="1:16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>
        <v>29</v>
      </c>
      <c r="N979">
        <v>96.43</v>
      </c>
      <c r="O979">
        <v>27.015250544662312</v>
      </c>
      <c r="P979"/>
    </row>
    <row r="980" spans="1:16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>
        <v>16</v>
      </c>
      <c r="N980">
        <v>98.89</v>
      </c>
      <c r="O980">
        <v>28.021978021978018</v>
      </c>
      <c r="P980"/>
    </row>
    <row r="981" spans="1:16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>
        <v>10</v>
      </c>
      <c r="N981">
        <v>100</v>
      </c>
      <c r="O981">
        <v>33.333333333333329</v>
      </c>
      <c r="P981"/>
    </row>
    <row r="982" spans="1:16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>
        <v>0</v>
      </c>
      <c r="N982">
        <v>100</v>
      </c>
      <c r="O982">
        <v>27.43362831858407</v>
      </c>
      <c r="P982"/>
    </row>
    <row r="983" spans="1:16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>
        <v>24</v>
      </c>
      <c r="N983">
        <v>98.65</v>
      </c>
      <c r="O983">
        <v>30.978260869565219</v>
      </c>
      <c r="P983"/>
    </row>
    <row r="984" spans="1:16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>
        <v>0</v>
      </c>
      <c r="N984">
        <v>100</v>
      </c>
      <c r="O984">
        <v>12</v>
      </c>
      <c r="P984"/>
    </row>
    <row r="985" spans="1:16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0</v>
      </c>
      <c r="O985">
        <v>0</v>
      </c>
      <c r="P985"/>
    </row>
    <row r="986" spans="1:16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97.56</v>
      </c>
      <c r="O986">
        <v>31.067961165048541</v>
      </c>
      <c r="P986"/>
    </row>
    <row r="987" spans="1:16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0</v>
      </c>
      <c r="O987">
        <v>0</v>
      </c>
      <c r="P987"/>
    </row>
    <row r="988" spans="1:16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  <c r="P988"/>
    </row>
    <row r="989" spans="1:16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  <c r="P989"/>
    </row>
    <row r="990" spans="1:16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100</v>
      </c>
      <c r="O990">
        <v>53.846153846153847</v>
      </c>
      <c r="P990"/>
    </row>
    <row r="991" spans="1:16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44.05594405594406</v>
      </c>
      <c r="P991"/>
    </row>
    <row r="992" spans="1:16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>
        <v>8</v>
      </c>
      <c r="N992">
        <v>100</v>
      </c>
      <c r="O992">
        <v>31.872509960159359</v>
      </c>
      <c r="P992"/>
    </row>
    <row r="993" spans="1:16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>
        <v>24</v>
      </c>
      <c r="N993">
        <v>98.41</v>
      </c>
      <c r="O993">
        <v>29.22465208747515</v>
      </c>
      <c r="P993"/>
    </row>
    <row r="994" spans="1:16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>
        <v>10</v>
      </c>
      <c r="N994">
        <v>96.81</v>
      </c>
      <c r="O994">
        <v>27.980535279805348</v>
      </c>
      <c r="P994"/>
    </row>
    <row r="995" spans="1:16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>
        <v>28</v>
      </c>
      <c r="N995">
        <v>98.73</v>
      </c>
      <c r="O995">
        <v>35.756385068762278</v>
      </c>
      <c r="P995"/>
    </row>
    <row r="996" spans="1:16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>
        <v>25</v>
      </c>
      <c r="N996">
        <v>98.32</v>
      </c>
      <c r="O996">
        <v>26.763485477178421</v>
      </c>
      <c r="P996"/>
    </row>
    <row r="997" spans="1:16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>
        <v>22</v>
      </c>
      <c r="N997">
        <v>99.19</v>
      </c>
      <c r="O997">
        <v>27.637130801687761</v>
      </c>
      <c r="P997"/>
    </row>
    <row r="998" spans="1:16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>
        <v>9</v>
      </c>
      <c r="N998">
        <v>100</v>
      </c>
      <c r="O998">
        <v>39.568345323741013</v>
      </c>
      <c r="P998"/>
    </row>
    <row r="999" spans="1:16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>
        <v>16</v>
      </c>
      <c r="N999">
        <v>98.54</v>
      </c>
      <c r="O999">
        <v>28.544776119402989</v>
      </c>
      <c r="P999"/>
    </row>
    <row r="1000" spans="1:16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100</v>
      </c>
      <c r="O1000">
        <v>34.366925064599492</v>
      </c>
      <c r="P1000"/>
    </row>
    <row r="1001" spans="1:16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>
        <v>0</v>
      </c>
      <c r="N1001">
        <v>0</v>
      </c>
      <c r="O1001">
        <v>0</v>
      </c>
      <c r="P1001"/>
    </row>
    <row r="1002" spans="1:16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>
        <v>14</v>
      </c>
      <c r="N1002">
        <v>100</v>
      </c>
      <c r="O1002">
        <v>29.518072289156631</v>
      </c>
      <c r="P1002"/>
    </row>
    <row r="1003" spans="1:16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>
        <v>27</v>
      </c>
      <c r="N1003">
        <v>97.45</v>
      </c>
      <c r="O1003">
        <v>41.421143847487002</v>
      </c>
      <c r="P1003"/>
    </row>
    <row r="1004" spans="1:16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>
        <v>15</v>
      </c>
      <c r="N1004">
        <v>96.58</v>
      </c>
      <c r="O1004">
        <v>30.396475770925111</v>
      </c>
      <c r="P1004"/>
    </row>
    <row r="1005" spans="1:16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>
        <v>22</v>
      </c>
      <c r="N1005">
        <v>100</v>
      </c>
      <c r="O1005">
        <v>27.44282744282744</v>
      </c>
      <c r="P1005"/>
    </row>
    <row r="1006" spans="1:16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>
        <v>18</v>
      </c>
      <c r="N1006">
        <v>99.49</v>
      </c>
      <c r="O1006">
        <v>40.200000000000003</v>
      </c>
      <c r="P1006"/>
    </row>
    <row r="1007" spans="1:16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0</v>
      </c>
      <c r="N1007">
        <v>100</v>
      </c>
      <c r="O1007">
        <v>25</v>
      </c>
      <c r="P1007"/>
    </row>
    <row r="1008" spans="1:16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>
        <v>17</v>
      </c>
      <c r="N1008">
        <v>100</v>
      </c>
      <c r="O1008">
        <v>34.15094339622641</v>
      </c>
      <c r="P1008"/>
    </row>
    <row r="1009" spans="1:16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>
        <v>18</v>
      </c>
      <c r="N1009">
        <v>100</v>
      </c>
      <c r="O1009">
        <v>32.731376975169297</v>
      </c>
      <c r="P1009"/>
    </row>
    <row r="1010" spans="1:16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>
        <v>24</v>
      </c>
      <c r="N1010">
        <v>99.31</v>
      </c>
      <c r="O1010">
        <v>30.96234309623431</v>
      </c>
      <c r="P1010"/>
    </row>
    <row r="1011" spans="1:16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>
        <v>22</v>
      </c>
      <c r="N1011">
        <v>96.67</v>
      </c>
      <c r="O1011">
        <v>31.451612903225811</v>
      </c>
      <c r="P1011"/>
    </row>
    <row r="1012" spans="1:16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>
        <v>23</v>
      </c>
      <c r="N1012">
        <v>100</v>
      </c>
      <c r="O1012">
        <v>27.676767676767678</v>
      </c>
      <c r="P1012"/>
    </row>
    <row r="1013" spans="1:16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>
        <v>28</v>
      </c>
      <c r="N1013">
        <v>100</v>
      </c>
      <c r="O1013">
        <v>31.17723156532988</v>
      </c>
      <c r="P1013"/>
    </row>
    <row r="1014" spans="1:16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>
        <v>21</v>
      </c>
      <c r="N1014">
        <v>100</v>
      </c>
      <c r="O1014">
        <v>27.609427609427609</v>
      </c>
      <c r="P1014"/>
    </row>
    <row r="1015" spans="1:16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>
        <v>19</v>
      </c>
      <c r="N1015">
        <v>96.4</v>
      </c>
      <c r="O1015">
        <v>28.764044943820231</v>
      </c>
      <c r="P1015"/>
    </row>
    <row r="1016" spans="1:16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>
        <v>15</v>
      </c>
      <c r="N1016">
        <v>100</v>
      </c>
      <c r="O1016">
        <v>33.980582524271853</v>
      </c>
      <c r="P1016"/>
    </row>
    <row r="1017" spans="1:16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>
        <v>8</v>
      </c>
      <c r="N1017">
        <v>97.56</v>
      </c>
      <c r="O1017">
        <v>32.515337423312893</v>
      </c>
      <c r="P1017"/>
    </row>
    <row r="1018" spans="1:16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>
        <v>18</v>
      </c>
      <c r="N1018">
        <v>97.11</v>
      </c>
      <c r="O1018">
        <v>37.408312958435211</v>
      </c>
      <c r="P1018"/>
    </row>
    <row r="1019" spans="1:16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>
        <v>0</v>
      </c>
      <c r="N1019">
        <v>0</v>
      </c>
      <c r="O1019">
        <v>0</v>
      </c>
      <c r="P1019"/>
    </row>
    <row r="1020" spans="1:16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>
        <v>26</v>
      </c>
      <c r="N1020">
        <v>100</v>
      </c>
      <c r="O1020">
        <v>30.470347648261761</v>
      </c>
      <c r="P1020"/>
    </row>
    <row r="1021" spans="1:16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>
        <v>24</v>
      </c>
      <c r="N1021">
        <v>100</v>
      </c>
      <c r="O1021">
        <v>32.371134020618562</v>
      </c>
      <c r="P1021"/>
    </row>
    <row r="1022" spans="1:16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>
        <v>16</v>
      </c>
      <c r="N1022">
        <v>98.32</v>
      </c>
      <c r="O1022">
        <v>32.318501170960189</v>
      </c>
      <c r="P1022"/>
    </row>
    <row r="1023" spans="1:16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>
        <v>29</v>
      </c>
      <c r="N1023">
        <v>96.43</v>
      </c>
      <c r="O1023">
        <v>27.015250544662312</v>
      </c>
      <c r="P1023"/>
    </row>
    <row r="1024" spans="1:16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>
        <v>12</v>
      </c>
      <c r="N1024">
        <v>98.89</v>
      </c>
      <c r="O1024">
        <v>28.021978021978018</v>
      </c>
      <c r="P1024"/>
    </row>
    <row r="1025" spans="1:16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>
        <v>8</v>
      </c>
      <c r="N1025">
        <v>100</v>
      </c>
      <c r="O1025">
        <v>33.333333333333329</v>
      </c>
      <c r="P1025"/>
    </row>
    <row r="1026" spans="1:16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>
        <v>0</v>
      </c>
      <c r="N1026">
        <v>100</v>
      </c>
      <c r="O1026">
        <v>27.43362831858407</v>
      </c>
      <c r="P1026"/>
    </row>
    <row r="1027" spans="1:16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>
        <v>24</v>
      </c>
      <c r="N1027">
        <v>98.65</v>
      </c>
      <c r="O1027">
        <v>30.978260869565219</v>
      </c>
      <c r="P1027"/>
    </row>
    <row r="1028" spans="1:16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>
        <v>0</v>
      </c>
      <c r="N1028">
        <v>100</v>
      </c>
      <c r="O1028">
        <v>12</v>
      </c>
      <c r="P1028"/>
    </row>
    <row r="1029" spans="1:16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0</v>
      </c>
      <c r="O1029">
        <v>0</v>
      </c>
      <c r="P1029"/>
    </row>
    <row r="1030" spans="1:16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  <c r="P1030"/>
    </row>
    <row r="1031" spans="1:16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>
        <v>0</v>
      </c>
      <c r="N1031">
        <v>0</v>
      </c>
      <c r="O1031">
        <v>0</v>
      </c>
      <c r="P1031"/>
    </row>
    <row r="1032" spans="1:16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  <c r="P1032"/>
    </row>
    <row r="1033" spans="1:16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  <c r="P1033"/>
    </row>
    <row r="1034" spans="1:16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100</v>
      </c>
      <c r="O1034">
        <v>53.846153846153847</v>
      </c>
      <c r="P1034"/>
    </row>
    <row r="1035" spans="1:16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44.05594405594406</v>
      </c>
      <c r="P1035"/>
    </row>
    <row r="1036" spans="1:16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>
        <v>16</v>
      </c>
      <c r="N1036">
        <v>100</v>
      </c>
      <c r="O1036">
        <v>31.872509960159359</v>
      </c>
      <c r="P1036"/>
    </row>
    <row r="1037" spans="1:16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>
        <v>24</v>
      </c>
      <c r="N1037">
        <v>98.41</v>
      </c>
      <c r="O1037">
        <v>29.22465208747515</v>
      </c>
      <c r="P1037"/>
    </row>
    <row r="1038" spans="1:16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>
        <v>16</v>
      </c>
      <c r="N1038">
        <v>96.81</v>
      </c>
      <c r="O1038">
        <v>27.980535279805348</v>
      </c>
      <c r="P1038"/>
    </row>
    <row r="1039" spans="1:16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>
        <v>23</v>
      </c>
      <c r="N1039">
        <v>98.73</v>
      </c>
      <c r="O1039">
        <v>35.756385068762278</v>
      </c>
      <c r="P1039"/>
    </row>
    <row r="1040" spans="1:16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>
        <v>20</v>
      </c>
      <c r="N1040">
        <v>98.32</v>
      </c>
      <c r="O1040">
        <v>26.763485477178421</v>
      </c>
      <c r="P1040"/>
    </row>
    <row r="1041" spans="1:16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>
        <v>24</v>
      </c>
      <c r="N1041">
        <v>99.19</v>
      </c>
      <c r="O1041">
        <v>27.637130801687761</v>
      </c>
      <c r="P1041"/>
    </row>
    <row r="1042" spans="1:16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>
        <v>5</v>
      </c>
      <c r="N1042">
        <v>100</v>
      </c>
      <c r="O1042">
        <v>39.568345323741013</v>
      </c>
      <c r="P1042"/>
    </row>
    <row r="1043" spans="1:16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>
        <v>32</v>
      </c>
      <c r="N1043">
        <v>98.54</v>
      </c>
      <c r="O1043">
        <v>28.544776119402989</v>
      </c>
      <c r="P1043"/>
    </row>
    <row r="1044" spans="1:16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>
        <v>12</v>
      </c>
      <c r="N1044">
        <v>100</v>
      </c>
      <c r="O1044">
        <v>34.366925064599492</v>
      </c>
      <c r="P1044"/>
    </row>
    <row r="1045" spans="1:16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>
        <v>0</v>
      </c>
      <c r="N1045">
        <v>0</v>
      </c>
      <c r="O1045">
        <v>0</v>
      </c>
      <c r="P1045"/>
    </row>
    <row r="1046" spans="1:16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>
        <v>15</v>
      </c>
      <c r="N1046">
        <v>100</v>
      </c>
      <c r="O1046">
        <v>29.518072289156631</v>
      </c>
      <c r="P1046"/>
    </row>
    <row r="1047" spans="1:16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>
        <v>27</v>
      </c>
      <c r="N1047">
        <v>97.45</v>
      </c>
      <c r="O1047">
        <v>41.421143847487002</v>
      </c>
      <c r="P1047"/>
    </row>
    <row r="1048" spans="1:16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>
        <v>21</v>
      </c>
      <c r="N1048">
        <v>96.58</v>
      </c>
      <c r="O1048">
        <v>30.396475770925111</v>
      </c>
      <c r="P1048"/>
    </row>
    <row r="1049" spans="1:16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>
        <v>38</v>
      </c>
      <c r="N1049">
        <v>100</v>
      </c>
      <c r="O1049">
        <v>27.44282744282744</v>
      </c>
      <c r="P1049"/>
    </row>
    <row r="1050" spans="1:16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>
        <v>18</v>
      </c>
      <c r="N1050">
        <v>99.49</v>
      </c>
      <c r="O1050">
        <v>40.200000000000003</v>
      </c>
      <c r="P1050"/>
    </row>
    <row r="1051" spans="1:16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0</v>
      </c>
      <c r="N1051">
        <v>100</v>
      </c>
      <c r="O1051">
        <v>25</v>
      </c>
      <c r="P1051"/>
    </row>
    <row r="1052" spans="1:16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>
        <v>25</v>
      </c>
      <c r="N1052">
        <v>100</v>
      </c>
      <c r="O1052">
        <v>34.15094339622641</v>
      </c>
      <c r="P1052"/>
    </row>
    <row r="1053" spans="1:16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>
        <v>17</v>
      </c>
      <c r="N1053">
        <v>100</v>
      </c>
      <c r="O1053">
        <v>32.731376975169297</v>
      </c>
      <c r="P1053"/>
    </row>
    <row r="1054" spans="1:16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>
        <v>16</v>
      </c>
      <c r="N1054">
        <v>99.31</v>
      </c>
      <c r="O1054">
        <v>30.96234309623431</v>
      </c>
      <c r="P1054"/>
    </row>
    <row r="1055" spans="1:16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>
        <v>14</v>
      </c>
      <c r="N1055">
        <v>96.67</v>
      </c>
      <c r="O1055">
        <v>31.451612903225811</v>
      </c>
      <c r="P1055"/>
    </row>
    <row r="1056" spans="1:16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>
        <v>19</v>
      </c>
      <c r="N1056">
        <v>100</v>
      </c>
      <c r="O1056">
        <v>27.676767676767678</v>
      </c>
      <c r="P1056"/>
    </row>
    <row r="1057" spans="1:16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>
        <v>33</v>
      </c>
      <c r="N1057">
        <v>100</v>
      </c>
      <c r="O1057">
        <v>31.17723156532988</v>
      </c>
      <c r="P1057"/>
    </row>
    <row r="1058" spans="1:16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>
        <v>1</v>
      </c>
      <c r="N1058">
        <v>100</v>
      </c>
      <c r="O1058">
        <v>27.609427609427609</v>
      </c>
      <c r="P1058"/>
    </row>
    <row r="1059" spans="1:16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>
        <v>21</v>
      </c>
      <c r="N1059">
        <v>96.4</v>
      </c>
      <c r="O1059">
        <v>28.764044943820231</v>
      </c>
      <c r="P1059"/>
    </row>
    <row r="1060" spans="1:16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>
        <v>14</v>
      </c>
      <c r="N1060">
        <v>100</v>
      </c>
      <c r="O1060">
        <v>33.980582524271853</v>
      </c>
      <c r="P1060"/>
    </row>
    <row r="1061" spans="1:16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>
        <v>11</v>
      </c>
      <c r="N1061">
        <v>97.56</v>
      </c>
      <c r="O1061">
        <v>32.515337423312893</v>
      </c>
      <c r="P1061"/>
    </row>
    <row r="1062" spans="1:16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>
        <v>29</v>
      </c>
      <c r="N1062">
        <v>97.11</v>
      </c>
      <c r="O1062">
        <v>37.408312958435211</v>
      </c>
      <c r="P1062"/>
    </row>
    <row r="1063" spans="1:16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>
        <v>0</v>
      </c>
      <c r="N1063">
        <v>0</v>
      </c>
      <c r="O1063">
        <v>0</v>
      </c>
      <c r="P1063"/>
    </row>
    <row r="1064" spans="1:16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>
        <v>28</v>
      </c>
      <c r="N1064">
        <v>100</v>
      </c>
      <c r="O1064">
        <v>30.470347648261761</v>
      </c>
      <c r="P1064"/>
    </row>
    <row r="1065" spans="1:16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>
        <v>22</v>
      </c>
      <c r="N1065">
        <v>100</v>
      </c>
      <c r="O1065">
        <v>32.371134020618562</v>
      </c>
      <c r="P1065"/>
    </row>
    <row r="1066" spans="1:16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>
        <v>14</v>
      </c>
      <c r="N1066">
        <v>98.32</v>
      </c>
      <c r="O1066">
        <v>32.318501170960189</v>
      </c>
      <c r="P1066"/>
    </row>
    <row r="1067" spans="1:16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>
        <v>25</v>
      </c>
      <c r="N1067">
        <v>96.43</v>
      </c>
      <c r="O1067">
        <v>27.015250544662312</v>
      </c>
      <c r="P1067"/>
    </row>
    <row r="1068" spans="1:16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>
        <v>18</v>
      </c>
      <c r="N1068">
        <v>98.89</v>
      </c>
      <c r="O1068">
        <v>28.021978021978018</v>
      </c>
      <c r="P1068"/>
    </row>
    <row r="1069" spans="1:16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>
        <v>4</v>
      </c>
      <c r="N1069">
        <v>100</v>
      </c>
      <c r="O1069">
        <v>33.333333333333329</v>
      </c>
      <c r="P1069"/>
    </row>
    <row r="1070" spans="1:16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>
        <v>0</v>
      </c>
      <c r="N1070">
        <v>100</v>
      </c>
      <c r="O1070">
        <v>27.43362831858407</v>
      </c>
      <c r="P1070"/>
    </row>
    <row r="1071" spans="1:16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>
        <v>30</v>
      </c>
      <c r="N1071">
        <v>98.65</v>
      </c>
      <c r="O1071">
        <v>30.978260869565219</v>
      </c>
      <c r="P1071"/>
    </row>
    <row r="1072" spans="1:16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>
        <v>0</v>
      </c>
      <c r="N1072">
        <v>100</v>
      </c>
      <c r="O1072">
        <v>12</v>
      </c>
      <c r="P1072"/>
    </row>
    <row r="1073" spans="1:16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0</v>
      </c>
      <c r="O1073">
        <v>0</v>
      </c>
      <c r="P1073"/>
    </row>
    <row r="1074" spans="1:16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97.56</v>
      </c>
      <c r="O1074">
        <v>31.067961165048541</v>
      </c>
      <c r="P1074"/>
    </row>
    <row r="1075" spans="1:16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0</v>
      </c>
      <c r="O1075">
        <v>0</v>
      </c>
      <c r="P1075"/>
    </row>
    <row r="1076" spans="1:16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  <c r="P1076"/>
    </row>
    <row r="1077" spans="1:16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  <c r="P1077"/>
    </row>
    <row r="1078" spans="1:16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100</v>
      </c>
      <c r="O1078">
        <v>53.846153846153847</v>
      </c>
      <c r="P1078"/>
    </row>
    <row r="1079" spans="1:16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44.05594405594406</v>
      </c>
      <c r="P1079"/>
    </row>
    <row r="1080" spans="1:16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>
        <v>13</v>
      </c>
      <c r="N1080">
        <v>100</v>
      </c>
      <c r="O1080">
        <v>31.872509960159359</v>
      </c>
      <c r="P1080"/>
    </row>
    <row r="1081" spans="1:16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>
        <v>20</v>
      </c>
      <c r="N1081">
        <v>98.41</v>
      </c>
      <c r="O1081">
        <v>29.22465208747515</v>
      </c>
      <c r="P1081"/>
    </row>
    <row r="1082" spans="1:16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>
        <v>20</v>
      </c>
      <c r="N1082">
        <v>96.81</v>
      </c>
      <c r="O1082">
        <v>27.980535279805348</v>
      </c>
      <c r="P1082"/>
    </row>
    <row r="1083" spans="1:16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>
        <v>15</v>
      </c>
      <c r="N1083">
        <v>98.73</v>
      </c>
      <c r="O1083">
        <v>35.756385068762278</v>
      </c>
      <c r="P1083"/>
    </row>
    <row r="1084" spans="1:16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>
        <v>22</v>
      </c>
      <c r="N1084">
        <v>98.32</v>
      </c>
      <c r="O1084">
        <v>26.763485477178421</v>
      </c>
      <c r="P1084"/>
    </row>
    <row r="1085" spans="1:16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>
        <v>16</v>
      </c>
      <c r="N1085">
        <v>99.19</v>
      </c>
      <c r="O1085">
        <v>27.637130801687761</v>
      </c>
      <c r="P1085"/>
    </row>
    <row r="1086" spans="1:16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>
        <v>0</v>
      </c>
      <c r="N1086">
        <v>100</v>
      </c>
      <c r="O1086">
        <v>39.568345323741013</v>
      </c>
      <c r="P1086"/>
    </row>
    <row r="1087" spans="1:16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>
        <v>25</v>
      </c>
      <c r="N1087">
        <v>98.54</v>
      </c>
      <c r="O1087">
        <v>28.544776119402989</v>
      </c>
      <c r="P1087"/>
    </row>
    <row r="1088" spans="1:16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>
        <v>23</v>
      </c>
      <c r="N1088">
        <v>100</v>
      </c>
      <c r="O1088">
        <v>34.366925064599492</v>
      </c>
      <c r="P1088"/>
    </row>
    <row r="1089" spans="1:16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>
        <v>0</v>
      </c>
      <c r="N1089">
        <v>0</v>
      </c>
      <c r="O1089">
        <v>0</v>
      </c>
      <c r="P1089"/>
    </row>
    <row r="1090" spans="1:16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>
        <v>13</v>
      </c>
      <c r="N1090">
        <v>100</v>
      </c>
      <c r="O1090">
        <v>29.518072289156631</v>
      </c>
      <c r="P1090"/>
    </row>
    <row r="1091" spans="1:16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>
        <v>28</v>
      </c>
      <c r="N1091">
        <v>97.45</v>
      </c>
      <c r="O1091">
        <v>41.421143847487002</v>
      </c>
      <c r="P1091"/>
    </row>
    <row r="1092" spans="1:16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>
        <v>17</v>
      </c>
      <c r="N1092">
        <v>96.58</v>
      </c>
      <c r="O1092">
        <v>30.396475770925111</v>
      </c>
      <c r="P1092"/>
    </row>
    <row r="1093" spans="1:16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>
        <v>26</v>
      </c>
      <c r="N1093">
        <v>100</v>
      </c>
      <c r="O1093">
        <v>27.44282744282744</v>
      </c>
      <c r="P1093"/>
    </row>
    <row r="1094" spans="1:16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  <c r="P1094"/>
    </row>
    <row r="1095" spans="1:16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0</v>
      </c>
      <c r="N1095">
        <v>100</v>
      </c>
      <c r="O1095">
        <v>25</v>
      </c>
      <c r="P1095"/>
    </row>
    <row r="1096" spans="1:16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>
        <v>32</v>
      </c>
      <c r="N1096">
        <v>100</v>
      </c>
      <c r="O1096">
        <v>34.15094339622641</v>
      </c>
      <c r="P1096"/>
    </row>
    <row r="1097" spans="1:16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>
        <v>19</v>
      </c>
      <c r="N1097">
        <v>100</v>
      </c>
      <c r="O1097">
        <v>32.731376975169297</v>
      </c>
      <c r="P1097"/>
    </row>
    <row r="1098" spans="1:16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>
        <v>25</v>
      </c>
      <c r="N1098">
        <v>99.31</v>
      </c>
      <c r="O1098">
        <v>30.96234309623431</v>
      </c>
      <c r="P1098"/>
    </row>
    <row r="1099" spans="1:16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>
        <v>5</v>
      </c>
      <c r="N1099">
        <v>96.67</v>
      </c>
      <c r="O1099">
        <v>31.451612903225811</v>
      </c>
      <c r="P1099"/>
    </row>
    <row r="1100" spans="1:16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>
        <v>29</v>
      </c>
      <c r="N1100">
        <v>100</v>
      </c>
      <c r="O1100">
        <v>27.676767676767678</v>
      </c>
      <c r="P1100"/>
    </row>
    <row r="1101" spans="1:16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>
        <v>43</v>
      </c>
      <c r="N1101">
        <v>100</v>
      </c>
      <c r="O1101">
        <v>31.17723156532988</v>
      </c>
      <c r="P1101"/>
    </row>
    <row r="1102" spans="1:16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>
        <v>18</v>
      </c>
      <c r="N1102">
        <v>100</v>
      </c>
      <c r="O1102">
        <v>27.609427609427609</v>
      </c>
      <c r="P1102"/>
    </row>
    <row r="1103" spans="1:16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>
        <v>21</v>
      </c>
      <c r="N1103">
        <v>96.4</v>
      </c>
      <c r="O1103">
        <v>28.764044943820231</v>
      </c>
      <c r="P1103"/>
    </row>
    <row r="1104" spans="1:16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>
        <v>13</v>
      </c>
      <c r="N1104">
        <v>100</v>
      </c>
      <c r="O1104">
        <v>33.980582524271853</v>
      </c>
      <c r="P1104"/>
    </row>
    <row r="1105" spans="1:16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>
        <v>5</v>
      </c>
      <c r="N1105">
        <v>97.56</v>
      </c>
      <c r="O1105">
        <v>32.515337423312893</v>
      </c>
      <c r="P1105"/>
    </row>
    <row r="1106" spans="1:16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>
        <v>18</v>
      </c>
      <c r="N1106">
        <v>97.11</v>
      </c>
      <c r="O1106">
        <v>37.408312958435211</v>
      </c>
      <c r="P1106"/>
    </row>
    <row r="1107" spans="1:16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>
        <v>0</v>
      </c>
      <c r="N1107">
        <v>0</v>
      </c>
      <c r="O1107">
        <v>0</v>
      </c>
      <c r="P1107"/>
    </row>
    <row r="1108" spans="1:16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>
        <v>20</v>
      </c>
      <c r="N1108">
        <v>100</v>
      </c>
      <c r="O1108">
        <v>30.470347648261761</v>
      </c>
      <c r="P1108"/>
    </row>
    <row r="1109" spans="1:16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>
        <v>10</v>
      </c>
      <c r="N1109">
        <v>100</v>
      </c>
      <c r="O1109">
        <v>32.371134020618562</v>
      </c>
      <c r="P1109"/>
    </row>
    <row r="1110" spans="1:16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>
        <v>18</v>
      </c>
      <c r="N1110">
        <v>98.32</v>
      </c>
      <c r="O1110">
        <v>32.318501170960189</v>
      </c>
      <c r="P1110"/>
    </row>
    <row r="1111" spans="1:16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>
        <v>18</v>
      </c>
      <c r="N1111">
        <v>96.43</v>
      </c>
      <c r="O1111">
        <v>27.015250544662312</v>
      </c>
      <c r="P1111"/>
    </row>
    <row r="1112" spans="1:16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>
        <v>12</v>
      </c>
      <c r="N1112">
        <v>98.89</v>
      </c>
      <c r="O1112">
        <v>28.021978021978018</v>
      </c>
      <c r="P1112"/>
    </row>
    <row r="1113" spans="1:16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>
        <v>3</v>
      </c>
      <c r="N1113">
        <v>100</v>
      </c>
      <c r="O1113">
        <v>33.333333333333329</v>
      </c>
      <c r="P1113"/>
    </row>
    <row r="1114" spans="1:16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>
        <v>0</v>
      </c>
      <c r="N1114">
        <v>100</v>
      </c>
      <c r="O1114">
        <v>27.43362831858407</v>
      </c>
      <c r="P1114"/>
    </row>
    <row r="1115" spans="1:16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>
        <v>29</v>
      </c>
      <c r="N1115">
        <v>98.65</v>
      </c>
      <c r="O1115">
        <v>30.978260869565219</v>
      </c>
      <c r="P1115"/>
    </row>
    <row r="1116" spans="1:16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>
        <v>0</v>
      </c>
      <c r="N1116">
        <v>100</v>
      </c>
      <c r="O1116">
        <v>12</v>
      </c>
      <c r="P1116"/>
    </row>
    <row r="1117" spans="1:16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0</v>
      </c>
      <c r="O1117">
        <v>0</v>
      </c>
      <c r="P1117"/>
    </row>
    <row r="1118" spans="1:16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97.56</v>
      </c>
      <c r="O1118">
        <v>31.067961165048541</v>
      </c>
      <c r="P1118"/>
    </row>
    <row r="1119" spans="1:16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0</v>
      </c>
      <c r="O1119">
        <v>0</v>
      </c>
      <c r="P1119"/>
    </row>
    <row r="1120" spans="1:16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  <c r="P1120"/>
    </row>
    <row r="1121" spans="1:16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  <c r="P1121"/>
    </row>
    <row r="1122" spans="1:16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100</v>
      </c>
      <c r="O1122">
        <v>53.846153846153847</v>
      </c>
      <c r="P1122"/>
    </row>
    <row r="1123" spans="1:16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44.05594405594406</v>
      </c>
      <c r="P1123"/>
    </row>
    <row r="1124" spans="1:16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>
        <v>8</v>
      </c>
      <c r="N1124">
        <v>100</v>
      </c>
      <c r="O1124">
        <v>31.872509960159359</v>
      </c>
      <c r="P1124"/>
    </row>
    <row r="1125" spans="1:16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>
        <v>19</v>
      </c>
      <c r="N1125">
        <v>98.41</v>
      </c>
      <c r="O1125">
        <v>29.22465208747515</v>
      </c>
      <c r="P1125"/>
    </row>
    <row r="1126" spans="1:16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>
        <v>17</v>
      </c>
      <c r="N1126">
        <v>96.81</v>
      </c>
      <c r="O1126">
        <v>27.980535279805348</v>
      </c>
      <c r="P1126"/>
    </row>
    <row r="1127" spans="1:16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>
        <v>20</v>
      </c>
      <c r="N1127">
        <v>98.73</v>
      </c>
      <c r="O1127">
        <v>35.756385068762278</v>
      </c>
      <c r="P1127"/>
    </row>
    <row r="1128" spans="1:16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>
        <v>19</v>
      </c>
      <c r="N1128">
        <v>98.32</v>
      </c>
      <c r="O1128">
        <v>26.763485477178421</v>
      </c>
      <c r="P1128"/>
    </row>
    <row r="1129" spans="1:16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>
        <v>4</v>
      </c>
      <c r="N1129">
        <v>99.19</v>
      </c>
      <c r="O1129">
        <v>27.637130801687761</v>
      </c>
      <c r="P1129"/>
    </row>
    <row r="1130" spans="1:16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>
        <v>7</v>
      </c>
      <c r="N1130">
        <v>100</v>
      </c>
      <c r="O1130">
        <v>39.568345323741013</v>
      </c>
      <c r="P1130"/>
    </row>
    <row r="1131" spans="1:16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>
        <v>26</v>
      </c>
      <c r="N1131">
        <v>98.54</v>
      </c>
      <c r="O1131">
        <v>28.544776119402989</v>
      </c>
      <c r="P1131"/>
    </row>
    <row r="1132" spans="1:16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>
        <v>24</v>
      </c>
      <c r="N1132">
        <v>100</v>
      </c>
      <c r="O1132">
        <v>34.366925064599492</v>
      </c>
      <c r="P1132"/>
    </row>
    <row r="1133" spans="1:16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>
        <v>0</v>
      </c>
      <c r="N1133">
        <v>0</v>
      </c>
      <c r="O1133">
        <v>0</v>
      </c>
      <c r="P1133"/>
    </row>
    <row r="1134" spans="1:16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>
        <v>14</v>
      </c>
      <c r="N1134">
        <v>100</v>
      </c>
      <c r="O1134">
        <v>29.518072289156631</v>
      </c>
      <c r="P1134"/>
    </row>
    <row r="1135" spans="1:16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>
        <v>28</v>
      </c>
      <c r="N1135">
        <v>97.45</v>
      </c>
      <c r="O1135">
        <v>41.421143847487002</v>
      </c>
      <c r="P1135"/>
    </row>
    <row r="1136" spans="1:16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>
        <v>12</v>
      </c>
      <c r="N1136">
        <v>96.58</v>
      </c>
      <c r="O1136">
        <v>30.396475770925111</v>
      </c>
      <c r="P1136"/>
    </row>
    <row r="1137" spans="1:16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>
        <v>28</v>
      </c>
      <c r="N1137">
        <v>100</v>
      </c>
      <c r="O1137">
        <v>27.44282744282744</v>
      </c>
      <c r="P1137"/>
    </row>
    <row r="1138" spans="1:16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>
        <v>27</v>
      </c>
      <c r="N1138">
        <v>99.49</v>
      </c>
      <c r="O1138">
        <v>40.200000000000003</v>
      </c>
      <c r="P1138"/>
    </row>
    <row r="1139" spans="1:16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0</v>
      </c>
      <c r="N1139">
        <v>100</v>
      </c>
      <c r="O1139">
        <v>25</v>
      </c>
      <c r="P1139"/>
    </row>
    <row r="1140" spans="1:16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>
        <v>22</v>
      </c>
      <c r="N1140">
        <v>100</v>
      </c>
      <c r="O1140">
        <v>34.15094339622641</v>
      </c>
      <c r="P1140"/>
    </row>
    <row r="1141" spans="1:16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>
        <v>10</v>
      </c>
      <c r="N1141">
        <v>100</v>
      </c>
      <c r="O1141">
        <v>32.731376975169297</v>
      </c>
      <c r="P1141"/>
    </row>
    <row r="1142" spans="1:16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>
        <v>16</v>
      </c>
      <c r="N1142">
        <v>99.31</v>
      </c>
      <c r="O1142">
        <v>30.96234309623431</v>
      </c>
      <c r="P1142"/>
    </row>
    <row r="1143" spans="1:16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>
        <v>0</v>
      </c>
      <c r="N1143">
        <v>96.67</v>
      </c>
      <c r="O1143">
        <v>31.451612903225811</v>
      </c>
      <c r="P1143"/>
    </row>
    <row r="1144" spans="1:16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>
        <v>22</v>
      </c>
      <c r="N1144">
        <v>100</v>
      </c>
      <c r="O1144">
        <v>27.676767676767678</v>
      </c>
      <c r="P1144"/>
    </row>
    <row r="1145" spans="1:16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32</v>
      </c>
      <c r="N1145">
        <v>100</v>
      </c>
      <c r="O1145">
        <v>31.17723156532988</v>
      </c>
      <c r="P1145"/>
    </row>
    <row r="1146" spans="1:16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>
        <v>16</v>
      </c>
      <c r="N1146">
        <v>100</v>
      </c>
      <c r="O1146">
        <v>27.609427609427609</v>
      </c>
      <c r="P1146"/>
    </row>
    <row r="1147" spans="1:16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>
        <v>23</v>
      </c>
      <c r="N1147">
        <v>96.4</v>
      </c>
      <c r="O1147">
        <v>28.764044943820231</v>
      </c>
      <c r="P1147"/>
    </row>
    <row r="1148" spans="1:16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>
        <v>20</v>
      </c>
      <c r="N1148">
        <v>100</v>
      </c>
      <c r="O1148">
        <v>33.980582524271853</v>
      </c>
      <c r="P1148"/>
    </row>
    <row r="1149" spans="1:16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>
        <v>3</v>
      </c>
      <c r="N1149">
        <v>97.56</v>
      </c>
      <c r="O1149">
        <v>32.515337423312893</v>
      </c>
      <c r="P1149"/>
    </row>
    <row r="1150" spans="1:16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>
        <v>24</v>
      </c>
      <c r="N1150">
        <v>97.11</v>
      </c>
      <c r="O1150">
        <v>37.408312958435211</v>
      </c>
      <c r="P1150"/>
    </row>
    <row r="1151" spans="1:16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>
        <v>0</v>
      </c>
      <c r="N1151">
        <v>0</v>
      </c>
      <c r="O1151">
        <v>0</v>
      </c>
      <c r="P1151"/>
    </row>
    <row r="1152" spans="1:16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>
        <v>28</v>
      </c>
      <c r="N1152">
        <v>100</v>
      </c>
      <c r="O1152">
        <v>30.470347648261761</v>
      </c>
      <c r="P1152"/>
    </row>
    <row r="1153" spans="1:16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>
        <v>35</v>
      </c>
      <c r="N1153">
        <v>100</v>
      </c>
      <c r="O1153">
        <v>32.371134020618562</v>
      </c>
      <c r="P1153"/>
    </row>
    <row r="1154" spans="1:16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>
        <v>31</v>
      </c>
      <c r="N1154">
        <v>98.32</v>
      </c>
      <c r="O1154">
        <v>32.318501170960189</v>
      </c>
      <c r="P1154"/>
    </row>
    <row r="1155" spans="1:16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>
        <v>37</v>
      </c>
      <c r="N1155">
        <v>96.43</v>
      </c>
      <c r="O1155">
        <v>27.015250544662312</v>
      </c>
      <c r="P1155"/>
    </row>
    <row r="1156" spans="1:16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>
        <v>14</v>
      </c>
      <c r="N1156">
        <v>98.89</v>
      </c>
      <c r="O1156">
        <v>28.021978021978018</v>
      </c>
      <c r="P1156"/>
    </row>
    <row r="1157" spans="1:16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>
        <v>1</v>
      </c>
      <c r="N1157">
        <v>100</v>
      </c>
      <c r="O1157">
        <v>33.333333333333329</v>
      </c>
      <c r="P1157"/>
    </row>
    <row r="1158" spans="1:16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  <c r="P1158"/>
    </row>
    <row r="1159" spans="1:16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>
        <v>28</v>
      </c>
      <c r="N1159">
        <v>98.65</v>
      </c>
      <c r="O1159">
        <v>30.978260869565219</v>
      </c>
      <c r="P1159"/>
    </row>
    <row r="1160" spans="1:16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>
        <v>0</v>
      </c>
      <c r="N1160">
        <v>100</v>
      </c>
      <c r="O1160">
        <v>12</v>
      </c>
      <c r="P1160"/>
    </row>
    <row r="1161" spans="1:16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0</v>
      </c>
      <c r="O1161">
        <v>0</v>
      </c>
      <c r="P1161"/>
    </row>
    <row r="1162" spans="1:16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>
        <v>21</v>
      </c>
      <c r="N1162">
        <v>97.56</v>
      </c>
      <c r="O1162">
        <v>31.067961165048541</v>
      </c>
      <c r="P1162"/>
    </row>
    <row r="1163" spans="1:16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>
        <v>0</v>
      </c>
      <c r="N1163">
        <v>0</v>
      </c>
      <c r="O1163">
        <v>0</v>
      </c>
      <c r="P1163"/>
    </row>
    <row r="1164" spans="1:16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  <c r="P1164"/>
    </row>
    <row r="1165" spans="1:16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  <c r="P1165"/>
    </row>
    <row r="1166" spans="1:16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100</v>
      </c>
      <c r="O1166">
        <v>53.846153846153847</v>
      </c>
      <c r="P1166"/>
    </row>
    <row r="1167" spans="1:16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44.05594405594406</v>
      </c>
      <c r="P1167"/>
    </row>
    <row r="1168" spans="1:16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>
        <v>15</v>
      </c>
      <c r="N1168">
        <v>100</v>
      </c>
      <c r="O1168">
        <v>31.872509960159359</v>
      </c>
      <c r="P1168"/>
    </row>
    <row r="1169" spans="1:16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>
        <v>26</v>
      </c>
      <c r="N1169">
        <v>98.41</v>
      </c>
      <c r="O1169">
        <v>29.22465208747515</v>
      </c>
      <c r="P1169"/>
    </row>
    <row r="1170" spans="1:16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>
        <v>22</v>
      </c>
      <c r="N1170">
        <v>96.81</v>
      </c>
      <c r="O1170">
        <v>27.980535279805348</v>
      </c>
      <c r="P1170"/>
    </row>
    <row r="1171" spans="1:16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>
        <v>21</v>
      </c>
      <c r="N1171">
        <v>98.73</v>
      </c>
      <c r="O1171">
        <v>35.756385068762278</v>
      </c>
      <c r="P1171"/>
    </row>
    <row r="1172" spans="1:16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>
        <v>29</v>
      </c>
      <c r="N1172">
        <v>98.32</v>
      </c>
      <c r="O1172">
        <v>26.763485477178421</v>
      </c>
      <c r="P1172"/>
    </row>
    <row r="1173" spans="1:16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>
        <v>13</v>
      </c>
      <c r="N1173">
        <v>99.19</v>
      </c>
      <c r="O1173">
        <v>27.637130801687761</v>
      </c>
      <c r="P1173"/>
    </row>
    <row r="1174" spans="1:16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>
        <v>7</v>
      </c>
      <c r="N1174">
        <v>100</v>
      </c>
      <c r="O1174">
        <v>39.568345323741013</v>
      </c>
      <c r="P1174"/>
    </row>
    <row r="1175" spans="1:16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>
        <v>22</v>
      </c>
      <c r="N1175">
        <v>98.54</v>
      </c>
      <c r="O1175">
        <v>28.544776119402989</v>
      </c>
      <c r="P1175"/>
    </row>
    <row r="1176" spans="1:16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19</v>
      </c>
      <c r="N1176">
        <v>100</v>
      </c>
      <c r="O1176">
        <v>34.366925064599492</v>
      </c>
      <c r="P1176"/>
    </row>
    <row r="1177" spans="1:16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>
        <v>0</v>
      </c>
      <c r="N1177">
        <v>0</v>
      </c>
      <c r="O1177">
        <v>0</v>
      </c>
      <c r="P1177"/>
    </row>
    <row r="1178" spans="1:16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>
        <v>8</v>
      </c>
      <c r="N1178">
        <v>100</v>
      </c>
      <c r="O1178">
        <v>29.518072289156631</v>
      </c>
      <c r="P1178"/>
    </row>
    <row r="1179" spans="1:16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>
        <v>39</v>
      </c>
      <c r="N1179">
        <v>97.45</v>
      </c>
      <c r="O1179">
        <v>41.421143847487002</v>
      </c>
      <c r="P1179"/>
    </row>
    <row r="1180" spans="1:16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>
        <v>29</v>
      </c>
      <c r="N1180">
        <v>96.58</v>
      </c>
      <c r="O1180">
        <v>30.396475770925111</v>
      </c>
      <c r="P1180"/>
    </row>
    <row r="1181" spans="1:16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>
        <v>20</v>
      </c>
      <c r="N1181">
        <v>100</v>
      </c>
      <c r="O1181">
        <v>27.44282744282744</v>
      </c>
      <c r="P1181"/>
    </row>
    <row r="1182" spans="1:16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>
        <v>20</v>
      </c>
      <c r="N1182">
        <v>99.49</v>
      </c>
      <c r="O1182">
        <v>40.200000000000003</v>
      </c>
      <c r="P1182"/>
    </row>
    <row r="1183" spans="1:16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0</v>
      </c>
      <c r="N1183">
        <v>100</v>
      </c>
      <c r="O1183">
        <v>25</v>
      </c>
      <c r="P1183"/>
    </row>
    <row r="1184" spans="1:16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>
        <v>22</v>
      </c>
      <c r="N1184">
        <v>100</v>
      </c>
      <c r="O1184">
        <v>34.15094339622641</v>
      </c>
      <c r="P1184"/>
    </row>
    <row r="1185" spans="1:16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>
        <v>28</v>
      </c>
      <c r="N1185">
        <v>100</v>
      </c>
      <c r="O1185">
        <v>32.731376975169297</v>
      </c>
      <c r="P1185"/>
    </row>
    <row r="1186" spans="1:16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>
        <v>1</v>
      </c>
      <c r="N1186">
        <v>99.31</v>
      </c>
      <c r="O1186">
        <v>30.96234309623431</v>
      </c>
      <c r="P1186"/>
    </row>
    <row r="1187" spans="1:16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>
        <v>18</v>
      </c>
      <c r="N1187">
        <v>96.67</v>
      </c>
      <c r="O1187">
        <v>31.451612903225811</v>
      </c>
      <c r="P1187"/>
    </row>
    <row r="1188" spans="1:16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>
        <v>29</v>
      </c>
      <c r="N1188">
        <v>100</v>
      </c>
      <c r="O1188">
        <v>27.676767676767678</v>
      </c>
      <c r="P1188"/>
    </row>
    <row r="1189" spans="1:16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>
        <v>48</v>
      </c>
      <c r="N1189">
        <v>100</v>
      </c>
      <c r="O1189">
        <v>31.17723156532988</v>
      </c>
      <c r="P1189"/>
    </row>
    <row r="1190" spans="1:16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>
        <v>0</v>
      </c>
      <c r="N1190">
        <v>100</v>
      </c>
      <c r="O1190">
        <v>27.609427609427609</v>
      </c>
      <c r="P1190"/>
    </row>
    <row r="1191" spans="1:16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>
        <v>22</v>
      </c>
      <c r="N1191">
        <v>96.4</v>
      </c>
      <c r="O1191">
        <v>28.764044943820231</v>
      </c>
      <c r="P1191"/>
    </row>
    <row r="1192" spans="1:16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>
        <v>19</v>
      </c>
      <c r="N1192">
        <v>100</v>
      </c>
      <c r="O1192">
        <v>33.980582524271853</v>
      </c>
      <c r="P1192"/>
    </row>
    <row r="1193" spans="1:16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>
        <v>7</v>
      </c>
      <c r="N1193">
        <v>97.56</v>
      </c>
      <c r="O1193">
        <v>32.515337423312893</v>
      </c>
      <c r="P1193"/>
    </row>
    <row r="1194" spans="1:16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>
        <v>21</v>
      </c>
      <c r="N1194">
        <v>97.11</v>
      </c>
      <c r="O1194">
        <v>37.408312958435211</v>
      </c>
      <c r="P1194"/>
    </row>
    <row r="1195" spans="1:16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>
        <v>0</v>
      </c>
      <c r="N1195">
        <v>0</v>
      </c>
      <c r="O1195">
        <v>0</v>
      </c>
      <c r="P1195"/>
    </row>
    <row r="1196" spans="1:16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>
        <v>27</v>
      </c>
      <c r="N1196">
        <v>100</v>
      </c>
      <c r="O1196">
        <v>30.470347648261761</v>
      </c>
      <c r="P1196"/>
    </row>
    <row r="1197" spans="1:16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>
        <v>29</v>
      </c>
      <c r="N1197">
        <v>100</v>
      </c>
      <c r="O1197">
        <v>32.371134020618562</v>
      </c>
      <c r="P1197"/>
    </row>
    <row r="1198" spans="1:16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>
        <v>25</v>
      </c>
      <c r="N1198">
        <v>98.32</v>
      </c>
      <c r="O1198">
        <v>32.318501170960189</v>
      </c>
      <c r="P1198"/>
    </row>
    <row r="1199" spans="1:16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>
        <v>38</v>
      </c>
      <c r="N1199">
        <v>96.43</v>
      </c>
      <c r="O1199">
        <v>27.015250544662312</v>
      </c>
      <c r="P1199"/>
    </row>
    <row r="1200" spans="1:16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>
        <v>15</v>
      </c>
      <c r="N1200">
        <v>98.89</v>
      </c>
      <c r="O1200">
        <v>28.021978021978018</v>
      </c>
      <c r="P1200"/>
    </row>
    <row r="1201" spans="1:16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>
        <v>0</v>
      </c>
      <c r="N1201">
        <v>100</v>
      </c>
      <c r="O1201">
        <v>33.333333333333329</v>
      </c>
      <c r="P1201"/>
    </row>
    <row r="1202" spans="1:16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27.43362831858407</v>
      </c>
      <c r="P1202"/>
    </row>
    <row r="1203" spans="1:16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>
        <v>40</v>
      </c>
      <c r="N1203">
        <v>98.65</v>
      </c>
      <c r="O1203">
        <v>30.978260869565219</v>
      </c>
      <c r="P1203"/>
    </row>
    <row r="1204" spans="1:16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>
        <v>0</v>
      </c>
      <c r="N1204">
        <v>100</v>
      </c>
      <c r="O1204">
        <v>12</v>
      </c>
      <c r="P1204"/>
    </row>
    <row r="1205" spans="1:16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>
        <v>0</v>
      </c>
      <c r="N1205">
        <v>0</v>
      </c>
      <c r="O1205">
        <v>0</v>
      </c>
      <c r="P1205"/>
    </row>
    <row r="1206" spans="1:16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97.56</v>
      </c>
      <c r="O1206">
        <v>31.067961165048541</v>
      </c>
      <c r="P1206"/>
    </row>
    <row r="1207" spans="1:16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0</v>
      </c>
      <c r="O1207">
        <v>0</v>
      </c>
      <c r="P1207"/>
    </row>
    <row r="1208" spans="1:16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  <c r="P1208"/>
    </row>
    <row r="1209" spans="1:16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  <c r="P1209"/>
    </row>
    <row r="1210" spans="1:16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100</v>
      </c>
      <c r="O1210">
        <v>53.846153846153847</v>
      </c>
      <c r="P1210"/>
    </row>
    <row r="1211" spans="1:16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44.05594405594406</v>
      </c>
      <c r="P1211"/>
    </row>
    <row r="1212" spans="1:16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>
        <v>15</v>
      </c>
      <c r="N1212">
        <v>100</v>
      </c>
      <c r="O1212">
        <v>31.872509960159359</v>
      </c>
      <c r="P1212"/>
    </row>
    <row r="1213" spans="1:16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>
        <v>31</v>
      </c>
      <c r="N1213">
        <v>98.41</v>
      </c>
      <c r="O1213">
        <v>29.22465208747515</v>
      </c>
      <c r="P1213"/>
    </row>
    <row r="1214" spans="1:16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>
        <v>22</v>
      </c>
      <c r="N1214">
        <v>96.81</v>
      </c>
      <c r="O1214">
        <v>27.980535279805348</v>
      </c>
      <c r="P1214"/>
    </row>
    <row r="1215" spans="1:16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>
        <v>17</v>
      </c>
      <c r="N1215">
        <v>98.73</v>
      </c>
      <c r="O1215">
        <v>35.756385068762278</v>
      </c>
      <c r="P1215"/>
    </row>
    <row r="1216" spans="1:16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>
        <v>22</v>
      </c>
      <c r="N1216">
        <v>98.32</v>
      </c>
      <c r="O1216">
        <v>26.763485477178421</v>
      </c>
      <c r="P1216"/>
    </row>
    <row r="1217" spans="1:16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>
        <v>28</v>
      </c>
      <c r="N1217">
        <v>99.19</v>
      </c>
      <c r="O1217">
        <v>27.637130801687761</v>
      </c>
      <c r="P1217"/>
    </row>
    <row r="1218" spans="1:16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>
        <v>1</v>
      </c>
      <c r="N1218">
        <v>100</v>
      </c>
      <c r="O1218">
        <v>39.568345323741013</v>
      </c>
      <c r="P1218"/>
    </row>
    <row r="1219" spans="1:16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>
        <v>24</v>
      </c>
      <c r="N1219">
        <v>98.54</v>
      </c>
      <c r="O1219">
        <v>28.544776119402989</v>
      </c>
      <c r="P1219"/>
    </row>
    <row r="1220" spans="1:16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>
        <v>13</v>
      </c>
      <c r="N1220">
        <v>100</v>
      </c>
      <c r="O1220">
        <v>34.366925064599492</v>
      </c>
      <c r="P1220"/>
    </row>
    <row r="1221" spans="1:16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>
        <v>0</v>
      </c>
      <c r="N1221">
        <v>0</v>
      </c>
      <c r="O1221">
        <v>0</v>
      </c>
      <c r="P1221"/>
    </row>
    <row r="1222" spans="1:16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  <c r="P1222"/>
    </row>
    <row r="1223" spans="1:16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>
        <v>25</v>
      </c>
      <c r="N1223">
        <v>97.45</v>
      </c>
      <c r="O1223">
        <v>41.421143847487002</v>
      </c>
      <c r="P1223"/>
    </row>
    <row r="1224" spans="1:16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>
        <v>23</v>
      </c>
      <c r="N1224">
        <v>96.58</v>
      </c>
      <c r="O1224">
        <v>30.396475770925111</v>
      </c>
      <c r="P1224"/>
    </row>
    <row r="1225" spans="1:16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>
        <v>14</v>
      </c>
      <c r="N1225">
        <v>100</v>
      </c>
      <c r="O1225">
        <v>27.44282744282744</v>
      </c>
      <c r="P1225"/>
    </row>
    <row r="1226" spans="1:16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>
        <v>19</v>
      </c>
      <c r="N1226">
        <v>99.49</v>
      </c>
      <c r="O1226">
        <v>40.200000000000003</v>
      </c>
      <c r="P1226"/>
    </row>
    <row r="1227" spans="1:16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0</v>
      </c>
      <c r="N1227">
        <v>100</v>
      </c>
      <c r="O1227">
        <v>25</v>
      </c>
      <c r="P1227"/>
    </row>
    <row r="1228" spans="1:16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>
        <v>25</v>
      </c>
      <c r="N1228">
        <v>100</v>
      </c>
      <c r="O1228">
        <v>34.15094339622641</v>
      </c>
      <c r="P1228"/>
    </row>
    <row r="1229" spans="1:16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>
        <v>17</v>
      </c>
      <c r="N1229">
        <v>100</v>
      </c>
      <c r="O1229">
        <v>32.731376975169297</v>
      </c>
      <c r="P1229"/>
    </row>
    <row r="1230" spans="1:16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>
        <v>23</v>
      </c>
      <c r="N1230">
        <v>99.31</v>
      </c>
      <c r="O1230">
        <v>30.96234309623431</v>
      </c>
      <c r="P1230"/>
    </row>
    <row r="1231" spans="1:16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>
        <v>19</v>
      </c>
      <c r="N1231">
        <v>96.67</v>
      </c>
      <c r="O1231">
        <v>31.451612903225811</v>
      </c>
      <c r="P1231"/>
    </row>
    <row r="1232" spans="1:16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>
        <v>19</v>
      </c>
      <c r="N1232">
        <v>100</v>
      </c>
      <c r="O1232">
        <v>27.676767676767678</v>
      </c>
      <c r="P1232"/>
    </row>
    <row r="1233" spans="1:16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>
        <v>32</v>
      </c>
      <c r="N1233">
        <v>100</v>
      </c>
      <c r="O1233">
        <v>31.17723156532988</v>
      </c>
      <c r="P1233"/>
    </row>
    <row r="1234" spans="1:16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>
        <v>17</v>
      </c>
      <c r="N1234">
        <v>100</v>
      </c>
      <c r="O1234">
        <v>27.609427609427609</v>
      </c>
      <c r="P1234"/>
    </row>
    <row r="1235" spans="1:16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>
        <v>19</v>
      </c>
      <c r="N1235">
        <v>96.4</v>
      </c>
      <c r="O1235">
        <v>28.764044943820231</v>
      </c>
      <c r="P1235"/>
    </row>
    <row r="1236" spans="1:16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>
        <v>19</v>
      </c>
      <c r="N1236">
        <v>100</v>
      </c>
      <c r="O1236">
        <v>33.980582524271853</v>
      </c>
      <c r="P1236"/>
    </row>
    <row r="1237" spans="1:16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>
        <v>15</v>
      </c>
      <c r="N1237">
        <v>97.56</v>
      </c>
      <c r="O1237">
        <v>32.515337423312893</v>
      </c>
      <c r="P1237"/>
    </row>
    <row r="1238" spans="1:16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>
        <v>21</v>
      </c>
      <c r="N1238">
        <v>97.11</v>
      </c>
      <c r="O1238">
        <v>37.408312958435211</v>
      </c>
      <c r="P1238"/>
    </row>
    <row r="1239" spans="1:16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>
        <v>0</v>
      </c>
      <c r="N1239">
        <v>0</v>
      </c>
      <c r="O1239">
        <v>0</v>
      </c>
      <c r="P1239"/>
    </row>
    <row r="1240" spans="1:16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>
        <v>23</v>
      </c>
      <c r="N1240">
        <v>100</v>
      </c>
      <c r="O1240">
        <v>30.470347648261761</v>
      </c>
      <c r="P1240"/>
    </row>
    <row r="1241" spans="1:16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>
        <v>23</v>
      </c>
      <c r="N1241">
        <v>100</v>
      </c>
      <c r="O1241">
        <v>32.371134020618562</v>
      </c>
      <c r="P1241"/>
    </row>
    <row r="1242" spans="1:16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>
        <v>20</v>
      </c>
      <c r="N1242">
        <v>98.32</v>
      </c>
      <c r="O1242">
        <v>32.318501170960189</v>
      </c>
      <c r="P1242"/>
    </row>
    <row r="1243" spans="1:16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>
        <v>26</v>
      </c>
      <c r="N1243">
        <v>96.43</v>
      </c>
      <c r="O1243">
        <v>27.015250544662312</v>
      </c>
      <c r="P1243"/>
    </row>
    <row r="1244" spans="1:16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>
        <v>20</v>
      </c>
      <c r="N1244">
        <v>98.89</v>
      </c>
      <c r="O1244">
        <v>28.021978021978018</v>
      </c>
      <c r="P1244"/>
    </row>
    <row r="1245" spans="1:16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>
        <v>2</v>
      </c>
      <c r="N1245">
        <v>100</v>
      </c>
      <c r="O1245">
        <v>33.333333333333329</v>
      </c>
      <c r="P1245"/>
    </row>
    <row r="1246" spans="1:16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>
        <v>0</v>
      </c>
      <c r="N1246">
        <v>100</v>
      </c>
      <c r="O1246">
        <v>27.43362831858407</v>
      </c>
      <c r="P1246"/>
    </row>
    <row r="1247" spans="1:16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>
        <v>24</v>
      </c>
      <c r="N1247">
        <v>98.65</v>
      </c>
      <c r="O1247">
        <v>30.978260869565219</v>
      </c>
      <c r="P1247"/>
    </row>
    <row r="1248" spans="1:16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>
        <v>1</v>
      </c>
      <c r="N1248">
        <v>100</v>
      </c>
      <c r="O1248">
        <v>12</v>
      </c>
      <c r="P1248"/>
    </row>
    <row r="1249" spans="1:16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>
        <v>0</v>
      </c>
      <c r="N1249">
        <v>0</v>
      </c>
      <c r="O1249">
        <v>0</v>
      </c>
      <c r="P1249"/>
    </row>
    <row r="1250" spans="1:16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97.56</v>
      </c>
      <c r="O1250">
        <v>31.067961165048541</v>
      </c>
      <c r="P1250"/>
    </row>
    <row r="1251" spans="1:16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0</v>
      </c>
      <c r="O1251">
        <v>0</v>
      </c>
      <c r="P1251"/>
    </row>
    <row r="1252" spans="1:16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  <c r="P1252"/>
    </row>
    <row r="1253" spans="1:16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  <c r="P1253"/>
    </row>
    <row r="1254" spans="1:16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100</v>
      </c>
      <c r="O1254">
        <v>53.846153846153847</v>
      </c>
      <c r="P1254"/>
    </row>
    <row r="1255" spans="1:16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>
        <v>27</v>
      </c>
      <c r="N1255">
        <v>100</v>
      </c>
      <c r="O1255">
        <v>44.05594405594406</v>
      </c>
      <c r="P1255"/>
    </row>
    <row r="1256" spans="1:16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>
        <v>11</v>
      </c>
      <c r="N1256">
        <v>100</v>
      </c>
      <c r="O1256">
        <v>31.872509960159359</v>
      </c>
      <c r="P1256"/>
    </row>
    <row r="1257" spans="1:16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>
        <v>21</v>
      </c>
      <c r="N1257">
        <v>98.41</v>
      </c>
      <c r="O1257">
        <v>29.22465208747515</v>
      </c>
      <c r="P1257"/>
    </row>
    <row r="1258" spans="1:16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>
        <v>17</v>
      </c>
      <c r="N1258">
        <v>96.81</v>
      </c>
      <c r="O1258">
        <v>27.980535279805348</v>
      </c>
      <c r="P1258"/>
    </row>
    <row r="1259" spans="1:16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>
        <v>22</v>
      </c>
      <c r="N1259">
        <v>98.73</v>
      </c>
      <c r="O1259">
        <v>35.756385068762278</v>
      </c>
      <c r="P1259"/>
    </row>
    <row r="1260" spans="1:16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>
        <v>15</v>
      </c>
      <c r="N1260">
        <v>98.32</v>
      </c>
      <c r="O1260">
        <v>26.763485477178421</v>
      </c>
      <c r="P1260"/>
    </row>
    <row r="1261" spans="1:16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>
        <v>29</v>
      </c>
      <c r="N1261">
        <v>99.19</v>
      </c>
      <c r="O1261">
        <v>27.637130801687761</v>
      </c>
      <c r="P1261"/>
    </row>
    <row r="1262" spans="1:16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>
        <v>5</v>
      </c>
      <c r="N1262">
        <v>100</v>
      </c>
      <c r="O1262">
        <v>39.568345323741013</v>
      </c>
      <c r="P1262"/>
    </row>
    <row r="1263" spans="1:16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>
        <v>22</v>
      </c>
      <c r="N1263">
        <v>98.54</v>
      </c>
      <c r="O1263">
        <v>28.544776119402989</v>
      </c>
      <c r="P1263"/>
    </row>
    <row r="1264" spans="1:16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>
        <v>19</v>
      </c>
      <c r="N1264">
        <v>100</v>
      </c>
      <c r="O1264">
        <v>34.366925064599492</v>
      </c>
      <c r="P1264"/>
    </row>
    <row r="1265" spans="1:16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>
        <v>0</v>
      </c>
      <c r="N1265">
        <v>0</v>
      </c>
      <c r="O1265">
        <v>0</v>
      </c>
      <c r="P1265"/>
    </row>
    <row r="1266" spans="1:16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>
        <v>12</v>
      </c>
      <c r="N1266">
        <v>100</v>
      </c>
      <c r="O1266">
        <v>29.518072289156631</v>
      </c>
      <c r="P1266"/>
    </row>
    <row r="1267" spans="1:16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>
        <v>9</v>
      </c>
      <c r="N1267">
        <v>97.45</v>
      </c>
      <c r="O1267">
        <v>41.421143847487002</v>
      </c>
      <c r="P1267"/>
    </row>
    <row r="1268" spans="1:16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>
        <v>23</v>
      </c>
      <c r="N1268">
        <v>96.58</v>
      </c>
      <c r="O1268">
        <v>30.396475770925111</v>
      </c>
      <c r="P1268"/>
    </row>
    <row r="1269" spans="1:16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>
        <v>23</v>
      </c>
      <c r="N1269">
        <v>100</v>
      </c>
      <c r="O1269">
        <v>27.44282744282744</v>
      </c>
      <c r="P1269"/>
    </row>
    <row r="1270" spans="1:16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>
        <v>25</v>
      </c>
      <c r="N1270">
        <v>99.49</v>
      </c>
      <c r="O1270">
        <v>40.200000000000003</v>
      </c>
      <c r="P1270"/>
    </row>
    <row r="1271" spans="1:16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0</v>
      </c>
      <c r="N1271">
        <v>100</v>
      </c>
      <c r="O1271">
        <v>25</v>
      </c>
      <c r="P1271"/>
    </row>
    <row r="1272" spans="1:16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>
        <v>22</v>
      </c>
      <c r="N1272">
        <v>100</v>
      </c>
      <c r="O1272">
        <v>34.15094339622641</v>
      </c>
      <c r="P1272"/>
    </row>
    <row r="1273" spans="1:16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>
        <v>18</v>
      </c>
      <c r="N1273">
        <v>100</v>
      </c>
      <c r="O1273">
        <v>32.731376975169297</v>
      </c>
      <c r="P1273"/>
    </row>
    <row r="1274" spans="1:16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>
        <v>15</v>
      </c>
      <c r="N1274">
        <v>99.31</v>
      </c>
      <c r="O1274">
        <v>30.96234309623431</v>
      </c>
      <c r="P1274"/>
    </row>
    <row r="1275" spans="1:16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16</v>
      </c>
      <c r="N1275">
        <v>96.67</v>
      </c>
      <c r="O1275">
        <v>31.451612903225811</v>
      </c>
      <c r="P1275"/>
    </row>
    <row r="1276" spans="1:16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>
        <v>18</v>
      </c>
      <c r="N1276">
        <v>100</v>
      </c>
      <c r="O1276">
        <v>27.676767676767678</v>
      </c>
      <c r="P1276"/>
    </row>
    <row r="1277" spans="1:16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>
        <v>30</v>
      </c>
      <c r="N1277">
        <v>100</v>
      </c>
      <c r="O1277">
        <v>31.17723156532988</v>
      </c>
      <c r="P1277"/>
    </row>
    <row r="1278" spans="1:16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>
        <v>16</v>
      </c>
      <c r="N1278">
        <v>100</v>
      </c>
      <c r="O1278">
        <v>27.609427609427609</v>
      </c>
      <c r="P1278"/>
    </row>
    <row r="1279" spans="1:16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>
        <v>18</v>
      </c>
      <c r="N1279">
        <v>96.4</v>
      </c>
      <c r="O1279">
        <v>28.764044943820231</v>
      </c>
      <c r="P1279"/>
    </row>
    <row r="1280" spans="1:16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>
        <v>7</v>
      </c>
      <c r="N1280">
        <v>100</v>
      </c>
      <c r="O1280">
        <v>33.980582524271853</v>
      </c>
      <c r="P1280"/>
    </row>
    <row r="1281" spans="1:16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>
        <v>12</v>
      </c>
      <c r="N1281">
        <v>97.56</v>
      </c>
      <c r="O1281">
        <v>32.515337423312893</v>
      </c>
      <c r="P1281"/>
    </row>
    <row r="1282" spans="1:16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>
        <v>18</v>
      </c>
      <c r="N1282">
        <v>97.11</v>
      </c>
      <c r="O1282">
        <v>37.408312958435211</v>
      </c>
      <c r="P1282"/>
    </row>
    <row r="1283" spans="1:16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>
        <v>0</v>
      </c>
      <c r="N1283">
        <v>0</v>
      </c>
      <c r="O1283">
        <v>0</v>
      </c>
      <c r="P1283"/>
    </row>
    <row r="1284" spans="1:16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>
        <v>22</v>
      </c>
      <c r="N1284">
        <v>100</v>
      </c>
      <c r="O1284">
        <v>30.470347648261761</v>
      </c>
      <c r="P1284"/>
    </row>
    <row r="1285" spans="1:16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>
        <v>23</v>
      </c>
      <c r="N1285">
        <v>100</v>
      </c>
      <c r="O1285">
        <v>32.371134020618562</v>
      </c>
      <c r="P1285"/>
    </row>
    <row r="1286" spans="1:16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  <c r="P1286"/>
    </row>
    <row r="1287" spans="1:16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>
        <v>17</v>
      </c>
      <c r="N1287">
        <v>96.43</v>
      </c>
      <c r="O1287">
        <v>27.015250544662312</v>
      </c>
      <c r="P1287"/>
    </row>
    <row r="1288" spans="1:16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>
        <v>15</v>
      </c>
      <c r="N1288">
        <v>98.89</v>
      </c>
      <c r="O1288">
        <v>28.021978021978018</v>
      </c>
      <c r="P1288"/>
    </row>
    <row r="1289" spans="1:16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>
        <v>9</v>
      </c>
      <c r="N1289">
        <v>100</v>
      </c>
      <c r="O1289">
        <v>33.333333333333329</v>
      </c>
      <c r="P1289"/>
    </row>
    <row r="1290" spans="1:16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>
        <v>25</v>
      </c>
      <c r="N1290">
        <v>100</v>
      </c>
      <c r="O1290">
        <v>27.43362831858407</v>
      </c>
      <c r="P1290"/>
    </row>
    <row r="1291" spans="1:16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>
        <v>24</v>
      </c>
      <c r="N1291">
        <v>98.65</v>
      </c>
      <c r="O1291">
        <v>30.978260869565219</v>
      </c>
      <c r="P1291"/>
    </row>
    <row r="1292" spans="1:16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>
        <v>1</v>
      </c>
      <c r="N1292">
        <v>100</v>
      </c>
      <c r="O1292">
        <v>12</v>
      </c>
      <c r="P1292"/>
    </row>
    <row r="1293" spans="1:16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>
        <v>0</v>
      </c>
      <c r="N1293">
        <v>0</v>
      </c>
      <c r="O1293">
        <v>0</v>
      </c>
      <c r="P1293"/>
    </row>
    <row r="1294" spans="1:16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>
        <v>19</v>
      </c>
      <c r="N1294">
        <v>97.56</v>
      </c>
      <c r="O1294">
        <v>31.067961165048541</v>
      </c>
      <c r="P1294"/>
    </row>
    <row r="1295" spans="1:16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>
        <v>0</v>
      </c>
      <c r="N1295">
        <v>0</v>
      </c>
      <c r="O1295">
        <v>0</v>
      </c>
      <c r="P1295"/>
    </row>
    <row r="1296" spans="1:16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  <c r="P1296"/>
    </row>
    <row r="1297" spans="1:16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  <c r="P1297"/>
    </row>
    <row r="1298" spans="1:16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100</v>
      </c>
      <c r="O1298">
        <v>53.846153846153847</v>
      </c>
      <c r="P1298"/>
    </row>
    <row r="1299" spans="1:16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44.05594405594406</v>
      </c>
      <c r="P1299"/>
    </row>
    <row r="1300" spans="1:16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>
        <v>8</v>
      </c>
      <c r="N1300">
        <v>100</v>
      </c>
      <c r="O1300">
        <v>31.872509960159359</v>
      </c>
      <c r="P1300"/>
    </row>
    <row r="1301" spans="1:16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>
        <v>20</v>
      </c>
      <c r="N1301">
        <v>98.41</v>
      </c>
      <c r="O1301">
        <v>29.22465208747515</v>
      </c>
      <c r="P1301"/>
    </row>
    <row r="1302" spans="1:16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>
        <v>17</v>
      </c>
      <c r="N1302">
        <v>96.81</v>
      </c>
      <c r="O1302">
        <v>27.980535279805348</v>
      </c>
      <c r="P1302"/>
    </row>
    <row r="1303" spans="1:16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>
        <v>19</v>
      </c>
      <c r="N1303">
        <v>98.73</v>
      </c>
      <c r="O1303">
        <v>35.756385068762278</v>
      </c>
      <c r="P1303"/>
    </row>
    <row r="1304" spans="1:16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>
        <v>21</v>
      </c>
      <c r="N1304">
        <v>98.32</v>
      </c>
      <c r="O1304">
        <v>26.763485477178421</v>
      </c>
      <c r="P1304"/>
    </row>
    <row r="1305" spans="1:16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>
        <v>15</v>
      </c>
      <c r="N1305">
        <v>99.19</v>
      </c>
      <c r="O1305">
        <v>27.637130801687761</v>
      </c>
      <c r="P1305"/>
    </row>
    <row r="1306" spans="1:16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>
        <v>8</v>
      </c>
      <c r="N1306">
        <v>100</v>
      </c>
      <c r="O1306">
        <v>39.568345323741013</v>
      </c>
      <c r="P1306"/>
    </row>
    <row r="1307" spans="1:16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>
        <v>20</v>
      </c>
      <c r="N1307">
        <v>98.54</v>
      </c>
      <c r="O1307">
        <v>28.544776119402989</v>
      </c>
      <c r="P1307"/>
    </row>
    <row r="1308" spans="1:16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>
        <v>19</v>
      </c>
      <c r="N1308">
        <v>100</v>
      </c>
      <c r="O1308">
        <v>34.366925064599492</v>
      </c>
      <c r="P1308"/>
    </row>
    <row r="1309" spans="1:16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>
        <v>0</v>
      </c>
      <c r="N1309">
        <v>0</v>
      </c>
      <c r="O1309">
        <v>0</v>
      </c>
      <c r="P1309"/>
    </row>
    <row r="1310" spans="1:16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>
        <v>13</v>
      </c>
      <c r="N1310">
        <v>100</v>
      </c>
      <c r="O1310">
        <v>29.518072289156631</v>
      </c>
      <c r="P1310"/>
    </row>
    <row r="1311" spans="1:16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>
        <v>22</v>
      </c>
      <c r="N1311">
        <v>97.45</v>
      </c>
      <c r="O1311">
        <v>41.421143847487002</v>
      </c>
      <c r="P1311"/>
    </row>
    <row r="1312" spans="1:16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>
        <v>21</v>
      </c>
      <c r="N1312">
        <v>96.58</v>
      </c>
      <c r="O1312">
        <v>30.396475770925111</v>
      </c>
      <c r="P1312"/>
    </row>
    <row r="1313" spans="1:16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>
        <v>18</v>
      </c>
      <c r="N1313">
        <v>100</v>
      </c>
      <c r="O1313">
        <v>27.44282744282744</v>
      </c>
      <c r="P1313"/>
    </row>
    <row r="1314" spans="1:16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>
        <v>19</v>
      </c>
      <c r="N1314">
        <v>99.49</v>
      </c>
      <c r="O1314">
        <v>40.200000000000003</v>
      </c>
      <c r="P1314"/>
    </row>
    <row r="1315" spans="1:16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0</v>
      </c>
      <c r="N1315">
        <v>100</v>
      </c>
      <c r="O1315">
        <v>25</v>
      </c>
      <c r="P1315"/>
    </row>
    <row r="1316" spans="1:16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>
        <v>21</v>
      </c>
      <c r="N1316">
        <v>100</v>
      </c>
      <c r="O1316">
        <v>34.15094339622641</v>
      </c>
      <c r="P1316"/>
    </row>
    <row r="1317" spans="1:16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>
        <v>16</v>
      </c>
      <c r="N1317">
        <v>100</v>
      </c>
      <c r="O1317">
        <v>32.731376975169297</v>
      </c>
      <c r="P1317"/>
    </row>
    <row r="1318" spans="1:16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>
        <v>19</v>
      </c>
      <c r="N1318">
        <v>99.31</v>
      </c>
      <c r="O1318">
        <v>30.96234309623431</v>
      </c>
      <c r="P1318"/>
    </row>
    <row r="1319" spans="1:16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>
        <v>16</v>
      </c>
      <c r="N1319">
        <v>96.67</v>
      </c>
      <c r="O1319">
        <v>31.451612903225811</v>
      </c>
      <c r="P1319"/>
    </row>
    <row r="1320" spans="1:16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>
        <v>18</v>
      </c>
      <c r="N1320">
        <v>100</v>
      </c>
      <c r="O1320">
        <v>27.676767676767678</v>
      </c>
      <c r="P1320"/>
    </row>
    <row r="1321" spans="1:16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>
        <v>29</v>
      </c>
      <c r="N1321">
        <v>100</v>
      </c>
      <c r="O1321">
        <v>31.17723156532988</v>
      </c>
      <c r="P1321"/>
    </row>
    <row r="1322" spans="1:16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>
        <v>8</v>
      </c>
      <c r="N1322">
        <v>100</v>
      </c>
      <c r="O1322">
        <v>27.609427609427609</v>
      </c>
      <c r="P1322"/>
    </row>
    <row r="1323" spans="1:16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>
        <v>20</v>
      </c>
      <c r="N1323">
        <v>96.4</v>
      </c>
      <c r="O1323">
        <v>28.764044943820231</v>
      </c>
      <c r="P1323"/>
    </row>
    <row r="1324" spans="1:16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>
        <v>0</v>
      </c>
      <c r="N1324">
        <v>100</v>
      </c>
      <c r="O1324">
        <v>33.980582524271853</v>
      </c>
      <c r="P1324"/>
    </row>
    <row r="1325" spans="1:16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>
        <v>8</v>
      </c>
      <c r="N1325">
        <v>97.56</v>
      </c>
      <c r="O1325">
        <v>32.515337423312893</v>
      </c>
      <c r="P1325"/>
    </row>
    <row r="1326" spans="1:16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>
        <v>12</v>
      </c>
      <c r="N1326">
        <v>97.11</v>
      </c>
      <c r="O1326">
        <v>37.408312958435211</v>
      </c>
      <c r="P1326"/>
    </row>
    <row r="1327" spans="1:16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>
        <v>0</v>
      </c>
      <c r="N1327">
        <v>0</v>
      </c>
      <c r="O1327">
        <v>0</v>
      </c>
      <c r="P1327"/>
    </row>
    <row r="1328" spans="1:16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>
        <v>19</v>
      </c>
      <c r="N1328">
        <v>100</v>
      </c>
      <c r="O1328">
        <v>30.470347648261761</v>
      </c>
      <c r="P1328"/>
    </row>
    <row r="1329" spans="1:16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>
        <v>15</v>
      </c>
      <c r="N1329">
        <v>100</v>
      </c>
      <c r="O1329">
        <v>32.371134020618562</v>
      </c>
      <c r="P1329"/>
    </row>
    <row r="1330" spans="1:16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>
        <v>17</v>
      </c>
      <c r="N1330">
        <v>98.32</v>
      </c>
      <c r="O1330">
        <v>32.318501170960189</v>
      </c>
      <c r="P1330"/>
    </row>
    <row r="1331" spans="1:16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>
        <v>7</v>
      </c>
      <c r="N1331">
        <v>96.43</v>
      </c>
      <c r="O1331">
        <v>27.015250544662312</v>
      </c>
      <c r="P1331"/>
    </row>
    <row r="1332" spans="1:16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>
        <v>15</v>
      </c>
      <c r="N1332">
        <v>98.89</v>
      </c>
      <c r="O1332">
        <v>28.021978021978018</v>
      </c>
      <c r="P1332"/>
    </row>
    <row r="1333" spans="1:16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>
        <v>3</v>
      </c>
      <c r="N1333">
        <v>100</v>
      </c>
      <c r="O1333">
        <v>33.333333333333329</v>
      </c>
      <c r="P1333"/>
    </row>
    <row r="1334" spans="1:16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>
        <v>22</v>
      </c>
      <c r="N1334">
        <v>100</v>
      </c>
      <c r="O1334">
        <v>27.43362831858407</v>
      </c>
      <c r="P1334"/>
    </row>
    <row r="1335" spans="1:16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24</v>
      </c>
      <c r="N1335">
        <v>98.65</v>
      </c>
      <c r="O1335">
        <v>30.978260869565219</v>
      </c>
      <c r="P1335"/>
    </row>
    <row r="1336" spans="1:16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>
        <v>0</v>
      </c>
      <c r="N1336">
        <v>100</v>
      </c>
      <c r="O1336">
        <v>12</v>
      </c>
      <c r="P1336"/>
    </row>
    <row r="1337" spans="1:16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0</v>
      </c>
      <c r="O1337">
        <v>0</v>
      </c>
      <c r="P1337"/>
    </row>
    <row r="1338" spans="1:16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>
        <v>14</v>
      </c>
      <c r="N1338">
        <v>97.56</v>
      </c>
      <c r="O1338">
        <v>31.067961165048541</v>
      </c>
      <c r="P1338"/>
    </row>
    <row r="1339" spans="1:16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>
        <v>0</v>
      </c>
      <c r="N1339">
        <v>0</v>
      </c>
      <c r="O1339">
        <v>0</v>
      </c>
      <c r="P1339"/>
    </row>
    <row r="1340" spans="1:16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  <c r="P1340"/>
    </row>
    <row r="1341" spans="1:16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  <c r="P1341"/>
    </row>
    <row r="1342" spans="1:16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100</v>
      </c>
      <c r="O1342">
        <v>53.846153846153847</v>
      </c>
      <c r="P1342"/>
    </row>
    <row r="1343" spans="1:16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>
        <v>27</v>
      </c>
      <c r="N1343">
        <v>100</v>
      </c>
      <c r="O1343">
        <v>44.05594405594406</v>
      </c>
      <c r="P1343"/>
    </row>
    <row r="1344" spans="1:16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>
        <v>11</v>
      </c>
      <c r="N1344">
        <v>100</v>
      </c>
      <c r="O1344">
        <v>31.872509960159359</v>
      </c>
      <c r="P1344"/>
    </row>
    <row r="1345" spans="1:16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>
        <v>23</v>
      </c>
      <c r="N1345">
        <v>98.41</v>
      </c>
      <c r="O1345">
        <v>29.22465208747515</v>
      </c>
      <c r="P1345"/>
    </row>
    <row r="1346" spans="1:16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19</v>
      </c>
      <c r="N1346">
        <v>96.81</v>
      </c>
      <c r="O1346">
        <v>27.980535279805348</v>
      </c>
      <c r="P1346"/>
    </row>
    <row r="1347" spans="1:16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>
        <v>28</v>
      </c>
      <c r="N1347">
        <v>98.73</v>
      </c>
      <c r="O1347">
        <v>35.756385068762278</v>
      </c>
      <c r="P1347"/>
    </row>
    <row r="1348" spans="1:16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>
        <v>18</v>
      </c>
      <c r="N1348">
        <v>98.32</v>
      </c>
      <c r="O1348">
        <v>26.763485477178421</v>
      </c>
      <c r="P1348"/>
    </row>
    <row r="1349" spans="1:16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>
        <v>20</v>
      </c>
      <c r="N1349">
        <v>99.19</v>
      </c>
      <c r="O1349">
        <v>27.637130801687761</v>
      </c>
      <c r="P1349"/>
    </row>
    <row r="1350" spans="1:16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  <c r="P1350"/>
    </row>
    <row r="1351" spans="1:16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>
        <v>25</v>
      </c>
      <c r="N1351">
        <v>98.54</v>
      </c>
      <c r="O1351">
        <v>28.544776119402989</v>
      </c>
      <c r="P1351"/>
    </row>
    <row r="1352" spans="1:16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>
        <v>12</v>
      </c>
      <c r="N1352">
        <v>100</v>
      </c>
      <c r="O1352">
        <v>34.366925064599492</v>
      </c>
      <c r="P1352"/>
    </row>
    <row r="1353" spans="1:16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>
        <v>0</v>
      </c>
      <c r="N1353">
        <v>0</v>
      </c>
      <c r="O1353">
        <v>0</v>
      </c>
      <c r="P1353"/>
    </row>
    <row r="1354" spans="1:16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>
        <v>22</v>
      </c>
      <c r="N1354">
        <v>100</v>
      </c>
      <c r="O1354">
        <v>29.518072289156631</v>
      </c>
      <c r="P1354"/>
    </row>
    <row r="1355" spans="1:16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>
        <v>24</v>
      </c>
      <c r="N1355">
        <v>97.45</v>
      </c>
      <c r="O1355">
        <v>41.421143847487002</v>
      </c>
      <c r="P1355"/>
    </row>
    <row r="1356" spans="1:16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>
        <v>19</v>
      </c>
      <c r="N1356">
        <v>96.58</v>
      </c>
      <c r="O1356">
        <v>30.396475770925111</v>
      </c>
      <c r="P1356"/>
    </row>
    <row r="1357" spans="1:16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>
        <v>27</v>
      </c>
      <c r="N1357">
        <v>100</v>
      </c>
      <c r="O1357">
        <v>27.44282744282744</v>
      </c>
      <c r="P1357"/>
    </row>
    <row r="1358" spans="1:16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>
        <v>19</v>
      </c>
      <c r="N1358">
        <v>99.49</v>
      </c>
      <c r="O1358">
        <v>40.200000000000003</v>
      </c>
      <c r="P1358"/>
    </row>
    <row r="1359" spans="1:16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0</v>
      </c>
      <c r="N1359">
        <v>100</v>
      </c>
      <c r="O1359">
        <v>25</v>
      </c>
      <c r="P1359"/>
    </row>
    <row r="1360" spans="1:16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>
        <v>25</v>
      </c>
      <c r="N1360">
        <v>100</v>
      </c>
      <c r="O1360">
        <v>34.15094339622641</v>
      </c>
      <c r="P1360"/>
    </row>
    <row r="1361" spans="1:16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>
        <v>21</v>
      </c>
      <c r="N1361">
        <v>100</v>
      </c>
      <c r="O1361">
        <v>32.731376975169297</v>
      </c>
      <c r="P1361"/>
    </row>
    <row r="1362" spans="1:16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>
        <v>8</v>
      </c>
      <c r="N1362">
        <v>99.31</v>
      </c>
      <c r="O1362">
        <v>30.96234309623431</v>
      </c>
      <c r="P1362"/>
    </row>
    <row r="1363" spans="1:16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>
        <v>24</v>
      </c>
      <c r="N1363">
        <v>96.67</v>
      </c>
      <c r="O1363">
        <v>31.451612903225811</v>
      </c>
      <c r="P1363"/>
    </row>
    <row r="1364" spans="1:16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>
        <v>21</v>
      </c>
      <c r="N1364">
        <v>100</v>
      </c>
      <c r="O1364">
        <v>27.676767676767678</v>
      </c>
      <c r="P1364"/>
    </row>
    <row r="1365" spans="1:16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>
        <v>26</v>
      </c>
      <c r="N1365">
        <v>100</v>
      </c>
      <c r="O1365">
        <v>31.17723156532988</v>
      </c>
      <c r="P1365"/>
    </row>
    <row r="1366" spans="1:16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>
        <v>11</v>
      </c>
      <c r="N1366">
        <v>100</v>
      </c>
      <c r="O1366">
        <v>27.609427609427609</v>
      </c>
      <c r="P1366"/>
    </row>
    <row r="1367" spans="1:16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>
        <v>0</v>
      </c>
      <c r="N1367">
        <v>96.4</v>
      </c>
      <c r="O1367">
        <v>28.764044943820231</v>
      </c>
      <c r="P1367"/>
    </row>
    <row r="1368" spans="1:16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100</v>
      </c>
      <c r="O1368">
        <v>33.980582524271853</v>
      </c>
      <c r="P1368"/>
    </row>
    <row r="1369" spans="1:16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>
        <v>9</v>
      </c>
      <c r="N1369">
        <v>97.56</v>
      </c>
      <c r="O1369">
        <v>32.515337423312893</v>
      </c>
      <c r="P1369"/>
    </row>
    <row r="1370" spans="1:16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>
        <v>21</v>
      </c>
      <c r="N1370">
        <v>97.11</v>
      </c>
      <c r="O1370">
        <v>37.408312958435211</v>
      </c>
      <c r="P1370"/>
    </row>
    <row r="1371" spans="1:16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>
        <v>0</v>
      </c>
      <c r="N1371">
        <v>0</v>
      </c>
      <c r="O1371">
        <v>0</v>
      </c>
      <c r="P1371"/>
    </row>
    <row r="1372" spans="1:16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>
        <v>21</v>
      </c>
      <c r="N1372">
        <v>100</v>
      </c>
      <c r="O1372">
        <v>30.470347648261761</v>
      </c>
      <c r="P1372"/>
    </row>
    <row r="1373" spans="1:16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>
        <v>24</v>
      </c>
      <c r="N1373">
        <v>100</v>
      </c>
      <c r="O1373">
        <v>32.371134020618562</v>
      </c>
      <c r="P1373"/>
    </row>
    <row r="1374" spans="1:16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>
        <v>19</v>
      </c>
      <c r="N1374">
        <v>98.32</v>
      </c>
      <c r="O1374">
        <v>32.318501170960189</v>
      </c>
      <c r="P1374"/>
    </row>
    <row r="1375" spans="1:16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>
        <v>13</v>
      </c>
      <c r="N1375">
        <v>96.43</v>
      </c>
      <c r="O1375">
        <v>27.015250544662312</v>
      </c>
      <c r="P1375"/>
    </row>
    <row r="1376" spans="1:16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>
        <v>20</v>
      </c>
      <c r="N1376">
        <v>98.89</v>
      </c>
      <c r="O1376">
        <v>28.021978021978018</v>
      </c>
      <c r="P1376"/>
    </row>
    <row r="1377" spans="1:16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>
        <v>4</v>
      </c>
      <c r="N1377">
        <v>100</v>
      </c>
      <c r="O1377">
        <v>33.333333333333329</v>
      </c>
      <c r="P1377"/>
    </row>
    <row r="1378" spans="1:16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>
        <v>25</v>
      </c>
      <c r="N1378">
        <v>100</v>
      </c>
      <c r="O1378">
        <v>27.43362831858407</v>
      </c>
      <c r="P1378"/>
    </row>
    <row r="1379" spans="1:16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98.65</v>
      </c>
      <c r="O1379">
        <v>30.978260869565219</v>
      </c>
      <c r="P1379"/>
    </row>
    <row r="1380" spans="1:16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>
        <v>2</v>
      </c>
      <c r="N1380">
        <v>100</v>
      </c>
      <c r="O1380">
        <v>12</v>
      </c>
      <c r="P1380"/>
    </row>
    <row r="1381" spans="1:16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>
        <v>0</v>
      </c>
      <c r="N1381">
        <v>0</v>
      </c>
      <c r="O1381">
        <v>0</v>
      </c>
      <c r="P1381"/>
    </row>
    <row r="1382" spans="1:16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>
        <v>16</v>
      </c>
      <c r="N1382">
        <v>97.56</v>
      </c>
      <c r="O1382">
        <v>31.067961165048541</v>
      </c>
      <c r="P1382"/>
    </row>
    <row r="1383" spans="1:16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>
        <v>0</v>
      </c>
      <c r="N1383">
        <v>0</v>
      </c>
      <c r="O1383">
        <v>0</v>
      </c>
      <c r="P1383"/>
    </row>
    <row r="1384" spans="1:16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  <c r="P1384"/>
    </row>
    <row r="1385" spans="1:16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  <c r="P1385"/>
    </row>
    <row r="1386" spans="1:16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100</v>
      </c>
      <c r="O1386">
        <v>53.846153846153847</v>
      </c>
      <c r="P1386"/>
    </row>
    <row r="1387" spans="1:16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>
        <v>19</v>
      </c>
      <c r="N1387">
        <v>100</v>
      </c>
      <c r="O1387">
        <v>44.05594405594406</v>
      </c>
      <c r="P1387"/>
    </row>
    <row r="1388" spans="1:16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>
        <v>15</v>
      </c>
      <c r="N1388">
        <v>100</v>
      </c>
      <c r="O1388">
        <v>31.872509960159359</v>
      </c>
      <c r="P1388"/>
    </row>
    <row r="1389" spans="1:16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>
        <v>17</v>
      </c>
      <c r="N1389">
        <v>98.41</v>
      </c>
      <c r="O1389">
        <v>29.22465208747515</v>
      </c>
      <c r="P1389"/>
    </row>
    <row r="1390" spans="1:16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>
        <v>15</v>
      </c>
      <c r="N1390">
        <v>96.81</v>
      </c>
      <c r="O1390">
        <v>27.980535279805348</v>
      </c>
      <c r="P1390"/>
    </row>
    <row r="1391" spans="1:16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>
        <v>27</v>
      </c>
      <c r="N1391">
        <v>98.73</v>
      </c>
      <c r="O1391">
        <v>35.756385068762278</v>
      </c>
      <c r="P1391"/>
    </row>
    <row r="1392" spans="1:16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>
        <v>20</v>
      </c>
      <c r="N1392">
        <v>98.32</v>
      </c>
      <c r="O1392">
        <v>26.763485477178421</v>
      </c>
      <c r="P1392"/>
    </row>
    <row r="1393" spans="1:16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>
        <v>29</v>
      </c>
      <c r="N1393">
        <v>99.19</v>
      </c>
      <c r="O1393">
        <v>27.637130801687761</v>
      </c>
      <c r="P1393"/>
    </row>
    <row r="1394" spans="1:16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>
        <v>9</v>
      </c>
      <c r="N1394">
        <v>100</v>
      </c>
      <c r="O1394">
        <v>39.568345323741013</v>
      </c>
      <c r="P1394"/>
    </row>
    <row r="1395" spans="1:16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>
        <v>25</v>
      </c>
      <c r="N1395">
        <v>98.54</v>
      </c>
      <c r="O1395">
        <v>28.544776119402989</v>
      </c>
      <c r="P1395"/>
    </row>
    <row r="1396" spans="1:16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>
        <v>14</v>
      </c>
      <c r="N1396">
        <v>100</v>
      </c>
      <c r="O1396">
        <v>34.366925064599492</v>
      </c>
      <c r="P1396"/>
    </row>
    <row r="1397" spans="1:16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>
        <v>0</v>
      </c>
      <c r="N1397">
        <v>0</v>
      </c>
      <c r="O1397">
        <v>0</v>
      </c>
      <c r="P1397"/>
    </row>
    <row r="1398" spans="1:16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>
        <v>21</v>
      </c>
      <c r="N1398">
        <v>100</v>
      </c>
      <c r="O1398">
        <v>29.518072289156631</v>
      </c>
      <c r="P1398"/>
    </row>
    <row r="1399" spans="1:16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>
        <v>24</v>
      </c>
      <c r="N1399">
        <v>97.45</v>
      </c>
      <c r="O1399">
        <v>41.421143847487002</v>
      </c>
      <c r="P1399"/>
    </row>
    <row r="1400" spans="1:16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>
        <v>22</v>
      </c>
      <c r="N1400">
        <v>96.58</v>
      </c>
      <c r="O1400">
        <v>30.396475770925111</v>
      </c>
      <c r="P1400"/>
    </row>
    <row r="1401" spans="1:16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>
        <v>7</v>
      </c>
      <c r="N1401">
        <v>100</v>
      </c>
      <c r="O1401">
        <v>27.44282744282744</v>
      </c>
      <c r="P1401"/>
    </row>
    <row r="1402" spans="1:16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>
        <v>23</v>
      </c>
      <c r="N1402">
        <v>99.49</v>
      </c>
      <c r="O1402">
        <v>40.200000000000003</v>
      </c>
      <c r="P1402"/>
    </row>
    <row r="1403" spans="1:16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0</v>
      </c>
      <c r="N1403">
        <v>100</v>
      </c>
      <c r="O1403">
        <v>25</v>
      </c>
      <c r="P1403"/>
    </row>
    <row r="1404" spans="1:16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>
        <v>24</v>
      </c>
      <c r="N1404">
        <v>100</v>
      </c>
      <c r="O1404">
        <v>34.15094339622641</v>
      </c>
      <c r="P1404"/>
    </row>
    <row r="1405" spans="1:16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>
        <v>17</v>
      </c>
      <c r="N1405">
        <v>100</v>
      </c>
      <c r="O1405">
        <v>32.731376975169297</v>
      </c>
      <c r="P1405"/>
    </row>
    <row r="1406" spans="1:16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>
        <v>19</v>
      </c>
      <c r="N1406">
        <v>99.31</v>
      </c>
      <c r="O1406">
        <v>30.96234309623431</v>
      </c>
      <c r="P1406"/>
    </row>
    <row r="1407" spans="1:16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>
        <v>14</v>
      </c>
      <c r="N1407">
        <v>96.67</v>
      </c>
      <c r="O1407">
        <v>31.451612903225811</v>
      </c>
      <c r="P1407"/>
    </row>
    <row r="1408" spans="1:16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>
        <v>17</v>
      </c>
      <c r="N1408">
        <v>100</v>
      </c>
      <c r="O1408">
        <v>27.676767676767678</v>
      </c>
      <c r="P1408"/>
    </row>
    <row r="1409" spans="1:16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23</v>
      </c>
      <c r="N1409">
        <v>100</v>
      </c>
      <c r="O1409">
        <v>31.17723156532988</v>
      </c>
      <c r="P1409"/>
    </row>
    <row r="1410" spans="1:16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>
        <v>5</v>
      </c>
      <c r="N1410">
        <v>100</v>
      </c>
      <c r="O1410">
        <v>27.609427609427609</v>
      </c>
      <c r="P1410"/>
    </row>
    <row r="1411" spans="1:16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>
        <v>19</v>
      </c>
      <c r="N1411">
        <v>96.4</v>
      </c>
      <c r="O1411">
        <v>28.764044943820231</v>
      </c>
      <c r="P1411"/>
    </row>
    <row r="1412" spans="1:16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>
        <v>0</v>
      </c>
      <c r="N1412">
        <v>100</v>
      </c>
      <c r="O1412">
        <v>33.980582524271853</v>
      </c>
      <c r="P1412"/>
    </row>
    <row r="1413" spans="1:16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>
        <v>4</v>
      </c>
      <c r="N1413">
        <v>97.56</v>
      </c>
      <c r="O1413">
        <v>32.515337423312893</v>
      </c>
      <c r="P1413"/>
    </row>
    <row r="1414" spans="1:16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  <c r="P1414"/>
    </row>
    <row r="1415" spans="1:16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>
        <v>0</v>
      </c>
      <c r="N1415">
        <v>0</v>
      </c>
      <c r="O1415">
        <v>0</v>
      </c>
      <c r="P1415"/>
    </row>
    <row r="1416" spans="1:16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>
        <v>21</v>
      </c>
      <c r="N1416">
        <v>100</v>
      </c>
      <c r="O1416">
        <v>30.470347648261761</v>
      </c>
      <c r="P1416"/>
    </row>
    <row r="1417" spans="1:16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>
        <v>17</v>
      </c>
      <c r="N1417">
        <v>100</v>
      </c>
      <c r="O1417">
        <v>32.371134020618562</v>
      </c>
      <c r="P1417"/>
    </row>
    <row r="1418" spans="1:16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>
        <v>21</v>
      </c>
      <c r="N1418">
        <v>98.32</v>
      </c>
      <c r="O1418">
        <v>32.318501170960189</v>
      </c>
      <c r="P1418"/>
    </row>
    <row r="1419" spans="1:16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>
        <v>22</v>
      </c>
      <c r="N1419">
        <v>96.43</v>
      </c>
      <c r="O1419">
        <v>27.015250544662312</v>
      </c>
      <c r="P1419"/>
    </row>
    <row r="1420" spans="1:16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>
        <v>23</v>
      </c>
      <c r="N1420">
        <v>98.89</v>
      </c>
      <c r="O1420">
        <v>28.021978021978018</v>
      </c>
      <c r="P1420"/>
    </row>
    <row r="1421" spans="1:16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>
        <v>6</v>
      </c>
      <c r="N1421">
        <v>100</v>
      </c>
      <c r="O1421">
        <v>33.333333333333329</v>
      </c>
      <c r="P1421"/>
    </row>
    <row r="1422" spans="1:16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>
        <v>19</v>
      </c>
      <c r="N1422">
        <v>100</v>
      </c>
      <c r="O1422">
        <v>27.43362831858407</v>
      </c>
      <c r="P1422"/>
    </row>
    <row r="1423" spans="1:16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>
        <v>17</v>
      </c>
      <c r="N1423">
        <v>98.65</v>
      </c>
      <c r="O1423">
        <v>30.978260869565219</v>
      </c>
      <c r="P1423"/>
    </row>
    <row r="1424" spans="1:16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>
        <v>2</v>
      </c>
      <c r="N1424">
        <v>100</v>
      </c>
      <c r="O1424">
        <v>12</v>
      </c>
      <c r="P1424"/>
    </row>
    <row r="1425" spans="1:16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>
        <v>0</v>
      </c>
      <c r="N1425">
        <v>0</v>
      </c>
      <c r="O1425">
        <v>0</v>
      </c>
      <c r="P1425"/>
    </row>
    <row r="1426" spans="1:16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>
        <v>20</v>
      </c>
      <c r="N1426">
        <v>97.56</v>
      </c>
      <c r="O1426">
        <v>31.067961165048541</v>
      </c>
      <c r="P1426"/>
    </row>
    <row r="1427" spans="1:16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>
        <v>0</v>
      </c>
      <c r="N1427">
        <v>0</v>
      </c>
      <c r="O1427">
        <v>0</v>
      </c>
      <c r="P1427"/>
    </row>
    <row r="1428" spans="1:16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  <c r="P1428"/>
    </row>
    <row r="1429" spans="1:16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  <c r="P1429"/>
    </row>
    <row r="1430" spans="1:16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100</v>
      </c>
      <c r="O1430">
        <v>53.846153846153847</v>
      </c>
      <c r="P1430"/>
    </row>
    <row r="1431" spans="1:16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>
        <v>24</v>
      </c>
      <c r="N1431">
        <v>100</v>
      </c>
      <c r="O1431">
        <v>44.05594405594406</v>
      </c>
      <c r="P1431"/>
    </row>
    <row r="1432" spans="1:16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>
        <v>10</v>
      </c>
      <c r="N1432">
        <v>100</v>
      </c>
      <c r="O1432">
        <v>31.872509960159359</v>
      </c>
      <c r="P1432"/>
    </row>
    <row r="1433" spans="1:16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>
        <v>22</v>
      </c>
      <c r="N1433">
        <v>98.41</v>
      </c>
      <c r="O1433">
        <v>29.22465208747515</v>
      </c>
      <c r="P1433"/>
    </row>
    <row r="1434" spans="1:16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17</v>
      </c>
      <c r="N1434">
        <v>96.81</v>
      </c>
      <c r="O1434">
        <v>27.980535279805348</v>
      </c>
      <c r="P1434"/>
    </row>
    <row r="1435" spans="1:16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>
        <v>22</v>
      </c>
      <c r="N1435">
        <v>98.73</v>
      </c>
      <c r="O1435">
        <v>35.756385068762278</v>
      </c>
      <c r="P1435"/>
    </row>
    <row r="1436" spans="1:16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>
        <v>25</v>
      </c>
      <c r="N1436">
        <v>98.32</v>
      </c>
      <c r="O1436">
        <v>26.763485477178421</v>
      </c>
      <c r="P1436"/>
    </row>
    <row r="1437" spans="1:16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>
        <v>21</v>
      </c>
      <c r="N1437">
        <v>99.19</v>
      </c>
      <c r="O1437">
        <v>27.637130801687761</v>
      </c>
      <c r="P1437"/>
    </row>
    <row r="1438" spans="1:16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>
        <v>7</v>
      </c>
      <c r="N1438">
        <v>100</v>
      </c>
      <c r="O1438">
        <v>39.568345323741013</v>
      </c>
      <c r="P1438"/>
    </row>
    <row r="1439" spans="1:16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>
        <v>21</v>
      </c>
      <c r="N1439">
        <v>98.54</v>
      </c>
      <c r="O1439">
        <v>28.544776119402989</v>
      </c>
      <c r="P1439"/>
    </row>
    <row r="1440" spans="1:16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>
        <v>21</v>
      </c>
      <c r="N1440">
        <v>100</v>
      </c>
      <c r="O1440">
        <v>34.366925064599492</v>
      </c>
      <c r="P1440"/>
    </row>
    <row r="1441" spans="1:16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>
        <v>0</v>
      </c>
      <c r="N1441">
        <v>0</v>
      </c>
      <c r="O1441">
        <v>0</v>
      </c>
      <c r="P1441"/>
    </row>
    <row r="1442" spans="1:16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>
        <v>15</v>
      </c>
      <c r="N1442">
        <v>100</v>
      </c>
      <c r="O1442">
        <v>29.518072289156631</v>
      </c>
      <c r="P1442"/>
    </row>
    <row r="1443" spans="1:16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>
        <v>20</v>
      </c>
      <c r="N1443">
        <v>97.45</v>
      </c>
      <c r="O1443">
        <v>41.421143847487002</v>
      </c>
      <c r="P1443"/>
    </row>
    <row r="1444" spans="1:16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>
        <v>16</v>
      </c>
      <c r="N1444">
        <v>96.58</v>
      </c>
      <c r="O1444">
        <v>30.396475770925111</v>
      </c>
      <c r="P1444"/>
    </row>
    <row r="1445" spans="1:16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>
        <v>31</v>
      </c>
      <c r="N1445">
        <v>100</v>
      </c>
      <c r="O1445">
        <v>27.44282744282744</v>
      </c>
      <c r="P1445"/>
    </row>
    <row r="1446" spans="1:16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>
        <v>24</v>
      </c>
      <c r="N1446">
        <v>99.49</v>
      </c>
      <c r="O1446">
        <v>40.200000000000003</v>
      </c>
      <c r="P1446"/>
    </row>
    <row r="1447" spans="1:16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0</v>
      </c>
      <c r="N1447">
        <v>100</v>
      </c>
      <c r="O1447">
        <v>25</v>
      </c>
      <c r="P1447"/>
    </row>
    <row r="1448" spans="1:16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>
        <v>20</v>
      </c>
      <c r="N1448">
        <v>100</v>
      </c>
      <c r="O1448">
        <v>34.15094339622641</v>
      </c>
      <c r="P1448"/>
    </row>
    <row r="1449" spans="1:16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>
        <v>15</v>
      </c>
      <c r="N1449">
        <v>100</v>
      </c>
      <c r="O1449">
        <v>32.731376975169297</v>
      </c>
      <c r="P1449"/>
    </row>
    <row r="1450" spans="1:16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>
        <v>18</v>
      </c>
      <c r="N1450">
        <v>99.31</v>
      </c>
      <c r="O1450">
        <v>30.96234309623431</v>
      </c>
      <c r="P1450"/>
    </row>
    <row r="1451" spans="1:16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13</v>
      </c>
      <c r="N1451">
        <v>96.67</v>
      </c>
      <c r="O1451">
        <v>31.451612903225811</v>
      </c>
      <c r="P1451"/>
    </row>
    <row r="1452" spans="1:16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>
        <v>22</v>
      </c>
      <c r="N1452">
        <v>100</v>
      </c>
      <c r="O1452">
        <v>27.676767676767678</v>
      </c>
      <c r="P1452"/>
    </row>
    <row r="1453" spans="1:16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>
        <v>29</v>
      </c>
      <c r="N1453">
        <v>100</v>
      </c>
      <c r="O1453">
        <v>31.17723156532988</v>
      </c>
      <c r="P1453"/>
    </row>
    <row r="1454" spans="1:16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>
        <v>8</v>
      </c>
      <c r="N1454">
        <v>100</v>
      </c>
      <c r="O1454">
        <v>27.609427609427609</v>
      </c>
      <c r="P1454"/>
    </row>
    <row r="1455" spans="1:16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>
        <v>18</v>
      </c>
      <c r="N1455">
        <v>96.4</v>
      </c>
      <c r="O1455">
        <v>28.764044943820231</v>
      </c>
      <c r="P1455"/>
    </row>
    <row r="1456" spans="1:16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>
        <v>0</v>
      </c>
      <c r="N1456">
        <v>100</v>
      </c>
      <c r="O1456">
        <v>33.980582524271853</v>
      </c>
      <c r="P1456"/>
    </row>
    <row r="1457" spans="1:16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>
        <v>5</v>
      </c>
      <c r="N1457">
        <v>97.56</v>
      </c>
      <c r="O1457">
        <v>32.515337423312893</v>
      </c>
      <c r="P1457"/>
    </row>
    <row r="1458" spans="1:16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>
        <v>23</v>
      </c>
      <c r="N1458">
        <v>97.11</v>
      </c>
      <c r="O1458">
        <v>37.408312958435211</v>
      </c>
      <c r="P1458"/>
    </row>
    <row r="1459" spans="1:16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>
        <v>0</v>
      </c>
      <c r="N1459">
        <v>0</v>
      </c>
      <c r="O1459">
        <v>0</v>
      </c>
      <c r="P1459"/>
    </row>
    <row r="1460" spans="1:16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>
        <v>9</v>
      </c>
      <c r="N1460">
        <v>100</v>
      </c>
      <c r="O1460">
        <v>30.470347648261761</v>
      </c>
      <c r="P1460"/>
    </row>
    <row r="1461" spans="1:16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>
        <v>21</v>
      </c>
      <c r="N1461">
        <v>100</v>
      </c>
      <c r="O1461">
        <v>32.371134020618562</v>
      </c>
      <c r="P1461"/>
    </row>
    <row r="1462" spans="1:16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>
        <v>10</v>
      </c>
      <c r="N1462">
        <v>98.32</v>
      </c>
      <c r="O1462">
        <v>32.318501170960189</v>
      </c>
      <c r="P1462"/>
    </row>
    <row r="1463" spans="1:16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>
        <v>11</v>
      </c>
      <c r="N1463">
        <v>96.43</v>
      </c>
      <c r="O1463">
        <v>27.015250544662312</v>
      </c>
      <c r="P1463"/>
    </row>
    <row r="1464" spans="1:16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>
        <v>14</v>
      </c>
      <c r="N1464">
        <v>98.89</v>
      </c>
      <c r="O1464">
        <v>28.021978021978018</v>
      </c>
      <c r="P1464"/>
    </row>
    <row r="1465" spans="1:16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>
        <v>6</v>
      </c>
      <c r="N1465">
        <v>100</v>
      </c>
      <c r="O1465">
        <v>33.333333333333329</v>
      </c>
      <c r="P1465"/>
    </row>
    <row r="1466" spans="1:16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>
        <v>23</v>
      </c>
      <c r="N1466">
        <v>100</v>
      </c>
      <c r="O1466">
        <v>27.43362831858407</v>
      </c>
      <c r="P1466"/>
    </row>
    <row r="1467" spans="1:16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>
        <v>20</v>
      </c>
      <c r="N1467">
        <v>98.65</v>
      </c>
      <c r="O1467">
        <v>30.978260869565219</v>
      </c>
      <c r="P1467"/>
    </row>
    <row r="1468" spans="1:16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>
        <v>4</v>
      </c>
      <c r="N1468">
        <v>100</v>
      </c>
      <c r="O1468">
        <v>12</v>
      </c>
      <c r="P1468"/>
    </row>
    <row r="1469" spans="1:16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>
        <v>0</v>
      </c>
      <c r="N1469">
        <v>0</v>
      </c>
      <c r="O1469">
        <v>0</v>
      </c>
      <c r="P1469"/>
    </row>
    <row r="1470" spans="1:16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>
        <v>16</v>
      </c>
      <c r="N1470">
        <v>97.56</v>
      </c>
      <c r="O1470">
        <v>31.067961165048541</v>
      </c>
      <c r="P1470"/>
    </row>
    <row r="1471" spans="1:16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>
        <v>0</v>
      </c>
      <c r="N1471">
        <v>0</v>
      </c>
      <c r="O1471">
        <v>0</v>
      </c>
      <c r="P1471"/>
    </row>
    <row r="1472" spans="1:16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  <c r="P1472"/>
    </row>
    <row r="1473" spans="1:16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  <c r="P1473"/>
    </row>
    <row r="1474" spans="1:16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100</v>
      </c>
      <c r="O1474">
        <v>53.846153846153847</v>
      </c>
      <c r="P1474"/>
    </row>
    <row r="1475" spans="1:16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>
        <v>26</v>
      </c>
      <c r="N1475">
        <v>100</v>
      </c>
      <c r="O1475">
        <v>44.05594405594406</v>
      </c>
      <c r="P1475"/>
    </row>
    <row r="1476" spans="1:16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>
        <v>14</v>
      </c>
      <c r="N1476">
        <v>100</v>
      </c>
      <c r="O1476">
        <v>31.872509960159359</v>
      </c>
      <c r="P1476"/>
    </row>
    <row r="1477" spans="1:16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>
        <v>23</v>
      </c>
      <c r="N1477">
        <v>98.41</v>
      </c>
      <c r="O1477">
        <v>29.22465208747515</v>
      </c>
      <c r="P1477"/>
    </row>
    <row r="1478" spans="1:16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  <c r="P1478"/>
    </row>
    <row r="1479" spans="1:16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>
        <v>21</v>
      </c>
      <c r="N1479">
        <v>98.73</v>
      </c>
      <c r="O1479">
        <v>35.756385068762278</v>
      </c>
      <c r="P1479"/>
    </row>
    <row r="1480" spans="1:16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>
        <v>27</v>
      </c>
      <c r="N1480">
        <v>98.32</v>
      </c>
      <c r="O1480">
        <v>26.763485477178421</v>
      </c>
      <c r="P1480"/>
    </row>
    <row r="1481" spans="1:16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>
        <v>16</v>
      </c>
      <c r="N1481">
        <v>99.19</v>
      </c>
      <c r="O1481">
        <v>27.637130801687761</v>
      </c>
      <c r="P1481"/>
    </row>
    <row r="1482" spans="1:16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>
        <v>7</v>
      </c>
      <c r="N1482">
        <v>100</v>
      </c>
      <c r="O1482">
        <v>39.568345323741013</v>
      </c>
      <c r="P1482"/>
    </row>
    <row r="1483" spans="1:16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>
        <v>30</v>
      </c>
      <c r="N1483">
        <v>98.54</v>
      </c>
      <c r="O1483">
        <v>28.544776119402989</v>
      </c>
      <c r="P1483"/>
    </row>
    <row r="1484" spans="1:16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>
        <v>21</v>
      </c>
      <c r="N1484">
        <v>100</v>
      </c>
      <c r="O1484">
        <v>34.366925064599492</v>
      </c>
      <c r="P1484"/>
    </row>
    <row r="1485" spans="1:16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>
        <v>0</v>
      </c>
      <c r="N1485">
        <v>0</v>
      </c>
      <c r="O1485">
        <v>0</v>
      </c>
      <c r="P1485"/>
    </row>
    <row r="1486" spans="1:16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>
        <v>19</v>
      </c>
      <c r="N1486">
        <v>100</v>
      </c>
      <c r="O1486">
        <v>29.518072289156631</v>
      </c>
      <c r="P1486"/>
    </row>
    <row r="1487" spans="1:16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30</v>
      </c>
      <c r="N1487">
        <v>97.45</v>
      </c>
      <c r="O1487">
        <v>41.421143847487002</v>
      </c>
      <c r="P1487"/>
    </row>
    <row r="1488" spans="1:16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>
        <v>21</v>
      </c>
      <c r="N1488">
        <v>96.58</v>
      </c>
      <c r="O1488">
        <v>30.396475770925111</v>
      </c>
      <c r="P1488"/>
    </row>
    <row r="1489" spans="1:16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>
        <v>11</v>
      </c>
      <c r="N1489">
        <v>100</v>
      </c>
      <c r="O1489">
        <v>27.44282744282744</v>
      </c>
      <c r="P1489"/>
    </row>
    <row r="1490" spans="1:16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>
        <v>8</v>
      </c>
      <c r="N1490">
        <v>99.49</v>
      </c>
      <c r="O1490">
        <v>40.200000000000003</v>
      </c>
      <c r="P1490"/>
    </row>
    <row r="1491" spans="1:16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0</v>
      </c>
      <c r="N1491">
        <v>100</v>
      </c>
      <c r="O1491">
        <v>25</v>
      </c>
      <c r="P1491"/>
    </row>
    <row r="1492" spans="1:16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>
        <v>28</v>
      </c>
      <c r="N1492">
        <v>100</v>
      </c>
      <c r="O1492">
        <v>34.15094339622641</v>
      </c>
      <c r="P1492"/>
    </row>
    <row r="1493" spans="1:16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>
        <v>26</v>
      </c>
      <c r="N1493">
        <v>100</v>
      </c>
      <c r="O1493">
        <v>32.731376975169297</v>
      </c>
      <c r="P1493"/>
    </row>
    <row r="1494" spans="1:16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>
        <v>21</v>
      </c>
      <c r="N1494">
        <v>99.31</v>
      </c>
      <c r="O1494">
        <v>30.96234309623431</v>
      </c>
      <c r="P1494"/>
    </row>
    <row r="1495" spans="1:16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>
        <v>12</v>
      </c>
      <c r="N1495">
        <v>96.67</v>
      </c>
      <c r="O1495">
        <v>31.451612903225811</v>
      </c>
      <c r="P1495"/>
    </row>
    <row r="1496" spans="1:16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>
        <v>24</v>
      </c>
      <c r="N1496">
        <v>100</v>
      </c>
      <c r="O1496">
        <v>27.676767676767678</v>
      </c>
      <c r="P1496"/>
    </row>
    <row r="1497" spans="1:16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>
        <v>34</v>
      </c>
      <c r="N1497">
        <v>100</v>
      </c>
      <c r="O1497">
        <v>31.17723156532988</v>
      </c>
      <c r="P1497"/>
    </row>
    <row r="1498" spans="1:16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>
        <v>18</v>
      </c>
      <c r="N1498">
        <v>100</v>
      </c>
      <c r="O1498">
        <v>27.609427609427609</v>
      </c>
      <c r="P1498"/>
    </row>
    <row r="1499" spans="1:16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>
        <v>26</v>
      </c>
      <c r="N1499">
        <v>96.4</v>
      </c>
      <c r="O1499">
        <v>28.764044943820231</v>
      </c>
      <c r="P1499"/>
    </row>
    <row r="1500" spans="1:16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>
        <v>0</v>
      </c>
      <c r="N1500">
        <v>100</v>
      </c>
      <c r="O1500">
        <v>33.980582524271853</v>
      </c>
      <c r="P1500"/>
    </row>
    <row r="1501" spans="1:16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>
        <v>8</v>
      </c>
      <c r="N1501">
        <v>97.56</v>
      </c>
      <c r="O1501">
        <v>32.515337423312893</v>
      </c>
      <c r="P1501"/>
    </row>
    <row r="1502" spans="1:16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>
        <v>17</v>
      </c>
      <c r="N1502">
        <v>97.11</v>
      </c>
      <c r="O1502">
        <v>37.408312958435211</v>
      </c>
      <c r="P1502"/>
    </row>
    <row r="1503" spans="1:16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>
        <v>0</v>
      </c>
      <c r="N1503">
        <v>0</v>
      </c>
      <c r="O1503">
        <v>0</v>
      </c>
      <c r="P1503"/>
    </row>
    <row r="1504" spans="1:16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>
        <v>24</v>
      </c>
      <c r="N1504">
        <v>100</v>
      </c>
      <c r="O1504">
        <v>30.470347648261761</v>
      </c>
      <c r="P1504"/>
    </row>
    <row r="1505" spans="1:16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>
        <v>21</v>
      </c>
      <c r="N1505">
        <v>100</v>
      </c>
      <c r="O1505">
        <v>32.371134020618562</v>
      </c>
      <c r="P1505"/>
    </row>
    <row r="1506" spans="1:16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>
        <v>29</v>
      </c>
      <c r="N1506">
        <v>98.32</v>
      </c>
      <c r="O1506">
        <v>32.318501170960189</v>
      </c>
      <c r="P1506"/>
    </row>
    <row r="1507" spans="1:16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>
        <v>28</v>
      </c>
      <c r="N1507">
        <v>96.43</v>
      </c>
      <c r="O1507">
        <v>27.015250544662312</v>
      </c>
      <c r="P1507"/>
    </row>
    <row r="1508" spans="1:16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22</v>
      </c>
      <c r="N1508">
        <v>98.89</v>
      </c>
      <c r="O1508">
        <v>28.021978021978018</v>
      </c>
      <c r="P1508"/>
    </row>
    <row r="1509" spans="1:16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>
        <v>0</v>
      </c>
      <c r="N1509">
        <v>100</v>
      </c>
      <c r="O1509">
        <v>33.333333333333329</v>
      </c>
      <c r="P1509"/>
    </row>
    <row r="1510" spans="1:16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27.43362831858407</v>
      </c>
      <c r="P1510"/>
    </row>
    <row r="1511" spans="1:16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>
        <v>31</v>
      </c>
      <c r="N1511">
        <v>98.65</v>
      </c>
      <c r="O1511">
        <v>30.978260869565219</v>
      </c>
      <c r="P1511"/>
    </row>
    <row r="1512" spans="1:16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>
        <v>0</v>
      </c>
      <c r="N1512">
        <v>100</v>
      </c>
      <c r="O1512">
        <v>12</v>
      </c>
      <c r="P1512"/>
    </row>
    <row r="1513" spans="1:16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>
        <v>0</v>
      </c>
      <c r="N1513">
        <v>0</v>
      </c>
      <c r="O1513">
        <v>0</v>
      </c>
      <c r="P1513"/>
    </row>
    <row r="1514" spans="1:16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>
        <v>17</v>
      </c>
      <c r="N1514">
        <v>97.56</v>
      </c>
      <c r="O1514">
        <v>31.067961165048541</v>
      </c>
      <c r="P1514"/>
    </row>
    <row r="1515" spans="1:16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>
        <v>0</v>
      </c>
      <c r="N1515">
        <v>0</v>
      </c>
      <c r="O1515">
        <v>0</v>
      </c>
      <c r="P1515"/>
    </row>
    <row r="1516" spans="1:16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  <c r="P1516"/>
    </row>
    <row r="1517" spans="1:16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  <c r="P1517"/>
    </row>
    <row r="1518" spans="1:16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100</v>
      </c>
      <c r="O1518">
        <v>53.846153846153847</v>
      </c>
      <c r="P1518"/>
    </row>
    <row r="1519" spans="1:16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>
        <v>33</v>
      </c>
      <c r="N1519">
        <v>100</v>
      </c>
      <c r="O1519">
        <v>44.05594405594406</v>
      </c>
      <c r="P1519"/>
    </row>
    <row r="1520" spans="1:16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>
        <v>13</v>
      </c>
      <c r="N1520">
        <v>100</v>
      </c>
      <c r="O1520">
        <v>31.872509960159359</v>
      </c>
      <c r="P1520"/>
    </row>
    <row r="1521" spans="1:16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>
        <v>24</v>
      </c>
      <c r="N1521">
        <v>98.41</v>
      </c>
      <c r="O1521">
        <v>29.22465208747515</v>
      </c>
      <c r="P1521"/>
    </row>
    <row r="1522" spans="1:16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>
        <v>21</v>
      </c>
      <c r="N1522">
        <v>96.81</v>
      </c>
      <c r="O1522">
        <v>27.980535279805348</v>
      </c>
      <c r="P1522"/>
    </row>
    <row r="1523" spans="1:16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>
        <v>29</v>
      </c>
      <c r="N1523">
        <v>98.73</v>
      </c>
      <c r="O1523">
        <v>35.756385068762278</v>
      </c>
      <c r="P1523"/>
    </row>
    <row r="1524" spans="1:16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>
        <v>24</v>
      </c>
      <c r="N1524">
        <v>98.32</v>
      </c>
      <c r="O1524">
        <v>26.763485477178421</v>
      </c>
      <c r="P1524"/>
    </row>
    <row r="1525" spans="1:16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>
        <v>31</v>
      </c>
      <c r="N1525">
        <v>99.19</v>
      </c>
      <c r="O1525">
        <v>27.637130801687761</v>
      </c>
      <c r="P1525"/>
    </row>
    <row r="1526" spans="1:16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>
        <v>10</v>
      </c>
      <c r="N1526">
        <v>100</v>
      </c>
      <c r="O1526">
        <v>39.568345323741013</v>
      </c>
      <c r="P1526"/>
    </row>
    <row r="1527" spans="1:16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>
        <v>26</v>
      </c>
      <c r="N1527">
        <v>98.54</v>
      </c>
      <c r="O1527">
        <v>28.544776119402989</v>
      </c>
      <c r="P1527"/>
    </row>
    <row r="1528" spans="1:16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>
        <v>22</v>
      </c>
      <c r="N1528">
        <v>100</v>
      </c>
      <c r="O1528">
        <v>34.366925064599492</v>
      </c>
      <c r="P1528"/>
    </row>
    <row r="1529" spans="1:16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>
        <v>0</v>
      </c>
      <c r="N1529">
        <v>0</v>
      </c>
      <c r="O1529">
        <v>0</v>
      </c>
      <c r="P1529"/>
    </row>
    <row r="1530" spans="1:16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>
        <v>22</v>
      </c>
      <c r="N1530">
        <v>100</v>
      </c>
      <c r="O1530">
        <v>29.518072289156631</v>
      </c>
      <c r="P1530"/>
    </row>
    <row r="1531" spans="1:16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>
        <v>25</v>
      </c>
      <c r="N1531">
        <v>97.45</v>
      </c>
      <c r="O1531">
        <v>41.421143847487002</v>
      </c>
      <c r="P1531"/>
    </row>
    <row r="1532" spans="1:16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>
        <v>19</v>
      </c>
      <c r="N1532">
        <v>96.58</v>
      </c>
      <c r="O1532">
        <v>30.396475770925111</v>
      </c>
      <c r="P1532"/>
    </row>
    <row r="1533" spans="1:16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>
        <v>27</v>
      </c>
      <c r="N1533">
        <v>100</v>
      </c>
      <c r="O1533">
        <v>27.44282744282744</v>
      </c>
      <c r="P1533"/>
    </row>
    <row r="1534" spans="1:16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>
        <v>26</v>
      </c>
      <c r="N1534">
        <v>99.49</v>
      </c>
      <c r="O1534">
        <v>40.200000000000003</v>
      </c>
      <c r="P1534"/>
    </row>
    <row r="1535" spans="1:16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0</v>
      </c>
      <c r="N1535">
        <v>100</v>
      </c>
      <c r="O1535">
        <v>25</v>
      </c>
      <c r="P1535"/>
    </row>
    <row r="1536" spans="1:16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>
        <v>30</v>
      </c>
      <c r="N1536">
        <v>100</v>
      </c>
      <c r="O1536">
        <v>34.15094339622641</v>
      </c>
      <c r="P1536"/>
    </row>
    <row r="1537" spans="1:16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>
        <v>25</v>
      </c>
      <c r="N1537">
        <v>100</v>
      </c>
      <c r="O1537">
        <v>32.731376975169297</v>
      </c>
      <c r="P1537"/>
    </row>
    <row r="1538" spans="1:16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>
        <v>25</v>
      </c>
      <c r="N1538">
        <v>99.31</v>
      </c>
      <c r="O1538">
        <v>30.96234309623431</v>
      </c>
      <c r="P1538"/>
    </row>
    <row r="1539" spans="1:16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>
        <v>20</v>
      </c>
      <c r="N1539">
        <v>99.05</v>
      </c>
      <c r="O1539">
        <v>26.621923937360179</v>
      </c>
      <c r="P1539"/>
    </row>
    <row r="1540" spans="1:16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>
        <v>28</v>
      </c>
      <c r="N1540">
        <v>100</v>
      </c>
      <c r="O1540">
        <v>27.676767676767678</v>
      </c>
      <c r="P1540"/>
    </row>
    <row r="1541" spans="1:16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>
        <v>30</v>
      </c>
      <c r="N1541">
        <v>100</v>
      </c>
      <c r="O1541">
        <v>31.17723156532988</v>
      </c>
      <c r="P1541"/>
    </row>
    <row r="1542" spans="1:16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  <c r="P1542"/>
    </row>
    <row r="1543" spans="1:16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>
        <v>23</v>
      </c>
      <c r="N1543">
        <v>96.4</v>
      </c>
      <c r="O1543">
        <v>28.764044943820231</v>
      </c>
      <c r="P1543"/>
    </row>
    <row r="1544" spans="1:16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>
        <v>0</v>
      </c>
      <c r="N1544">
        <v>100</v>
      </c>
      <c r="O1544">
        <v>33.980582524271853</v>
      </c>
      <c r="P1544"/>
    </row>
    <row r="1545" spans="1:16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>
        <v>5</v>
      </c>
      <c r="N1545">
        <v>97.56</v>
      </c>
      <c r="O1545">
        <v>32.515337423312893</v>
      </c>
      <c r="P1545"/>
    </row>
    <row r="1546" spans="1:16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>
        <v>14</v>
      </c>
      <c r="N1546">
        <v>97.11</v>
      </c>
      <c r="O1546">
        <v>37.408312958435211</v>
      </c>
      <c r="P1546"/>
    </row>
    <row r="1547" spans="1:16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>
        <v>0</v>
      </c>
      <c r="N1547">
        <v>0</v>
      </c>
      <c r="O1547">
        <v>0</v>
      </c>
      <c r="P1547"/>
    </row>
    <row r="1548" spans="1:16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>
        <v>18</v>
      </c>
      <c r="N1548">
        <v>100</v>
      </c>
      <c r="O1548">
        <v>30.470347648261761</v>
      </c>
      <c r="P1548"/>
    </row>
    <row r="1549" spans="1:16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>
        <v>24</v>
      </c>
      <c r="N1549">
        <v>100</v>
      </c>
      <c r="O1549">
        <v>32.371134020618562</v>
      </c>
      <c r="P1549"/>
    </row>
    <row r="1550" spans="1:16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>
        <v>19</v>
      </c>
      <c r="N1550">
        <v>98.32</v>
      </c>
      <c r="O1550">
        <v>32.318501170960189</v>
      </c>
      <c r="P1550"/>
    </row>
    <row r="1551" spans="1:16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>
        <v>13</v>
      </c>
      <c r="N1551">
        <v>96.43</v>
      </c>
      <c r="O1551">
        <v>27.015250544662312</v>
      </c>
      <c r="P1551"/>
    </row>
    <row r="1552" spans="1:16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>
        <v>13</v>
      </c>
      <c r="N1552">
        <v>98.89</v>
      </c>
      <c r="O1552">
        <v>28.021978021978018</v>
      </c>
      <c r="P1552"/>
    </row>
    <row r="1553" spans="1:16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4</v>
      </c>
      <c r="N1553">
        <v>100</v>
      </c>
      <c r="O1553">
        <v>33.333333333333329</v>
      </c>
      <c r="P1553"/>
    </row>
    <row r="1554" spans="1:16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>
        <v>0</v>
      </c>
      <c r="N1554">
        <v>100</v>
      </c>
      <c r="O1554">
        <v>27.43362831858407</v>
      </c>
      <c r="P1554"/>
    </row>
    <row r="1555" spans="1:16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>
        <v>18</v>
      </c>
      <c r="N1555">
        <v>98.65</v>
      </c>
      <c r="O1555">
        <v>30.978260869565219</v>
      </c>
      <c r="P1555"/>
    </row>
    <row r="1556" spans="1:16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>
        <v>5</v>
      </c>
      <c r="N1556">
        <v>100</v>
      </c>
      <c r="O1556">
        <v>12</v>
      </c>
      <c r="P1556"/>
    </row>
    <row r="1557" spans="1:16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>
        <v>0</v>
      </c>
      <c r="N1557">
        <v>0</v>
      </c>
      <c r="O1557">
        <v>0</v>
      </c>
      <c r="P1557"/>
    </row>
    <row r="1558" spans="1:16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>
        <v>8</v>
      </c>
      <c r="N1558">
        <v>97.56</v>
      </c>
      <c r="O1558">
        <v>31.067961165048541</v>
      </c>
      <c r="P1558"/>
    </row>
    <row r="1559" spans="1:16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>
        <v>0</v>
      </c>
      <c r="N1559">
        <v>0</v>
      </c>
      <c r="O1559">
        <v>0</v>
      </c>
      <c r="P1559"/>
    </row>
    <row r="1560" spans="1:16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  <c r="P1560"/>
    </row>
    <row r="1561" spans="1:16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  <c r="P1561"/>
    </row>
    <row r="1562" spans="1:16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100</v>
      </c>
      <c r="O1562">
        <v>53.846153846153847</v>
      </c>
      <c r="P1562"/>
    </row>
    <row r="1563" spans="1:16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>
        <v>28</v>
      </c>
      <c r="N1563">
        <v>100</v>
      </c>
      <c r="O1563">
        <v>44.05594405594406</v>
      </c>
      <c r="P1563"/>
    </row>
    <row r="1564" spans="1:16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>
        <v>17</v>
      </c>
      <c r="N1564">
        <v>100</v>
      </c>
      <c r="O1564">
        <v>31.872509960159359</v>
      </c>
      <c r="P1564"/>
    </row>
    <row r="1565" spans="1:16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>
        <v>29</v>
      </c>
      <c r="N1565">
        <v>98.41</v>
      </c>
      <c r="O1565">
        <v>29.22465208747515</v>
      </c>
      <c r="P1565"/>
    </row>
    <row r="1566" spans="1:16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>
        <v>39</v>
      </c>
      <c r="N1566">
        <v>96.81</v>
      </c>
      <c r="O1566">
        <v>27.980535279805348</v>
      </c>
      <c r="P1566"/>
    </row>
    <row r="1567" spans="1:16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>
        <v>36</v>
      </c>
      <c r="N1567">
        <v>98.73</v>
      </c>
      <c r="O1567">
        <v>35.756385068762278</v>
      </c>
      <c r="P1567"/>
    </row>
    <row r="1568" spans="1:16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>
        <v>24</v>
      </c>
      <c r="N1568">
        <v>98.32</v>
      </c>
      <c r="O1568">
        <v>26.763485477178421</v>
      </c>
      <c r="P1568"/>
    </row>
    <row r="1569" spans="1:16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>
        <v>20</v>
      </c>
      <c r="N1569">
        <v>99.19</v>
      </c>
      <c r="O1569">
        <v>27.637130801687761</v>
      </c>
      <c r="P1569"/>
    </row>
    <row r="1570" spans="1:16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>
        <v>13</v>
      </c>
      <c r="N1570">
        <v>100</v>
      </c>
      <c r="O1570">
        <v>39.568345323741013</v>
      </c>
      <c r="P1570"/>
    </row>
    <row r="1571" spans="1:16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>
        <v>38</v>
      </c>
      <c r="N1571">
        <v>98.54</v>
      </c>
      <c r="O1571">
        <v>28.544776119402989</v>
      </c>
      <c r="P1571"/>
    </row>
    <row r="1572" spans="1:16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>
        <v>20</v>
      </c>
      <c r="N1572">
        <v>100</v>
      </c>
      <c r="O1572">
        <v>34.366925064599492</v>
      </c>
      <c r="P1572"/>
    </row>
    <row r="1573" spans="1:16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>
        <v>0</v>
      </c>
      <c r="N1573">
        <v>0</v>
      </c>
      <c r="O1573">
        <v>0</v>
      </c>
      <c r="P1573"/>
    </row>
    <row r="1574" spans="1:16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>
        <v>26</v>
      </c>
      <c r="N1574">
        <v>100</v>
      </c>
      <c r="O1574">
        <v>29.518072289156631</v>
      </c>
      <c r="P1574"/>
    </row>
    <row r="1575" spans="1:16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>
        <v>36</v>
      </c>
      <c r="N1575">
        <v>97.45</v>
      </c>
      <c r="O1575">
        <v>41.421143847487002</v>
      </c>
      <c r="P1575"/>
    </row>
    <row r="1576" spans="1:16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>
        <v>30</v>
      </c>
      <c r="N1576">
        <v>96.58</v>
      </c>
      <c r="O1576">
        <v>30.396475770925111</v>
      </c>
      <c r="P1576"/>
    </row>
    <row r="1577" spans="1:16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>
        <v>28</v>
      </c>
      <c r="N1577">
        <v>100</v>
      </c>
      <c r="O1577">
        <v>27.44282744282744</v>
      </c>
      <c r="P1577"/>
    </row>
    <row r="1578" spans="1:16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>
        <v>31</v>
      </c>
      <c r="N1578">
        <v>99.49</v>
      </c>
      <c r="O1578">
        <v>40.200000000000003</v>
      </c>
      <c r="P1578"/>
    </row>
    <row r="1579" spans="1:16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>
        <v>0</v>
      </c>
      <c r="N1579">
        <v>100</v>
      </c>
      <c r="O1579">
        <v>25</v>
      </c>
      <c r="P1579"/>
    </row>
    <row r="1580" spans="1:16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>
        <v>31</v>
      </c>
      <c r="N1580">
        <v>100</v>
      </c>
      <c r="O1580">
        <v>34.15094339622641</v>
      </c>
      <c r="P1580"/>
    </row>
    <row r="1581" spans="1:16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>
        <v>32</v>
      </c>
      <c r="N1581">
        <v>100</v>
      </c>
      <c r="O1581">
        <v>32.731376975169297</v>
      </c>
      <c r="P1581"/>
    </row>
    <row r="1582" spans="1:16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>
        <v>28</v>
      </c>
      <c r="N1582">
        <v>99.31</v>
      </c>
      <c r="O1582">
        <v>30.96234309623431</v>
      </c>
      <c r="P1582"/>
    </row>
    <row r="1583" spans="1:16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>
        <v>21</v>
      </c>
      <c r="N1583">
        <v>99.05</v>
      </c>
      <c r="O1583">
        <v>26.621923937360179</v>
      </c>
      <c r="P1583"/>
    </row>
    <row r="1584" spans="1:16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>
        <v>30</v>
      </c>
      <c r="N1584">
        <v>100</v>
      </c>
      <c r="O1584">
        <v>27.676767676767678</v>
      </c>
      <c r="P1584"/>
    </row>
    <row r="1585" spans="1:16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>
        <v>47</v>
      </c>
      <c r="N1585">
        <v>100</v>
      </c>
      <c r="O1585">
        <v>31.17723156532988</v>
      </c>
      <c r="P1585"/>
    </row>
    <row r="1586" spans="1:16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>
        <v>16</v>
      </c>
      <c r="N1586">
        <v>100</v>
      </c>
      <c r="O1586">
        <v>27.609427609427609</v>
      </c>
      <c r="P1586"/>
    </row>
    <row r="1587" spans="1:16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>
        <v>37</v>
      </c>
      <c r="N1587">
        <v>96.4</v>
      </c>
      <c r="O1587">
        <v>28.764044943820231</v>
      </c>
      <c r="P1587"/>
    </row>
    <row r="1588" spans="1:16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>
        <v>0</v>
      </c>
      <c r="N1588">
        <v>100</v>
      </c>
      <c r="O1588">
        <v>33.980582524271853</v>
      </c>
      <c r="P1588"/>
    </row>
    <row r="1589" spans="1:16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>
        <v>10</v>
      </c>
      <c r="N1589">
        <v>97.56</v>
      </c>
      <c r="O1589">
        <v>32.515337423312893</v>
      </c>
      <c r="P1589"/>
    </row>
    <row r="1590" spans="1:16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>
        <v>18</v>
      </c>
      <c r="N1590">
        <v>97.11</v>
      </c>
      <c r="O1590">
        <v>37.408312958435211</v>
      </c>
      <c r="P1590"/>
    </row>
    <row r="1591" spans="1:16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>
        <v>0</v>
      </c>
      <c r="N1591">
        <v>0</v>
      </c>
      <c r="O1591">
        <v>0</v>
      </c>
      <c r="P1591"/>
    </row>
    <row r="1592" spans="1:16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>
        <v>28</v>
      </c>
      <c r="N1592">
        <v>100</v>
      </c>
      <c r="O1592">
        <v>30.470347648261761</v>
      </c>
      <c r="P1592"/>
    </row>
    <row r="1593" spans="1:16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>
        <v>25</v>
      </c>
      <c r="N1593">
        <v>100</v>
      </c>
      <c r="O1593">
        <v>32.371134020618562</v>
      </c>
      <c r="P1593"/>
    </row>
    <row r="1594" spans="1:16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>
        <v>35</v>
      </c>
      <c r="N1594">
        <v>98.32</v>
      </c>
      <c r="O1594">
        <v>32.318501170960189</v>
      </c>
      <c r="P1594"/>
    </row>
    <row r="1595" spans="1:16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>
        <v>13</v>
      </c>
      <c r="N1595">
        <v>96.43</v>
      </c>
      <c r="O1595">
        <v>27.015250544662312</v>
      </c>
      <c r="P1595"/>
    </row>
    <row r="1596" spans="1:16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>
        <v>16</v>
      </c>
      <c r="N1596">
        <v>98.89</v>
      </c>
      <c r="O1596">
        <v>28.021978021978018</v>
      </c>
      <c r="P1596"/>
    </row>
    <row r="1597" spans="1:16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>
        <v>0</v>
      </c>
      <c r="N1597">
        <v>100</v>
      </c>
      <c r="O1597">
        <v>33.333333333333329</v>
      </c>
      <c r="P1597"/>
    </row>
    <row r="1598" spans="1:16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27.43362831858407</v>
      </c>
      <c r="P1598"/>
    </row>
    <row r="1599" spans="1:16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>
        <v>31</v>
      </c>
      <c r="N1599">
        <v>98.65</v>
      </c>
      <c r="O1599">
        <v>30.978260869565219</v>
      </c>
      <c r="P1599"/>
    </row>
    <row r="1600" spans="1:16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>
        <v>3</v>
      </c>
      <c r="N1600">
        <v>100</v>
      </c>
      <c r="O1600">
        <v>12</v>
      </c>
      <c r="P1600"/>
    </row>
    <row r="1601" spans="1:16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>
        <v>0</v>
      </c>
      <c r="N1601">
        <v>0</v>
      </c>
      <c r="O1601">
        <v>0</v>
      </c>
      <c r="P1601"/>
    </row>
    <row r="1602" spans="1:16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>
        <v>25</v>
      </c>
      <c r="N1602">
        <v>97.56</v>
      </c>
      <c r="O1602">
        <v>31.067961165048541</v>
      </c>
      <c r="P1602"/>
    </row>
    <row r="1603" spans="1:16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>
        <v>0</v>
      </c>
      <c r="N1603">
        <v>0</v>
      </c>
      <c r="O1603">
        <v>0</v>
      </c>
      <c r="P1603"/>
    </row>
    <row r="1604" spans="1:16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  <c r="P1604"/>
    </row>
    <row r="1605" spans="1:16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  <c r="P1605"/>
    </row>
    <row r="1606" spans="1:16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  <c r="P1606"/>
    </row>
    <row r="1607" spans="1:16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>
        <v>40</v>
      </c>
      <c r="N1607">
        <v>100</v>
      </c>
      <c r="O1607">
        <v>44.05594405594406</v>
      </c>
      <c r="P1607"/>
    </row>
    <row r="1608" spans="1:16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>
        <v>7</v>
      </c>
      <c r="N1608">
        <v>100</v>
      </c>
      <c r="O1608">
        <v>31.872509960159359</v>
      </c>
      <c r="P1608"/>
    </row>
    <row r="1609" spans="1:16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>
        <v>27</v>
      </c>
      <c r="N1609">
        <v>98.41</v>
      </c>
      <c r="O1609">
        <v>29.22465208747515</v>
      </c>
      <c r="P1609"/>
    </row>
    <row r="1610" spans="1:16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>
        <v>21</v>
      </c>
      <c r="N1610">
        <v>96.81</v>
      </c>
      <c r="O1610">
        <v>27.980535279805348</v>
      </c>
      <c r="P1610"/>
    </row>
    <row r="1611" spans="1:16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>
        <v>28</v>
      </c>
      <c r="N1611">
        <v>98.73</v>
      </c>
      <c r="O1611">
        <v>35.756385068762278</v>
      </c>
      <c r="P1611"/>
    </row>
    <row r="1612" spans="1:16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>
        <v>29</v>
      </c>
      <c r="N1612">
        <v>98.32</v>
      </c>
      <c r="O1612">
        <v>26.763485477178421</v>
      </c>
      <c r="P1612"/>
    </row>
    <row r="1613" spans="1:16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>
        <v>21</v>
      </c>
      <c r="N1613">
        <v>99.19</v>
      </c>
      <c r="O1613">
        <v>27.637130801687761</v>
      </c>
      <c r="P1613"/>
    </row>
    <row r="1614" spans="1:16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>
        <v>8</v>
      </c>
      <c r="N1614">
        <v>100</v>
      </c>
      <c r="O1614">
        <v>39.568345323741013</v>
      </c>
      <c r="P1614"/>
    </row>
    <row r="1615" spans="1:16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>
        <v>30</v>
      </c>
      <c r="N1615">
        <v>98.54</v>
      </c>
      <c r="O1615">
        <v>28.544776119402989</v>
      </c>
      <c r="P1615"/>
    </row>
    <row r="1616" spans="1:16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>
        <v>27</v>
      </c>
      <c r="N1616">
        <v>100</v>
      </c>
      <c r="O1616">
        <v>34.366925064599492</v>
      </c>
      <c r="P1616"/>
    </row>
    <row r="1617" spans="1:16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>
        <v>0</v>
      </c>
      <c r="N1617">
        <v>0</v>
      </c>
      <c r="O1617">
        <v>0</v>
      </c>
      <c r="P1617"/>
    </row>
    <row r="1618" spans="1:16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>
        <v>12</v>
      </c>
      <c r="N1618">
        <v>100</v>
      </c>
      <c r="O1618">
        <v>29.518072289156631</v>
      </c>
      <c r="P1618"/>
    </row>
    <row r="1619" spans="1:16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>
        <v>25</v>
      </c>
      <c r="N1619">
        <v>97.45</v>
      </c>
      <c r="O1619">
        <v>41.421143847487002</v>
      </c>
      <c r="P1619"/>
    </row>
    <row r="1620" spans="1:16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>
        <v>28</v>
      </c>
      <c r="N1620">
        <v>96.58</v>
      </c>
      <c r="O1620">
        <v>30.396475770925111</v>
      </c>
      <c r="P1620"/>
    </row>
    <row r="1621" spans="1:16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>
        <v>22</v>
      </c>
      <c r="N1621">
        <v>100</v>
      </c>
      <c r="O1621">
        <v>27.44282744282744</v>
      </c>
      <c r="P1621"/>
    </row>
    <row r="1622" spans="1:16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>
        <v>31</v>
      </c>
      <c r="N1622">
        <v>99.49</v>
      </c>
      <c r="O1622">
        <v>40.200000000000003</v>
      </c>
      <c r="P1622"/>
    </row>
    <row r="1623" spans="1:16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>
        <v>2</v>
      </c>
      <c r="N1623">
        <v>100</v>
      </c>
      <c r="O1623">
        <v>25</v>
      </c>
      <c r="P1623"/>
    </row>
    <row r="1624" spans="1:16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>
        <v>18</v>
      </c>
      <c r="N1624">
        <v>100</v>
      </c>
      <c r="O1624">
        <v>34.15094339622641</v>
      </c>
      <c r="P1624"/>
    </row>
    <row r="1625" spans="1:16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>
        <v>27</v>
      </c>
      <c r="N1625">
        <v>100</v>
      </c>
      <c r="O1625">
        <v>32.731376975169297</v>
      </c>
      <c r="P1625"/>
    </row>
    <row r="1626" spans="1:16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>
        <v>37</v>
      </c>
      <c r="N1626">
        <v>99.31</v>
      </c>
      <c r="O1626">
        <v>30.96234309623431</v>
      </c>
      <c r="P1626"/>
    </row>
    <row r="1627" spans="1:16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>
        <v>21</v>
      </c>
      <c r="N1627">
        <v>99.05</v>
      </c>
      <c r="O1627">
        <v>26.621923937360179</v>
      </c>
      <c r="P1627"/>
    </row>
    <row r="1628" spans="1:16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>
        <v>30</v>
      </c>
      <c r="N1628">
        <v>100</v>
      </c>
      <c r="O1628">
        <v>27.676767676767678</v>
      </c>
      <c r="P1628"/>
    </row>
    <row r="1629" spans="1:16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38</v>
      </c>
      <c r="N1629">
        <v>100</v>
      </c>
      <c r="O1629">
        <v>31.17723156532988</v>
      </c>
      <c r="P1629"/>
    </row>
    <row r="1630" spans="1:16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>
        <v>14</v>
      </c>
      <c r="N1630">
        <v>100</v>
      </c>
      <c r="O1630">
        <v>27.609427609427609</v>
      </c>
      <c r="P1630"/>
    </row>
    <row r="1631" spans="1:16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>
        <v>23</v>
      </c>
      <c r="N1631">
        <v>96.4</v>
      </c>
      <c r="O1631">
        <v>28.764044943820231</v>
      </c>
      <c r="P1631"/>
    </row>
    <row r="1632" spans="1:16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>
        <v>0</v>
      </c>
      <c r="N1632">
        <v>100</v>
      </c>
      <c r="O1632">
        <v>33.980582524271853</v>
      </c>
      <c r="P1632"/>
    </row>
    <row r="1633" spans="1:16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>
        <v>7</v>
      </c>
      <c r="N1633">
        <v>97.56</v>
      </c>
      <c r="O1633">
        <v>32.515337423312893</v>
      </c>
      <c r="P1633"/>
    </row>
    <row r="1634" spans="1:16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>
        <v>14</v>
      </c>
      <c r="N1634">
        <v>97.11</v>
      </c>
      <c r="O1634">
        <v>37.408312958435211</v>
      </c>
      <c r="P1634"/>
    </row>
    <row r="1635" spans="1:16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>
        <v>0</v>
      </c>
      <c r="N1635">
        <v>0</v>
      </c>
      <c r="O1635">
        <v>0</v>
      </c>
      <c r="P1635"/>
    </row>
    <row r="1636" spans="1:16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>
        <v>25</v>
      </c>
      <c r="N1636">
        <v>100</v>
      </c>
      <c r="O1636">
        <v>30.470347648261761</v>
      </c>
      <c r="P1636"/>
    </row>
    <row r="1637" spans="1:16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31</v>
      </c>
      <c r="N1637">
        <v>100</v>
      </c>
      <c r="O1637">
        <v>32.371134020618562</v>
      </c>
      <c r="P1637"/>
    </row>
    <row r="1638" spans="1:16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>
        <v>15</v>
      </c>
      <c r="N1638">
        <v>98.32</v>
      </c>
      <c r="O1638">
        <v>32.318501170960189</v>
      </c>
      <c r="P1638"/>
    </row>
    <row r="1639" spans="1:16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>
        <v>15</v>
      </c>
      <c r="N1639">
        <v>96.43</v>
      </c>
      <c r="O1639">
        <v>27.015250544662312</v>
      </c>
      <c r="P1639"/>
    </row>
    <row r="1640" spans="1:16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>
        <v>17</v>
      </c>
      <c r="N1640">
        <v>98.89</v>
      </c>
      <c r="O1640">
        <v>28.021978021978018</v>
      </c>
      <c r="P1640"/>
    </row>
    <row r="1641" spans="1:16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>
        <v>7</v>
      </c>
      <c r="N1641">
        <v>100</v>
      </c>
      <c r="O1641">
        <v>33.333333333333329</v>
      </c>
      <c r="P1641"/>
    </row>
    <row r="1642" spans="1:16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>
        <v>0</v>
      </c>
      <c r="N1642">
        <v>100</v>
      </c>
      <c r="O1642">
        <v>27.43362831858407</v>
      </c>
      <c r="P1642"/>
    </row>
    <row r="1643" spans="1:16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>
        <v>28</v>
      </c>
      <c r="N1643">
        <v>98.65</v>
      </c>
      <c r="O1643">
        <v>30.978260869565219</v>
      </c>
      <c r="P1643"/>
    </row>
    <row r="1644" spans="1:16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>
        <v>5</v>
      </c>
      <c r="N1644">
        <v>100</v>
      </c>
      <c r="O1644">
        <v>12</v>
      </c>
      <c r="P1644"/>
    </row>
    <row r="1645" spans="1:16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>
        <v>0</v>
      </c>
      <c r="N1645">
        <v>0</v>
      </c>
      <c r="O1645">
        <v>0</v>
      </c>
      <c r="P1645"/>
    </row>
    <row r="1646" spans="1:16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>
        <v>11</v>
      </c>
      <c r="N1646">
        <v>97.56</v>
      </c>
      <c r="O1646">
        <v>31.067961165048541</v>
      </c>
      <c r="P1646"/>
    </row>
    <row r="1647" spans="1:16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>
        <v>0</v>
      </c>
      <c r="N1647">
        <v>0</v>
      </c>
      <c r="O1647">
        <v>0</v>
      </c>
      <c r="P1647"/>
    </row>
    <row r="1648" spans="1:16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  <c r="P1648"/>
    </row>
    <row r="1649" spans="1:16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  <c r="P1649"/>
    </row>
    <row r="1650" spans="1:16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>
        <v>6</v>
      </c>
      <c r="N1650">
        <v>100</v>
      </c>
      <c r="O1650">
        <v>53.846153846153847</v>
      </c>
      <c r="P1650"/>
    </row>
    <row r="1651" spans="1:16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>
        <v>34</v>
      </c>
      <c r="N1651">
        <v>100</v>
      </c>
      <c r="O1651">
        <v>44.05594405594406</v>
      </c>
      <c r="P1651"/>
    </row>
    <row r="1652" spans="1:16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>
        <v>10</v>
      </c>
      <c r="N1652">
        <v>100</v>
      </c>
      <c r="O1652">
        <v>31.872509960159359</v>
      </c>
      <c r="P1652"/>
    </row>
    <row r="1653" spans="1:16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>
        <v>29</v>
      </c>
      <c r="N1653">
        <v>98.41</v>
      </c>
      <c r="O1653">
        <v>29.22465208747515</v>
      </c>
      <c r="P1653"/>
    </row>
    <row r="1654" spans="1:16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>
        <v>23</v>
      </c>
      <c r="N1654">
        <v>96.81</v>
      </c>
      <c r="O1654">
        <v>27.980535279805348</v>
      </c>
      <c r="P1654"/>
    </row>
    <row r="1655" spans="1:16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>
        <v>29</v>
      </c>
      <c r="N1655">
        <v>98.73</v>
      </c>
      <c r="O1655">
        <v>35.756385068762278</v>
      </c>
      <c r="P1655"/>
    </row>
    <row r="1656" spans="1:16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>
        <v>21</v>
      </c>
      <c r="N1656">
        <v>98.32</v>
      </c>
      <c r="O1656">
        <v>26.763485477178421</v>
      </c>
      <c r="P1656"/>
    </row>
    <row r="1657" spans="1:16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>
        <v>23</v>
      </c>
      <c r="N1657">
        <v>99.19</v>
      </c>
      <c r="O1657">
        <v>27.637130801687761</v>
      </c>
      <c r="P1657"/>
    </row>
    <row r="1658" spans="1:16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>
        <v>0</v>
      </c>
      <c r="N1658">
        <v>100</v>
      </c>
      <c r="O1658">
        <v>39.568345323741013</v>
      </c>
      <c r="P1658"/>
    </row>
    <row r="1659" spans="1:16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>
        <v>22</v>
      </c>
      <c r="N1659">
        <v>98.54</v>
      </c>
      <c r="O1659">
        <v>28.544776119402989</v>
      </c>
      <c r="P1659"/>
    </row>
    <row r="1660" spans="1:16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>
        <v>16</v>
      </c>
      <c r="N1660">
        <v>100</v>
      </c>
      <c r="O1660">
        <v>34.366925064599492</v>
      </c>
      <c r="P1660"/>
    </row>
    <row r="1661" spans="1:16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>
        <v>0</v>
      </c>
      <c r="N1661">
        <v>0</v>
      </c>
      <c r="O1661">
        <v>0</v>
      </c>
      <c r="P1661"/>
    </row>
    <row r="1662" spans="1:16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>
        <v>21</v>
      </c>
      <c r="N1662">
        <v>100</v>
      </c>
      <c r="O1662">
        <v>29.518072289156631</v>
      </c>
      <c r="P1662"/>
    </row>
    <row r="1663" spans="1:16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>
        <v>45</v>
      </c>
      <c r="N1663">
        <v>97.45</v>
      </c>
      <c r="O1663">
        <v>41.421143847487002</v>
      </c>
      <c r="P1663"/>
    </row>
    <row r="1664" spans="1:16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>
        <v>24</v>
      </c>
      <c r="N1664">
        <v>96.58</v>
      </c>
      <c r="O1664">
        <v>30.396475770925111</v>
      </c>
      <c r="P1664"/>
    </row>
    <row r="1665" spans="1:16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>
        <v>29</v>
      </c>
      <c r="N1665">
        <v>100</v>
      </c>
      <c r="O1665">
        <v>27.44282744282744</v>
      </c>
      <c r="P1665"/>
    </row>
    <row r="1666" spans="1:16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>
        <v>38</v>
      </c>
      <c r="N1666">
        <v>99.49</v>
      </c>
      <c r="O1666">
        <v>40.200000000000003</v>
      </c>
      <c r="P1666"/>
    </row>
    <row r="1667" spans="1:16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>
        <v>2</v>
      </c>
      <c r="N1667">
        <v>100</v>
      </c>
      <c r="O1667">
        <v>25</v>
      </c>
      <c r="P1667"/>
    </row>
    <row r="1668" spans="1:16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>
        <v>31</v>
      </c>
      <c r="N1668">
        <v>100</v>
      </c>
      <c r="O1668">
        <v>34.15094339622641</v>
      </c>
      <c r="P1668"/>
    </row>
    <row r="1669" spans="1:16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>
        <v>28</v>
      </c>
      <c r="N1669">
        <v>100</v>
      </c>
      <c r="O1669">
        <v>32.731376975169297</v>
      </c>
      <c r="P1669"/>
    </row>
    <row r="1670" spans="1:16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  <c r="P1670"/>
    </row>
    <row r="1671" spans="1:16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>
        <v>27</v>
      </c>
      <c r="N1671">
        <v>99.05</v>
      </c>
      <c r="O1671">
        <v>26.621923937360179</v>
      </c>
      <c r="P1671"/>
    </row>
    <row r="1672" spans="1:16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>
        <v>31</v>
      </c>
      <c r="N1672">
        <v>100</v>
      </c>
      <c r="O1672">
        <v>27.676767676767678</v>
      </c>
      <c r="P1672"/>
    </row>
    <row r="1673" spans="1:16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>
        <v>58</v>
      </c>
      <c r="N1673">
        <v>100</v>
      </c>
      <c r="O1673">
        <v>31.17723156532988</v>
      </c>
      <c r="P1673"/>
    </row>
    <row r="1674" spans="1:16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>
        <v>15</v>
      </c>
      <c r="N1674">
        <v>100</v>
      </c>
      <c r="O1674">
        <v>27.609427609427609</v>
      </c>
      <c r="P1674"/>
    </row>
    <row r="1675" spans="1:16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>
        <v>14</v>
      </c>
      <c r="N1675">
        <v>96.4</v>
      </c>
      <c r="O1675">
        <v>28.764044943820231</v>
      </c>
      <c r="P1675"/>
    </row>
    <row r="1676" spans="1:16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>
        <v>0</v>
      </c>
      <c r="N1676">
        <v>100</v>
      </c>
      <c r="O1676">
        <v>33.980582524271853</v>
      </c>
      <c r="P1676"/>
    </row>
    <row r="1677" spans="1:16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>
        <v>16</v>
      </c>
      <c r="N1677">
        <v>97.56</v>
      </c>
      <c r="O1677">
        <v>32.515337423312893</v>
      </c>
      <c r="P1677"/>
    </row>
    <row r="1678" spans="1:16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>
        <v>16</v>
      </c>
      <c r="N1678">
        <v>97.11</v>
      </c>
      <c r="O1678">
        <v>37.408312958435211</v>
      </c>
      <c r="P1678"/>
    </row>
    <row r="1679" spans="1:16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>
        <v>0</v>
      </c>
      <c r="N1679">
        <v>0</v>
      </c>
      <c r="O1679">
        <v>0</v>
      </c>
      <c r="P1679"/>
    </row>
    <row r="1680" spans="1:16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>
        <v>28</v>
      </c>
      <c r="N1680">
        <v>100</v>
      </c>
      <c r="O1680">
        <v>30.470347648261761</v>
      </c>
      <c r="P1680"/>
    </row>
    <row r="1681" spans="1:16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>
        <v>30</v>
      </c>
      <c r="N1681">
        <v>100</v>
      </c>
      <c r="O1681">
        <v>32.371134020618562</v>
      </c>
      <c r="P1681"/>
    </row>
    <row r="1682" spans="1:16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>
        <v>29</v>
      </c>
      <c r="N1682">
        <v>98.32</v>
      </c>
      <c r="O1682">
        <v>32.318501170960189</v>
      </c>
      <c r="P1682"/>
    </row>
    <row r="1683" spans="1:16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>
        <v>9</v>
      </c>
      <c r="N1683">
        <v>96.43</v>
      </c>
      <c r="O1683">
        <v>27.015250544662312</v>
      </c>
      <c r="P1683"/>
    </row>
    <row r="1684" spans="1:16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>
        <v>17</v>
      </c>
      <c r="N1684">
        <v>98.89</v>
      </c>
      <c r="O1684">
        <v>28.021978021978018</v>
      </c>
      <c r="P1684"/>
    </row>
    <row r="1685" spans="1:16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>
        <v>7</v>
      </c>
      <c r="N1685">
        <v>100</v>
      </c>
      <c r="O1685">
        <v>33.333333333333329</v>
      </c>
      <c r="P1685"/>
    </row>
    <row r="1686" spans="1:16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>
        <v>0</v>
      </c>
      <c r="N1686">
        <v>100</v>
      </c>
      <c r="O1686">
        <v>27.43362831858407</v>
      </c>
      <c r="P1686"/>
    </row>
    <row r="1687" spans="1:16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>
        <v>31</v>
      </c>
      <c r="N1687">
        <v>98.65</v>
      </c>
      <c r="O1687">
        <v>30.978260869565219</v>
      </c>
      <c r="P1687"/>
    </row>
    <row r="1688" spans="1:16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>
        <v>2</v>
      </c>
      <c r="N1688">
        <v>100</v>
      </c>
      <c r="O1688">
        <v>12</v>
      </c>
      <c r="P1688"/>
    </row>
    <row r="1689" spans="1:16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>
        <v>0</v>
      </c>
      <c r="N1689">
        <v>0</v>
      </c>
      <c r="O1689">
        <v>0</v>
      </c>
      <c r="P1689"/>
    </row>
    <row r="1690" spans="1:16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>
        <v>25</v>
      </c>
      <c r="N1690">
        <v>97.56</v>
      </c>
      <c r="O1690">
        <v>31.067961165048541</v>
      </c>
      <c r="P1690"/>
    </row>
    <row r="1691" spans="1:16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>
        <v>0</v>
      </c>
      <c r="N1691">
        <v>0</v>
      </c>
      <c r="O1691">
        <v>0</v>
      </c>
      <c r="P1691"/>
    </row>
    <row r="1692" spans="1:16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  <c r="P1692"/>
    </row>
    <row r="1693" spans="1:16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  <c r="P1693"/>
    </row>
    <row r="1694" spans="1:16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>
        <v>5</v>
      </c>
      <c r="N1694">
        <v>100</v>
      </c>
      <c r="O1694">
        <v>53.846153846153847</v>
      </c>
      <c r="P1694"/>
    </row>
    <row r="1695" spans="1:16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>
        <v>29</v>
      </c>
      <c r="N1695">
        <v>100</v>
      </c>
      <c r="O1695">
        <v>44.05594405594406</v>
      </c>
      <c r="P1695"/>
    </row>
    <row r="1696" spans="1:16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>
        <v>15</v>
      </c>
      <c r="N1696">
        <v>100</v>
      </c>
      <c r="O1696">
        <v>31.872509960159359</v>
      </c>
      <c r="P1696"/>
    </row>
    <row r="1697" spans="1:16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>
        <v>29</v>
      </c>
      <c r="N1697">
        <v>98.41</v>
      </c>
      <c r="O1697">
        <v>29.22465208747515</v>
      </c>
      <c r="P1697"/>
    </row>
    <row r="1698" spans="1:16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>
        <v>40</v>
      </c>
      <c r="N1698">
        <v>98.32</v>
      </c>
      <c r="O1698">
        <v>30.303030303030301</v>
      </c>
      <c r="P1698"/>
    </row>
    <row r="1699" spans="1:16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>
        <v>30</v>
      </c>
      <c r="N1699">
        <v>98.68</v>
      </c>
      <c r="O1699">
        <v>26.219512195121951</v>
      </c>
      <c r="P1699"/>
    </row>
    <row r="1700" spans="1:16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>
        <v>28</v>
      </c>
      <c r="N1700">
        <v>100</v>
      </c>
      <c r="O1700">
        <v>31.74224343675418</v>
      </c>
      <c r="P1700"/>
    </row>
    <row r="1701" spans="1:16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>
        <v>23</v>
      </c>
      <c r="N1701">
        <v>98.25</v>
      </c>
      <c r="O1701">
        <v>25.83518930957684</v>
      </c>
      <c r="P1701"/>
    </row>
    <row r="1702" spans="1:16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>
        <v>0</v>
      </c>
      <c r="N1702">
        <v>97.5</v>
      </c>
      <c r="O1702">
        <v>30.075187969924809</v>
      </c>
      <c r="P1702"/>
    </row>
    <row r="1703" spans="1:16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>
        <v>30</v>
      </c>
      <c r="N1703">
        <v>100</v>
      </c>
      <c r="O1703">
        <v>29.71311475409836</v>
      </c>
      <c r="P1703"/>
    </row>
    <row r="1704" spans="1:16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>
        <v>18</v>
      </c>
      <c r="N1704">
        <v>99.22</v>
      </c>
      <c r="O1704">
        <v>35.256410256410263</v>
      </c>
      <c r="P1704"/>
    </row>
    <row r="1705" spans="1:16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>
        <v>0</v>
      </c>
      <c r="N1705">
        <v>0</v>
      </c>
      <c r="O1705">
        <v>0</v>
      </c>
      <c r="P1705"/>
    </row>
    <row r="1706" spans="1:16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>
        <v>23</v>
      </c>
      <c r="N1706">
        <v>98.75</v>
      </c>
      <c r="O1706">
        <v>24.32432432432433</v>
      </c>
      <c r="P1706"/>
    </row>
    <row r="1707" spans="1:16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>
        <v>35</v>
      </c>
      <c r="N1707">
        <v>93.48</v>
      </c>
      <c r="O1707">
        <v>31.52804642166344</v>
      </c>
      <c r="P1707"/>
    </row>
    <row r="1708" spans="1:16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>
        <v>32</v>
      </c>
      <c r="N1708">
        <v>99.16</v>
      </c>
      <c r="O1708">
        <v>26.13908872901678</v>
      </c>
      <c r="P1708"/>
    </row>
    <row r="1709" spans="1:16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>
        <v>22</v>
      </c>
      <c r="N1709">
        <v>100</v>
      </c>
      <c r="O1709">
        <v>31.089743589743591</v>
      </c>
      <c r="P1709"/>
    </row>
    <row r="1710" spans="1:16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>
        <v>37</v>
      </c>
      <c r="N1710">
        <v>98.11</v>
      </c>
      <c r="O1710">
        <v>33.033707865168537</v>
      </c>
      <c r="P1710"/>
    </row>
    <row r="1711" spans="1:16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0</v>
      </c>
      <c r="N1711">
        <v>78.95</v>
      </c>
      <c r="O1711">
        <v>38.983050847457633</v>
      </c>
      <c r="P1711"/>
    </row>
    <row r="1712" spans="1:16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>
        <v>22</v>
      </c>
      <c r="N1712">
        <v>98.45</v>
      </c>
      <c r="O1712">
        <v>29.281767955801101</v>
      </c>
      <c r="P1712"/>
    </row>
    <row r="1713" spans="1:16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>
        <v>21</v>
      </c>
      <c r="N1713">
        <v>97.84</v>
      </c>
      <c r="O1713">
        <v>26.282051282051281</v>
      </c>
      <c r="P1713"/>
    </row>
    <row r="1714" spans="1:16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>
        <v>28</v>
      </c>
      <c r="N1714">
        <v>98.5</v>
      </c>
      <c r="O1714">
        <v>23.97769516728625</v>
      </c>
      <c r="P1714"/>
    </row>
    <row r="1715" spans="1:16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>
        <v>37</v>
      </c>
      <c r="N1715">
        <v>99.05</v>
      </c>
      <c r="O1715">
        <v>26.621923937360179</v>
      </c>
      <c r="P1715"/>
    </row>
    <row r="1716" spans="1:16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>
        <v>31</v>
      </c>
      <c r="N1716">
        <v>98.53</v>
      </c>
      <c r="O1716">
        <v>31.578947368421051</v>
      </c>
      <c r="P1716"/>
    </row>
    <row r="1717" spans="1:16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>
        <v>54</v>
      </c>
      <c r="N1717">
        <v>100</v>
      </c>
      <c r="O1717">
        <v>25.72214580467676</v>
      </c>
      <c r="P1717"/>
    </row>
    <row r="1718" spans="1:16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>
        <v>18</v>
      </c>
      <c r="N1718">
        <v>94.64</v>
      </c>
      <c r="O1718">
        <v>27.52941176470588</v>
      </c>
      <c r="P1718"/>
    </row>
    <row r="1719" spans="1:16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>
        <v>34</v>
      </c>
      <c r="N1719">
        <v>99.07</v>
      </c>
      <c r="O1719">
        <v>26.376811594202898</v>
      </c>
      <c r="P1719"/>
    </row>
    <row r="1720" spans="1:16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>
        <v>0</v>
      </c>
      <c r="N1720">
        <v>100</v>
      </c>
      <c r="O1720">
        <v>0</v>
      </c>
      <c r="P1720"/>
    </row>
    <row r="1721" spans="1:16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>
        <v>13</v>
      </c>
      <c r="N1721">
        <v>98.48</v>
      </c>
      <c r="O1721">
        <v>27.853881278538811</v>
      </c>
      <c r="P1721"/>
    </row>
    <row r="1722" spans="1:16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>
        <v>26</v>
      </c>
      <c r="N1722">
        <v>95.15</v>
      </c>
      <c r="O1722">
        <v>34.131736526946113</v>
      </c>
      <c r="P1722"/>
    </row>
    <row r="1723" spans="1:16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>
        <v>0</v>
      </c>
      <c r="N1723">
        <v>0</v>
      </c>
      <c r="O1723">
        <v>0</v>
      </c>
      <c r="P1723"/>
    </row>
    <row r="1724" spans="1:16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>
        <v>28</v>
      </c>
      <c r="N1724">
        <v>99.26</v>
      </c>
      <c r="O1724">
        <v>30.84832904884319</v>
      </c>
      <c r="P1724"/>
    </row>
    <row r="1725" spans="1:16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>
        <v>27</v>
      </c>
      <c r="N1725">
        <v>97.48</v>
      </c>
      <c r="O1725">
        <v>27.764705882352938</v>
      </c>
      <c r="P1725"/>
    </row>
    <row r="1726" spans="1:16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>
        <v>32</v>
      </c>
      <c r="N1726">
        <v>99.34</v>
      </c>
      <c r="O1726">
        <v>30.04291845493562</v>
      </c>
      <c r="P1726"/>
    </row>
    <row r="1727" spans="1:16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0</v>
      </c>
      <c r="N1727">
        <v>96.3</v>
      </c>
      <c r="O1727">
        <v>24.29378531073446</v>
      </c>
      <c r="P1727"/>
    </row>
    <row r="1728" spans="1:16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>
        <v>22</v>
      </c>
      <c r="N1728">
        <v>100</v>
      </c>
      <c r="O1728">
        <v>26.543209876543209</v>
      </c>
      <c r="P1728"/>
    </row>
    <row r="1729" spans="1:16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>
        <v>7</v>
      </c>
      <c r="N1729">
        <v>100</v>
      </c>
      <c r="O1729">
        <v>35.483870967741943</v>
      </c>
      <c r="P1729"/>
    </row>
    <row r="1730" spans="1:16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>
        <v>33</v>
      </c>
      <c r="N1730">
        <v>99.27</v>
      </c>
      <c r="O1730">
        <v>31.163708086785011</v>
      </c>
      <c r="P1730"/>
    </row>
    <row r="1731" spans="1:16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>
        <v>38</v>
      </c>
      <c r="N1731">
        <v>94.16</v>
      </c>
      <c r="O1731">
        <v>27.038626609442058</v>
      </c>
      <c r="P1731"/>
    </row>
    <row r="1732" spans="1:16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>
        <v>1</v>
      </c>
      <c r="N1732">
        <v>93.75</v>
      </c>
      <c r="O1732">
        <v>19.31818181818182</v>
      </c>
      <c r="P1732"/>
    </row>
    <row r="1733" spans="1:16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>
        <v>0</v>
      </c>
      <c r="N1733">
        <v>0</v>
      </c>
      <c r="O1733">
        <v>0</v>
      </c>
      <c r="P1733"/>
    </row>
    <row r="1734" spans="1:16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  <c r="P1734"/>
    </row>
    <row r="1735" spans="1:16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>
        <v>0</v>
      </c>
      <c r="N1735">
        <v>0</v>
      </c>
      <c r="O1735">
        <v>0</v>
      </c>
      <c r="P1735"/>
    </row>
    <row r="1736" spans="1:16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  <c r="P1736"/>
    </row>
    <row r="1737" spans="1:16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  <c r="P1737"/>
    </row>
    <row r="1738" spans="1:16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>
        <v>11</v>
      </c>
      <c r="N1738">
        <v>98.51</v>
      </c>
      <c r="O1738">
        <v>29.710144927536231</v>
      </c>
      <c r="P1738"/>
    </row>
    <row r="1739" spans="1:16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>
        <v>40</v>
      </c>
      <c r="N1739">
        <v>98.81</v>
      </c>
      <c r="O1739">
        <v>30.712979890310791</v>
      </c>
      <c r="P1739"/>
    </row>
    <row r="1740" spans="1:16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>
        <v>16</v>
      </c>
      <c r="N1740">
        <v>98.48</v>
      </c>
      <c r="O1740">
        <v>29.35323383084577</v>
      </c>
      <c r="P1740"/>
    </row>
    <row r="1741" spans="1:16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>
        <v>29</v>
      </c>
      <c r="N1741">
        <v>98.56</v>
      </c>
      <c r="O1741">
        <v>29.373650107991359</v>
      </c>
      <c r="P1741"/>
    </row>
    <row r="1742" spans="1:16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>
        <v>34</v>
      </c>
      <c r="N1742">
        <v>98.32</v>
      </c>
      <c r="O1742">
        <v>30.303030303030301</v>
      </c>
      <c r="P1742"/>
    </row>
    <row r="1743" spans="1:16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>
        <v>29</v>
      </c>
      <c r="N1743">
        <v>98.68</v>
      </c>
      <c r="O1743">
        <v>26.219512195121951</v>
      </c>
      <c r="P1743"/>
    </row>
    <row r="1744" spans="1:16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>
        <v>27</v>
      </c>
      <c r="N1744">
        <v>100</v>
      </c>
      <c r="O1744">
        <v>31.74224343675418</v>
      </c>
      <c r="P1744"/>
    </row>
    <row r="1745" spans="1:16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>
        <v>37</v>
      </c>
      <c r="N1745">
        <v>98.25</v>
      </c>
      <c r="O1745">
        <v>25.83518930957684</v>
      </c>
      <c r="P1745"/>
    </row>
    <row r="1746" spans="1:16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>
        <v>6</v>
      </c>
      <c r="N1746">
        <v>97.5</v>
      </c>
      <c r="O1746">
        <v>30.075187969924809</v>
      </c>
      <c r="P1746"/>
    </row>
    <row r="1747" spans="1:16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>
        <v>36</v>
      </c>
      <c r="N1747">
        <v>100</v>
      </c>
      <c r="O1747">
        <v>29.71311475409836</v>
      </c>
      <c r="P1747"/>
    </row>
    <row r="1748" spans="1:16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>
        <v>23</v>
      </c>
      <c r="N1748">
        <v>99.22</v>
      </c>
      <c r="O1748">
        <v>35.256410256410263</v>
      </c>
      <c r="P1748"/>
    </row>
    <row r="1749" spans="1:16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>
        <v>0</v>
      </c>
      <c r="N1749">
        <v>0</v>
      </c>
      <c r="O1749">
        <v>0</v>
      </c>
      <c r="P1749"/>
    </row>
    <row r="1750" spans="1:16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>
        <v>21</v>
      </c>
      <c r="N1750">
        <v>98.75</v>
      </c>
      <c r="O1750">
        <v>24.32432432432433</v>
      </c>
      <c r="P1750"/>
    </row>
    <row r="1751" spans="1:16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>
        <v>29</v>
      </c>
      <c r="N1751">
        <v>93.48</v>
      </c>
      <c r="O1751">
        <v>31.52804642166344</v>
      </c>
      <c r="P1751"/>
    </row>
    <row r="1752" spans="1:16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>
        <v>30</v>
      </c>
      <c r="N1752">
        <v>99.16</v>
      </c>
      <c r="O1752">
        <v>26.13908872901678</v>
      </c>
      <c r="P1752"/>
    </row>
    <row r="1753" spans="1:16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>
        <v>32</v>
      </c>
      <c r="N1753">
        <v>100</v>
      </c>
      <c r="O1753">
        <v>31.089743589743591</v>
      </c>
      <c r="P1753"/>
    </row>
    <row r="1754" spans="1:16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>
        <v>30</v>
      </c>
      <c r="N1754">
        <v>98.11</v>
      </c>
      <c r="O1754">
        <v>33.033707865168537</v>
      </c>
      <c r="P1754"/>
    </row>
    <row r="1755" spans="1:16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>
        <v>6</v>
      </c>
      <c r="N1755">
        <v>78.95</v>
      </c>
      <c r="O1755">
        <v>38.983050847457633</v>
      </c>
      <c r="P1755"/>
    </row>
    <row r="1756" spans="1:16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>
        <v>31</v>
      </c>
      <c r="N1756">
        <v>98.45</v>
      </c>
      <c r="O1756">
        <v>29.281767955801101</v>
      </c>
      <c r="P1756"/>
    </row>
    <row r="1757" spans="1:16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>
        <v>30</v>
      </c>
      <c r="N1757">
        <v>97.84</v>
      </c>
      <c r="O1757">
        <v>26.282051282051281</v>
      </c>
      <c r="P1757"/>
    </row>
    <row r="1758" spans="1:16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>
        <v>49</v>
      </c>
      <c r="N1758">
        <v>98.5</v>
      </c>
      <c r="O1758">
        <v>23.97769516728625</v>
      </c>
      <c r="P1758"/>
    </row>
    <row r="1759" spans="1:16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>
        <v>28</v>
      </c>
      <c r="N1759">
        <v>99.05</v>
      </c>
      <c r="O1759">
        <v>26.621923937360179</v>
      </c>
      <c r="P1759"/>
    </row>
    <row r="1760" spans="1:16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>
        <v>28</v>
      </c>
      <c r="N1760">
        <v>98.53</v>
      </c>
      <c r="O1760">
        <v>31.578947368421051</v>
      </c>
      <c r="P1760"/>
    </row>
    <row r="1761" spans="1:16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>
        <v>44</v>
      </c>
      <c r="N1761">
        <v>100</v>
      </c>
      <c r="O1761">
        <v>25.72214580467676</v>
      </c>
      <c r="P1761"/>
    </row>
    <row r="1762" spans="1:16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>
        <v>43</v>
      </c>
      <c r="N1762">
        <v>94.64</v>
      </c>
      <c r="O1762">
        <v>27.52941176470588</v>
      </c>
      <c r="P1762"/>
    </row>
    <row r="1763" spans="1:16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>
        <v>29</v>
      </c>
      <c r="N1763">
        <v>99.07</v>
      </c>
      <c r="O1763">
        <v>26.376811594202898</v>
      </c>
      <c r="P1763"/>
    </row>
    <row r="1764" spans="1:16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>
        <v>0</v>
      </c>
      <c r="N1764">
        <v>100</v>
      </c>
      <c r="O1764">
        <v>0</v>
      </c>
      <c r="P1764"/>
    </row>
    <row r="1765" spans="1:16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>
        <v>16</v>
      </c>
      <c r="N1765">
        <v>98.48</v>
      </c>
      <c r="O1765">
        <v>27.853881278538811</v>
      </c>
      <c r="P1765"/>
    </row>
    <row r="1766" spans="1:16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>
        <v>11</v>
      </c>
      <c r="N1766">
        <v>95.15</v>
      </c>
      <c r="O1766">
        <v>34.131736526946113</v>
      </c>
      <c r="P1766"/>
    </row>
    <row r="1767" spans="1:16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>
        <v>0</v>
      </c>
      <c r="N1767">
        <v>0</v>
      </c>
      <c r="O1767">
        <v>0</v>
      </c>
      <c r="P1767"/>
    </row>
    <row r="1768" spans="1:16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>
        <v>24</v>
      </c>
      <c r="N1768">
        <v>99.26</v>
      </c>
      <c r="O1768">
        <v>30.84832904884319</v>
      </c>
      <c r="P1768"/>
    </row>
    <row r="1769" spans="1:16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>
        <v>26</v>
      </c>
      <c r="N1769">
        <v>97.48</v>
      </c>
      <c r="O1769">
        <v>27.764705882352938</v>
      </c>
      <c r="P1769"/>
    </row>
    <row r="1770" spans="1:16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>
        <v>33</v>
      </c>
      <c r="N1770">
        <v>99.34</v>
      </c>
      <c r="O1770">
        <v>30.04291845493562</v>
      </c>
      <c r="P1770"/>
    </row>
    <row r="1771" spans="1:16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>
        <v>8</v>
      </c>
      <c r="N1771">
        <v>96.3</v>
      </c>
      <c r="O1771">
        <v>24.29378531073446</v>
      </c>
      <c r="P1771"/>
    </row>
    <row r="1772" spans="1:16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>
        <v>24</v>
      </c>
      <c r="N1772">
        <v>100</v>
      </c>
      <c r="O1772">
        <v>26.543209876543209</v>
      </c>
      <c r="P1772"/>
    </row>
    <row r="1773" spans="1:16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>
        <v>5</v>
      </c>
      <c r="N1773">
        <v>100</v>
      </c>
      <c r="O1773">
        <v>35.483870967741943</v>
      </c>
      <c r="P1773"/>
    </row>
    <row r="1774" spans="1:16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24</v>
      </c>
      <c r="N1774">
        <v>99.27</v>
      </c>
      <c r="O1774">
        <v>31.163708086785011</v>
      </c>
      <c r="P1774"/>
    </row>
    <row r="1775" spans="1:16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>
        <v>38</v>
      </c>
      <c r="N1775">
        <v>94.16</v>
      </c>
      <c r="O1775">
        <v>27.038626609442058</v>
      </c>
      <c r="P1775"/>
    </row>
    <row r="1776" spans="1:16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>
        <v>5</v>
      </c>
      <c r="N1776">
        <v>93.75</v>
      </c>
      <c r="O1776">
        <v>19.31818181818182</v>
      </c>
      <c r="P1776"/>
    </row>
    <row r="1777" spans="1:16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>
        <v>0</v>
      </c>
      <c r="N1777">
        <v>0</v>
      </c>
      <c r="O1777">
        <v>0</v>
      </c>
      <c r="P1777"/>
    </row>
    <row r="1778" spans="1:16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>
        <v>26</v>
      </c>
      <c r="N1778">
        <v>97.92</v>
      </c>
      <c r="O1778">
        <v>32.87671232876712</v>
      </c>
      <c r="P1778"/>
    </row>
    <row r="1779" spans="1:16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>
        <v>0</v>
      </c>
      <c r="N1779">
        <v>0</v>
      </c>
      <c r="O1779">
        <v>0</v>
      </c>
      <c r="P1779"/>
    </row>
    <row r="1780" spans="1:16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  <c r="P1780"/>
    </row>
    <row r="1781" spans="1:16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  <c r="P1781"/>
    </row>
    <row r="1782" spans="1:16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>
        <v>17</v>
      </c>
      <c r="N1782">
        <v>98.51</v>
      </c>
      <c r="O1782">
        <v>29.710144927536231</v>
      </c>
      <c r="P1782"/>
    </row>
    <row r="1783" spans="1:16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>
        <v>32</v>
      </c>
      <c r="N1783">
        <v>98.81</v>
      </c>
      <c r="O1783">
        <v>30.712979890310791</v>
      </c>
      <c r="P1783"/>
    </row>
    <row r="1784" spans="1:16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>
        <v>12</v>
      </c>
      <c r="N1784">
        <v>98.48</v>
      </c>
      <c r="O1784">
        <v>29.35323383084577</v>
      </c>
      <c r="P1784"/>
    </row>
    <row r="1785" spans="1:16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>
        <v>32</v>
      </c>
      <c r="N1785">
        <v>98.56</v>
      </c>
      <c r="O1785">
        <v>29.373650107991359</v>
      </c>
      <c r="P1785"/>
    </row>
    <row r="1786" spans="1:16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>
        <v>24</v>
      </c>
      <c r="N1786">
        <v>98.32</v>
      </c>
      <c r="O1786">
        <v>30.303030303030301</v>
      </c>
      <c r="P1786"/>
    </row>
    <row r="1787" spans="1:16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>
        <v>28</v>
      </c>
      <c r="N1787">
        <v>98.68</v>
      </c>
      <c r="O1787">
        <v>26.219512195121951</v>
      </c>
      <c r="P1787"/>
    </row>
    <row r="1788" spans="1:16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>
        <v>25</v>
      </c>
      <c r="N1788">
        <v>100</v>
      </c>
      <c r="O1788">
        <v>31.74224343675418</v>
      </c>
      <c r="P1788"/>
    </row>
    <row r="1789" spans="1:16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>
        <v>32</v>
      </c>
      <c r="N1789">
        <v>98.25</v>
      </c>
      <c r="O1789">
        <v>25.83518930957684</v>
      </c>
      <c r="P1789"/>
    </row>
    <row r="1790" spans="1:16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>
        <v>8</v>
      </c>
      <c r="N1790">
        <v>97.5</v>
      </c>
      <c r="O1790">
        <v>30.075187969924809</v>
      </c>
      <c r="P1790"/>
    </row>
    <row r="1791" spans="1:16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>
        <v>32</v>
      </c>
      <c r="N1791">
        <v>100</v>
      </c>
      <c r="O1791">
        <v>29.71311475409836</v>
      </c>
      <c r="P1791"/>
    </row>
    <row r="1792" spans="1:16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>
        <v>31</v>
      </c>
      <c r="N1792">
        <v>99.22</v>
      </c>
      <c r="O1792">
        <v>35.256410256410263</v>
      </c>
      <c r="P1792"/>
    </row>
    <row r="1793" spans="1:16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>
        <v>0</v>
      </c>
      <c r="N1793">
        <v>0</v>
      </c>
      <c r="O1793">
        <v>0</v>
      </c>
      <c r="P1793"/>
    </row>
    <row r="1794" spans="1:16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>
        <v>16</v>
      </c>
      <c r="N1794">
        <v>98.75</v>
      </c>
      <c r="O1794">
        <v>24.32432432432433</v>
      </c>
      <c r="P1794"/>
    </row>
    <row r="1795" spans="1:16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>
        <v>43</v>
      </c>
      <c r="N1795">
        <v>93.48</v>
      </c>
      <c r="O1795">
        <v>31.52804642166344</v>
      </c>
      <c r="P1795"/>
    </row>
    <row r="1796" spans="1:16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>
        <v>38</v>
      </c>
      <c r="N1796">
        <v>99.16</v>
      </c>
      <c r="O1796">
        <v>26.13908872901678</v>
      </c>
      <c r="P1796"/>
    </row>
    <row r="1797" spans="1:16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>
        <v>18</v>
      </c>
      <c r="N1797">
        <v>100</v>
      </c>
      <c r="O1797">
        <v>31.089743589743591</v>
      </c>
      <c r="P1797"/>
    </row>
    <row r="1798" spans="1:16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  <c r="P1798"/>
    </row>
    <row r="1799" spans="1:16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>
        <v>3</v>
      </c>
      <c r="N1799">
        <v>78.95</v>
      </c>
      <c r="O1799">
        <v>38.983050847457633</v>
      </c>
      <c r="P1799"/>
    </row>
    <row r="1800" spans="1:16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>
        <v>20</v>
      </c>
      <c r="N1800">
        <v>98.45</v>
      </c>
      <c r="O1800">
        <v>29.281767955801101</v>
      </c>
      <c r="P1800"/>
    </row>
    <row r="1801" spans="1:16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>
        <v>27</v>
      </c>
      <c r="N1801">
        <v>97.84</v>
      </c>
      <c r="O1801">
        <v>26.282051282051281</v>
      </c>
      <c r="P1801"/>
    </row>
    <row r="1802" spans="1:16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>
        <v>47</v>
      </c>
      <c r="N1802">
        <v>98.5</v>
      </c>
      <c r="O1802">
        <v>23.97769516728625</v>
      </c>
      <c r="P1802"/>
    </row>
    <row r="1803" spans="1:16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>
        <v>15</v>
      </c>
      <c r="N1803">
        <v>99.05</v>
      </c>
      <c r="O1803">
        <v>26.621923937360179</v>
      </c>
      <c r="P1803"/>
    </row>
    <row r="1804" spans="1:16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>
        <v>30</v>
      </c>
      <c r="N1804">
        <v>98.53</v>
      </c>
      <c r="O1804">
        <v>31.578947368421051</v>
      </c>
      <c r="P1804"/>
    </row>
    <row r="1805" spans="1:16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>
        <v>55</v>
      </c>
      <c r="N1805">
        <v>100</v>
      </c>
      <c r="O1805">
        <v>25.72214580467676</v>
      </c>
      <c r="P1805"/>
    </row>
    <row r="1806" spans="1:16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>
        <v>41</v>
      </c>
      <c r="N1806">
        <v>94.64</v>
      </c>
      <c r="O1806">
        <v>27.52941176470588</v>
      </c>
      <c r="P1806"/>
    </row>
    <row r="1807" spans="1:16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>
        <v>31</v>
      </c>
      <c r="N1807">
        <v>99.07</v>
      </c>
      <c r="O1807">
        <v>26.376811594202898</v>
      </c>
      <c r="P1807"/>
    </row>
    <row r="1808" spans="1:16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>
        <v>0</v>
      </c>
      <c r="N1808">
        <v>100</v>
      </c>
      <c r="O1808">
        <v>0</v>
      </c>
      <c r="P1808"/>
    </row>
    <row r="1809" spans="1:16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>
        <v>15</v>
      </c>
      <c r="N1809">
        <v>98.48</v>
      </c>
      <c r="O1809">
        <v>27.853881278538811</v>
      </c>
      <c r="P1809"/>
    </row>
    <row r="1810" spans="1:16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30</v>
      </c>
      <c r="N1810">
        <v>95.15</v>
      </c>
      <c r="O1810">
        <v>34.131736526946113</v>
      </c>
      <c r="P1810"/>
    </row>
    <row r="1811" spans="1:16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>
        <v>0</v>
      </c>
      <c r="N1811">
        <v>0</v>
      </c>
      <c r="O1811">
        <v>0</v>
      </c>
      <c r="P1811"/>
    </row>
    <row r="1812" spans="1:16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>
        <v>25</v>
      </c>
      <c r="N1812">
        <v>99.26</v>
      </c>
      <c r="O1812">
        <v>30.84832904884319</v>
      </c>
      <c r="P1812"/>
    </row>
    <row r="1813" spans="1:16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>
        <v>27</v>
      </c>
      <c r="N1813">
        <v>97.48</v>
      </c>
      <c r="O1813">
        <v>27.764705882352938</v>
      </c>
      <c r="P1813"/>
    </row>
    <row r="1814" spans="1:16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>
        <v>38</v>
      </c>
      <c r="N1814">
        <v>99.34</v>
      </c>
      <c r="O1814">
        <v>30.04291845493562</v>
      </c>
      <c r="P1814"/>
    </row>
    <row r="1815" spans="1:16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>
        <v>26</v>
      </c>
      <c r="N1815">
        <v>96.3</v>
      </c>
      <c r="O1815">
        <v>24.29378531073446</v>
      </c>
      <c r="P1815"/>
    </row>
    <row r="1816" spans="1:16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21</v>
      </c>
      <c r="N1816">
        <v>100</v>
      </c>
      <c r="O1816">
        <v>26.543209876543209</v>
      </c>
      <c r="P1816"/>
    </row>
    <row r="1817" spans="1:16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>
        <v>6</v>
      </c>
      <c r="N1817">
        <v>100</v>
      </c>
      <c r="O1817">
        <v>35.483870967741943</v>
      </c>
      <c r="P1817"/>
    </row>
    <row r="1818" spans="1:16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>
        <v>36</v>
      </c>
      <c r="N1818">
        <v>99.27</v>
      </c>
      <c r="O1818">
        <v>31.163708086785011</v>
      </c>
      <c r="P1818"/>
    </row>
    <row r="1819" spans="1:16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>
        <v>32</v>
      </c>
      <c r="N1819">
        <v>94.16</v>
      </c>
      <c r="O1819">
        <v>27.038626609442058</v>
      </c>
      <c r="P1819"/>
    </row>
    <row r="1820" spans="1:16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>
        <v>6</v>
      </c>
      <c r="N1820">
        <v>93.75</v>
      </c>
      <c r="O1820">
        <v>19.31818181818182</v>
      </c>
      <c r="P1820"/>
    </row>
    <row r="1821" spans="1:16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>
        <v>0</v>
      </c>
      <c r="N1821">
        <v>0</v>
      </c>
      <c r="O1821">
        <v>0</v>
      </c>
      <c r="P1821"/>
    </row>
    <row r="1822" spans="1:16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97.92</v>
      </c>
      <c r="O1822">
        <v>32.87671232876712</v>
      </c>
      <c r="P1822"/>
    </row>
    <row r="1823" spans="1:16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0</v>
      </c>
      <c r="O1823">
        <v>0</v>
      </c>
      <c r="P1823"/>
    </row>
    <row r="1824" spans="1:16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  <c r="P1824"/>
    </row>
    <row r="1825" spans="1:16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  <c r="P1825"/>
    </row>
    <row r="1826" spans="1:16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>
        <v>16</v>
      </c>
      <c r="N1826">
        <v>98.51</v>
      </c>
      <c r="O1826">
        <v>29.710144927536231</v>
      </c>
      <c r="P1826"/>
    </row>
    <row r="1827" spans="1:16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>
        <v>30</v>
      </c>
      <c r="N1827">
        <v>98.81</v>
      </c>
      <c r="O1827">
        <v>30.712979890310791</v>
      </c>
      <c r="P1827"/>
    </row>
    <row r="1828" spans="1:16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>
        <v>16</v>
      </c>
      <c r="N1828">
        <v>98.48</v>
      </c>
      <c r="O1828">
        <v>29.35323383084577</v>
      </c>
      <c r="P1828"/>
    </row>
    <row r="1829" spans="1:16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>
        <v>36</v>
      </c>
      <c r="N1829">
        <v>98.56</v>
      </c>
      <c r="O1829">
        <v>29.373650107991359</v>
      </c>
      <c r="P1829"/>
    </row>
    <row r="1830" spans="1:16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>
        <v>33</v>
      </c>
      <c r="N1830">
        <v>98.32</v>
      </c>
      <c r="O1830">
        <v>30.303030303030301</v>
      </c>
      <c r="P1830"/>
    </row>
    <row r="1831" spans="1:16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>
        <v>40</v>
      </c>
      <c r="N1831">
        <v>98.68</v>
      </c>
      <c r="O1831">
        <v>26.219512195121951</v>
      </c>
      <c r="P1831"/>
    </row>
    <row r="1832" spans="1:16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>
        <v>38</v>
      </c>
      <c r="N1832">
        <v>100</v>
      </c>
      <c r="O1832">
        <v>31.74224343675418</v>
      </c>
      <c r="P1832"/>
    </row>
    <row r="1833" spans="1:16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>
        <v>39</v>
      </c>
      <c r="N1833">
        <v>98.25</v>
      </c>
      <c r="O1833">
        <v>25.83518930957684</v>
      </c>
      <c r="P1833"/>
    </row>
    <row r="1834" spans="1:16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>
        <v>0</v>
      </c>
      <c r="N1834">
        <v>97.5</v>
      </c>
      <c r="O1834">
        <v>30.075187969924809</v>
      </c>
      <c r="P1834"/>
    </row>
    <row r="1835" spans="1:16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>
        <v>30</v>
      </c>
      <c r="N1835">
        <v>100</v>
      </c>
      <c r="O1835">
        <v>29.71311475409836</v>
      </c>
      <c r="P1835"/>
    </row>
    <row r="1836" spans="1:16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>
        <v>17</v>
      </c>
      <c r="N1836">
        <v>99.22</v>
      </c>
      <c r="O1836">
        <v>35.256410256410263</v>
      </c>
      <c r="P1836"/>
    </row>
    <row r="1837" spans="1:16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>
        <v>0</v>
      </c>
      <c r="N1837">
        <v>0</v>
      </c>
      <c r="O1837">
        <v>0</v>
      </c>
      <c r="P1837"/>
    </row>
    <row r="1838" spans="1:16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>
        <v>22</v>
      </c>
      <c r="N1838">
        <v>98.75</v>
      </c>
      <c r="O1838">
        <v>24.32432432432433</v>
      </c>
      <c r="P1838"/>
    </row>
    <row r="1839" spans="1:16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>
        <v>25</v>
      </c>
      <c r="N1839">
        <v>93.48</v>
      </c>
      <c r="O1839">
        <v>31.52804642166344</v>
      </c>
      <c r="P1839"/>
    </row>
    <row r="1840" spans="1:16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>
        <v>37</v>
      </c>
      <c r="N1840">
        <v>99.16</v>
      </c>
      <c r="O1840">
        <v>26.13908872901678</v>
      </c>
      <c r="P1840"/>
    </row>
    <row r="1841" spans="1:16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>
        <v>29</v>
      </c>
      <c r="N1841">
        <v>100</v>
      </c>
      <c r="O1841">
        <v>31.089743589743591</v>
      </c>
      <c r="P1841"/>
    </row>
    <row r="1842" spans="1:16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>
        <v>35</v>
      </c>
      <c r="N1842">
        <v>98.11</v>
      </c>
      <c r="O1842">
        <v>33.033707865168537</v>
      </c>
      <c r="P1842"/>
    </row>
    <row r="1843" spans="1:16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>
        <v>2</v>
      </c>
      <c r="N1843">
        <v>78.95</v>
      </c>
      <c r="O1843">
        <v>38.983050847457633</v>
      </c>
      <c r="P1843"/>
    </row>
    <row r="1844" spans="1:16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>
        <v>30</v>
      </c>
      <c r="N1844">
        <v>98.45</v>
      </c>
      <c r="O1844">
        <v>29.281767955801101</v>
      </c>
      <c r="P1844"/>
    </row>
    <row r="1845" spans="1:16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>
        <v>35</v>
      </c>
      <c r="N1845">
        <v>97.84</v>
      </c>
      <c r="O1845">
        <v>26.282051282051281</v>
      </c>
      <c r="P1845"/>
    </row>
    <row r="1846" spans="1:16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>
        <v>42</v>
      </c>
      <c r="N1846">
        <v>98.5</v>
      </c>
      <c r="O1846">
        <v>23.97769516728625</v>
      </c>
      <c r="P1846"/>
    </row>
    <row r="1847" spans="1:16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>
        <v>10</v>
      </c>
      <c r="N1847">
        <v>99.05</v>
      </c>
      <c r="O1847">
        <v>26.621923937360179</v>
      </c>
      <c r="P1847"/>
    </row>
    <row r="1848" spans="1:16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>
        <v>34</v>
      </c>
      <c r="N1848">
        <v>98.53</v>
      </c>
      <c r="O1848">
        <v>31.578947368421051</v>
      </c>
      <c r="P1848"/>
    </row>
    <row r="1849" spans="1:16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>
        <v>46</v>
      </c>
      <c r="N1849">
        <v>100</v>
      </c>
      <c r="O1849">
        <v>25.72214580467676</v>
      </c>
      <c r="P1849"/>
    </row>
    <row r="1850" spans="1:16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>
        <v>41</v>
      </c>
      <c r="N1850">
        <v>94.64</v>
      </c>
      <c r="O1850">
        <v>27.52941176470588</v>
      </c>
      <c r="P1850"/>
    </row>
    <row r="1851" spans="1:16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>
        <v>32</v>
      </c>
      <c r="N1851">
        <v>99.07</v>
      </c>
      <c r="O1851">
        <v>26.376811594202898</v>
      </c>
      <c r="P1851"/>
    </row>
    <row r="1852" spans="1:16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>
        <v>0</v>
      </c>
      <c r="N1852">
        <v>100</v>
      </c>
      <c r="O1852">
        <v>0</v>
      </c>
      <c r="P1852"/>
    </row>
    <row r="1853" spans="1:16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>
        <v>19</v>
      </c>
      <c r="N1853">
        <v>98.48</v>
      </c>
      <c r="O1853">
        <v>27.853881278538811</v>
      </c>
      <c r="P1853"/>
    </row>
    <row r="1854" spans="1:16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>
        <v>29</v>
      </c>
      <c r="N1854">
        <v>95.15</v>
      </c>
      <c r="O1854">
        <v>34.131736526946113</v>
      </c>
      <c r="P1854"/>
    </row>
    <row r="1855" spans="1:16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>
        <v>0</v>
      </c>
      <c r="N1855">
        <v>0</v>
      </c>
      <c r="O1855">
        <v>0</v>
      </c>
      <c r="P1855"/>
    </row>
    <row r="1856" spans="1:16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>
        <v>24</v>
      </c>
      <c r="N1856">
        <v>99.26</v>
      </c>
      <c r="O1856">
        <v>30.84832904884319</v>
      </c>
      <c r="P1856"/>
    </row>
    <row r="1857" spans="1:16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>
        <v>28</v>
      </c>
      <c r="N1857">
        <v>97.48</v>
      </c>
      <c r="O1857">
        <v>27.764705882352938</v>
      </c>
      <c r="P1857"/>
    </row>
    <row r="1858" spans="1:16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>
        <v>36</v>
      </c>
      <c r="N1858">
        <v>99.34</v>
      </c>
      <c r="O1858">
        <v>30.04291845493562</v>
      </c>
      <c r="P1858"/>
    </row>
    <row r="1859" spans="1:16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>
        <v>27</v>
      </c>
      <c r="N1859">
        <v>96.3</v>
      </c>
      <c r="O1859">
        <v>24.29378531073446</v>
      </c>
      <c r="P1859"/>
    </row>
    <row r="1860" spans="1:16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21</v>
      </c>
      <c r="N1860">
        <v>100</v>
      </c>
      <c r="O1860">
        <v>26.543209876543209</v>
      </c>
      <c r="P1860"/>
    </row>
    <row r="1861" spans="1:16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>
        <v>0</v>
      </c>
      <c r="N1861">
        <v>100</v>
      </c>
      <c r="O1861">
        <v>35.483870967741943</v>
      </c>
      <c r="P1861"/>
    </row>
    <row r="1862" spans="1:16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  <c r="P1862"/>
    </row>
    <row r="1863" spans="1:16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>
        <v>33</v>
      </c>
      <c r="N1863">
        <v>94.16</v>
      </c>
      <c r="O1863">
        <v>27.038626609442058</v>
      </c>
      <c r="P1863"/>
    </row>
    <row r="1864" spans="1:16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>
        <v>13</v>
      </c>
      <c r="N1864">
        <v>93.75</v>
      </c>
      <c r="O1864">
        <v>19.31818181818182</v>
      </c>
      <c r="P1864"/>
    </row>
    <row r="1865" spans="1:16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>
        <v>0</v>
      </c>
      <c r="N1865">
        <v>0</v>
      </c>
      <c r="O1865">
        <v>0</v>
      </c>
      <c r="P1865"/>
    </row>
    <row r="1866" spans="1:16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>
        <v>24</v>
      </c>
      <c r="N1866">
        <v>97.92</v>
      </c>
      <c r="O1866">
        <v>32.87671232876712</v>
      </c>
      <c r="P1866"/>
    </row>
    <row r="1867" spans="1:16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>
        <v>0</v>
      </c>
      <c r="N1867">
        <v>0</v>
      </c>
      <c r="O1867">
        <v>0</v>
      </c>
      <c r="P1867"/>
    </row>
    <row r="1868" spans="1:16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  <c r="P1868"/>
    </row>
    <row r="1869" spans="1:16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  <c r="P1869"/>
    </row>
    <row r="1870" spans="1:16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>
        <v>22</v>
      </c>
      <c r="N1870">
        <v>98.51</v>
      </c>
      <c r="O1870">
        <v>29.710144927536231</v>
      </c>
      <c r="P1870"/>
    </row>
    <row r="1871" spans="1:16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>
        <v>28</v>
      </c>
      <c r="N1871">
        <v>98.81</v>
      </c>
      <c r="O1871">
        <v>30.712979890310791</v>
      </c>
      <c r="P1871"/>
    </row>
    <row r="1872" spans="1:16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>
        <v>18</v>
      </c>
      <c r="N1872">
        <v>98.48</v>
      </c>
      <c r="O1872">
        <v>29.35323383084577</v>
      </c>
      <c r="P1872"/>
    </row>
    <row r="1873" spans="1:16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>
        <v>34</v>
      </c>
      <c r="N1873">
        <v>98.56</v>
      </c>
      <c r="O1873">
        <v>29.373650107991359</v>
      </c>
      <c r="P1873"/>
    </row>
    <row r="1874" spans="1:16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>
        <v>16</v>
      </c>
      <c r="N1874">
        <v>98.32</v>
      </c>
      <c r="O1874">
        <v>30.303030303030301</v>
      </c>
      <c r="P1874"/>
    </row>
    <row r="1875" spans="1:16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>
        <v>24</v>
      </c>
      <c r="N1875">
        <v>98.68</v>
      </c>
      <c r="O1875">
        <v>26.219512195121951</v>
      </c>
      <c r="P1875"/>
    </row>
    <row r="1876" spans="1:16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>
        <v>22</v>
      </c>
      <c r="N1876">
        <v>100</v>
      </c>
      <c r="O1876">
        <v>31.74224343675418</v>
      </c>
      <c r="P1876"/>
    </row>
    <row r="1877" spans="1:16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>
        <v>26</v>
      </c>
      <c r="N1877">
        <v>98.25</v>
      </c>
      <c r="O1877">
        <v>25.83518930957684</v>
      </c>
      <c r="P1877"/>
    </row>
    <row r="1878" spans="1:16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>
        <v>9</v>
      </c>
      <c r="N1878">
        <v>97.5</v>
      </c>
      <c r="O1878">
        <v>30.075187969924809</v>
      </c>
      <c r="P1878"/>
    </row>
    <row r="1879" spans="1:16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>
        <v>36</v>
      </c>
      <c r="N1879">
        <v>100</v>
      </c>
      <c r="O1879">
        <v>29.71311475409836</v>
      </c>
      <c r="P1879"/>
    </row>
    <row r="1880" spans="1:16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>
        <v>23</v>
      </c>
      <c r="N1880">
        <v>99.22</v>
      </c>
      <c r="O1880">
        <v>35.256410256410263</v>
      </c>
      <c r="P1880"/>
    </row>
    <row r="1881" spans="1:16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>
        <v>0</v>
      </c>
      <c r="N1881">
        <v>0</v>
      </c>
      <c r="O1881">
        <v>0</v>
      </c>
      <c r="P1881"/>
    </row>
    <row r="1882" spans="1:16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>
        <v>20</v>
      </c>
      <c r="N1882">
        <v>98.75</v>
      </c>
      <c r="O1882">
        <v>24.32432432432433</v>
      </c>
      <c r="P1882"/>
    </row>
    <row r="1883" spans="1:16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>
        <v>41</v>
      </c>
      <c r="N1883">
        <v>93.48</v>
      </c>
      <c r="O1883">
        <v>31.52804642166344</v>
      </c>
      <c r="P1883"/>
    </row>
    <row r="1884" spans="1:16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>
        <v>28</v>
      </c>
      <c r="N1884">
        <v>99.16</v>
      </c>
      <c r="O1884">
        <v>26.13908872901678</v>
      </c>
      <c r="P1884"/>
    </row>
    <row r="1885" spans="1:16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>
        <v>27</v>
      </c>
      <c r="N1885">
        <v>100</v>
      </c>
      <c r="O1885">
        <v>31.089743589743591</v>
      </c>
      <c r="P1885"/>
    </row>
    <row r="1886" spans="1:16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>
        <v>38</v>
      </c>
      <c r="N1886">
        <v>98.11</v>
      </c>
      <c r="O1886">
        <v>33.033707865168537</v>
      </c>
      <c r="P1886"/>
    </row>
    <row r="1887" spans="1:16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>
        <v>3</v>
      </c>
      <c r="N1887">
        <v>78.95</v>
      </c>
      <c r="O1887">
        <v>38.983050847457633</v>
      </c>
      <c r="P1887"/>
    </row>
    <row r="1888" spans="1:16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>
        <v>29</v>
      </c>
      <c r="N1888">
        <v>98.45</v>
      </c>
      <c r="O1888">
        <v>29.281767955801101</v>
      </c>
      <c r="P1888"/>
    </row>
    <row r="1889" spans="1:16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>
        <v>33</v>
      </c>
      <c r="N1889">
        <v>97.84</v>
      </c>
      <c r="O1889">
        <v>26.282051282051281</v>
      </c>
      <c r="P1889"/>
    </row>
    <row r="1890" spans="1:16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>
        <v>26</v>
      </c>
      <c r="N1890">
        <v>98.5</v>
      </c>
      <c r="O1890">
        <v>23.97769516728625</v>
      </c>
      <c r="P1890"/>
    </row>
    <row r="1891" spans="1:16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>
        <v>14</v>
      </c>
      <c r="N1891">
        <v>99.05</v>
      </c>
      <c r="O1891">
        <v>26.621923937360179</v>
      </c>
      <c r="P1891"/>
    </row>
    <row r="1892" spans="1:16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>
        <v>25</v>
      </c>
      <c r="N1892">
        <v>98.53</v>
      </c>
      <c r="O1892">
        <v>31.578947368421051</v>
      </c>
      <c r="P1892"/>
    </row>
    <row r="1893" spans="1:16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>
        <v>54</v>
      </c>
      <c r="N1893">
        <v>100</v>
      </c>
      <c r="O1893">
        <v>25.72214580467676</v>
      </c>
      <c r="P1893"/>
    </row>
    <row r="1894" spans="1:16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>
        <v>27</v>
      </c>
      <c r="N1894">
        <v>94.64</v>
      </c>
      <c r="O1894">
        <v>27.52941176470588</v>
      </c>
      <c r="P1894"/>
    </row>
    <row r="1895" spans="1:16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21</v>
      </c>
      <c r="N1895">
        <v>99.07</v>
      </c>
      <c r="O1895">
        <v>26.376811594202898</v>
      </c>
      <c r="P1895"/>
    </row>
    <row r="1896" spans="1:16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>
        <v>0</v>
      </c>
      <c r="N1896">
        <v>100</v>
      </c>
      <c r="O1896">
        <v>0</v>
      </c>
      <c r="P1896"/>
    </row>
    <row r="1897" spans="1:16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>
        <v>15</v>
      </c>
      <c r="N1897">
        <v>98.48</v>
      </c>
      <c r="O1897">
        <v>27.853881278538811</v>
      </c>
      <c r="P1897"/>
    </row>
    <row r="1898" spans="1:16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>
        <v>27</v>
      </c>
      <c r="N1898">
        <v>95.15</v>
      </c>
      <c r="O1898">
        <v>34.131736526946113</v>
      </c>
      <c r="P1898"/>
    </row>
    <row r="1899" spans="1:16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>
        <v>0</v>
      </c>
      <c r="N1899">
        <v>0</v>
      </c>
      <c r="O1899">
        <v>0</v>
      </c>
      <c r="P1899"/>
    </row>
    <row r="1900" spans="1:16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>
        <v>22</v>
      </c>
      <c r="N1900">
        <v>99.26</v>
      </c>
      <c r="O1900">
        <v>30.84832904884319</v>
      </c>
      <c r="P1900"/>
    </row>
    <row r="1901" spans="1:16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>
        <v>20</v>
      </c>
      <c r="N1901">
        <v>97.48</v>
      </c>
      <c r="O1901">
        <v>27.764705882352938</v>
      </c>
      <c r="P1901"/>
    </row>
    <row r="1902" spans="1:16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>
        <v>33</v>
      </c>
      <c r="N1902">
        <v>99.34</v>
      </c>
      <c r="O1902">
        <v>30.04291845493562</v>
      </c>
      <c r="P1902"/>
    </row>
    <row r="1903" spans="1:16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>
        <v>19</v>
      </c>
      <c r="N1903">
        <v>96.3</v>
      </c>
      <c r="O1903">
        <v>24.29378531073446</v>
      </c>
      <c r="P1903"/>
    </row>
    <row r="1904" spans="1:16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>
        <v>32</v>
      </c>
      <c r="N1904">
        <v>100</v>
      </c>
      <c r="O1904">
        <v>26.543209876543209</v>
      </c>
      <c r="P1904"/>
    </row>
    <row r="1905" spans="1:16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>
        <v>0</v>
      </c>
      <c r="N1905">
        <v>100</v>
      </c>
      <c r="O1905">
        <v>35.483870967741943</v>
      </c>
      <c r="P1905"/>
    </row>
    <row r="1906" spans="1:16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>
        <v>38</v>
      </c>
      <c r="N1906">
        <v>99.27</v>
      </c>
      <c r="O1906">
        <v>31.163708086785011</v>
      </c>
      <c r="P1906"/>
    </row>
    <row r="1907" spans="1:16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>
        <v>22</v>
      </c>
      <c r="N1907">
        <v>94.16</v>
      </c>
      <c r="O1907">
        <v>27.038626609442058</v>
      </c>
      <c r="P1907"/>
    </row>
    <row r="1908" spans="1:16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>
        <v>5</v>
      </c>
      <c r="N1908">
        <v>93.75</v>
      </c>
      <c r="O1908">
        <v>19.31818181818182</v>
      </c>
      <c r="P1908"/>
    </row>
    <row r="1909" spans="1:16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>
        <v>0</v>
      </c>
      <c r="N1909">
        <v>0</v>
      </c>
      <c r="O1909">
        <v>0</v>
      </c>
      <c r="P1909"/>
    </row>
    <row r="1910" spans="1:16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97.92</v>
      </c>
      <c r="O1910">
        <v>32.87671232876712</v>
      </c>
      <c r="P1910"/>
    </row>
    <row r="1911" spans="1:16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0</v>
      </c>
      <c r="O1911">
        <v>0</v>
      </c>
      <c r="P1911"/>
    </row>
    <row r="1912" spans="1:16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  <c r="P1912"/>
    </row>
    <row r="1913" spans="1:16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  <c r="P1913"/>
    </row>
    <row r="1914" spans="1:16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>
        <v>12</v>
      </c>
      <c r="N1914">
        <v>98.51</v>
      </c>
      <c r="O1914">
        <v>29.710144927536231</v>
      </c>
      <c r="P1914"/>
    </row>
    <row r="1915" spans="1:16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>
        <v>21</v>
      </c>
      <c r="N1915">
        <v>98.81</v>
      </c>
      <c r="O1915">
        <v>30.712979890310791</v>
      </c>
      <c r="P1915"/>
    </row>
    <row r="1916" spans="1:16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>
        <v>15</v>
      </c>
      <c r="N1916">
        <v>98.48</v>
      </c>
      <c r="O1916">
        <v>29.35323383084577</v>
      </c>
      <c r="P1916"/>
    </row>
    <row r="1917" spans="1:16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>
        <v>37</v>
      </c>
      <c r="N1917">
        <v>98.56</v>
      </c>
      <c r="O1917">
        <v>29.373650107991359</v>
      </c>
      <c r="P1917"/>
    </row>
    <row r="1918" spans="1:16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>
        <v>26</v>
      </c>
      <c r="N1918">
        <v>98.32</v>
      </c>
      <c r="O1918">
        <v>30.303030303030301</v>
      </c>
      <c r="P1918"/>
    </row>
    <row r="1919" spans="1:16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>
        <v>29</v>
      </c>
      <c r="N1919">
        <v>98.68</v>
      </c>
      <c r="O1919">
        <v>26.219512195121951</v>
      </c>
      <c r="P1919"/>
    </row>
    <row r="1920" spans="1:16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>
        <v>30</v>
      </c>
      <c r="N1920">
        <v>100</v>
      </c>
      <c r="O1920">
        <v>31.74224343675418</v>
      </c>
      <c r="P1920"/>
    </row>
    <row r="1921" spans="1:16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>
        <v>24</v>
      </c>
      <c r="N1921">
        <v>98.25</v>
      </c>
      <c r="O1921">
        <v>25.83518930957684</v>
      </c>
      <c r="P1921"/>
    </row>
    <row r="1922" spans="1:16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>
        <v>5</v>
      </c>
      <c r="N1922">
        <v>97.5</v>
      </c>
      <c r="O1922">
        <v>30.075187969924809</v>
      </c>
      <c r="P1922"/>
    </row>
    <row r="1923" spans="1:16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>
        <v>26</v>
      </c>
      <c r="N1923">
        <v>100</v>
      </c>
      <c r="O1923">
        <v>29.71311475409836</v>
      </c>
      <c r="P1923"/>
    </row>
    <row r="1924" spans="1:16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>
        <v>22</v>
      </c>
      <c r="N1924">
        <v>99.22</v>
      </c>
      <c r="O1924">
        <v>35.256410256410263</v>
      </c>
      <c r="P1924"/>
    </row>
    <row r="1925" spans="1:16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>
        <v>0</v>
      </c>
      <c r="N1925">
        <v>0</v>
      </c>
      <c r="O1925">
        <v>0</v>
      </c>
      <c r="P1925"/>
    </row>
    <row r="1926" spans="1:16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  <c r="P1926"/>
    </row>
    <row r="1927" spans="1:16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>
        <v>35</v>
      </c>
      <c r="N1927">
        <v>93.48</v>
      </c>
      <c r="O1927">
        <v>31.52804642166344</v>
      </c>
      <c r="P1927"/>
    </row>
    <row r="1928" spans="1:16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>
        <v>1</v>
      </c>
      <c r="N1928">
        <v>99.16</v>
      </c>
      <c r="O1928">
        <v>26.13908872901678</v>
      </c>
      <c r="P1928"/>
    </row>
    <row r="1929" spans="1:16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>
        <v>25</v>
      </c>
      <c r="N1929">
        <v>100</v>
      </c>
      <c r="O1929">
        <v>31.089743589743591</v>
      </c>
      <c r="P1929"/>
    </row>
    <row r="1930" spans="1:16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>
        <v>24</v>
      </c>
      <c r="N1930">
        <v>98.11</v>
      </c>
      <c r="O1930">
        <v>33.033707865168537</v>
      </c>
      <c r="P1930"/>
    </row>
    <row r="1931" spans="1:16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>
        <v>3</v>
      </c>
      <c r="N1931">
        <v>78.95</v>
      </c>
      <c r="O1931">
        <v>38.983050847457633</v>
      </c>
      <c r="P1931"/>
    </row>
    <row r="1932" spans="1:16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>
        <v>29</v>
      </c>
      <c r="N1932">
        <v>98.45</v>
      </c>
      <c r="O1932">
        <v>29.281767955801101</v>
      </c>
      <c r="P1932"/>
    </row>
    <row r="1933" spans="1:16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>
        <v>28</v>
      </c>
      <c r="N1933">
        <v>97.84</v>
      </c>
      <c r="O1933">
        <v>26.282051282051281</v>
      </c>
      <c r="P1933"/>
    </row>
    <row r="1934" spans="1:16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>
        <v>40</v>
      </c>
      <c r="N1934">
        <v>98.5</v>
      </c>
      <c r="O1934">
        <v>23.97769516728625</v>
      </c>
      <c r="P1934"/>
    </row>
    <row r="1935" spans="1:16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>
        <v>11</v>
      </c>
      <c r="N1935">
        <v>99.05</v>
      </c>
      <c r="O1935">
        <v>26.621923937360179</v>
      </c>
      <c r="P1935"/>
    </row>
    <row r="1936" spans="1:16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>
        <v>15</v>
      </c>
      <c r="N1936">
        <v>98.53</v>
      </c>
      <c r="O1936">
        <v>31.578947368421051</v>
      </c>
      <c r="P1936"/>
    </row>
    <row r="1937" spans="1:16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>
        <v>39</v>
      </c>
      <c r="N1937">
        <v>100</v>
      </c>
      <c r="O1937">
        <v>25.72214580467676</v>
      </c>
      <c r="P1937"/>
    </row>
    <row r="1938" spans="1:16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>
        <v>18</v>
      </c>
      <c r="N1938">
        <v>94.64</v>
      </c>
      <c r="O1938">
        <v>27.52941176470588</v>
      </c>
      <c r="P1938"/>
    </row>
    <row r="1939" spans="1:16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>
        <v>20</v>
      </c>
      <c r="N1939">
        <v>99.07</v>
      </c>
      <c r="O1939">
        <v>26.376811594202898</v>
      </c>
      <c r="P1939"/>
    </row>
    <row r="1940" spans="1:16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>
        <v>0</v>
      </c>
      <c r="N1940">
        <v>100</v>
      </c>
      <c r="O1940">
        <v>0</v>
      </c>
      <c r="P1940"/>
    </row>
    <row r="1941" spans="1:16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>
        <v>7</v>
      </c>
      <c r="N1941">
        <v>98.48</v>
      </c>
      <c r="O1941">
        <v>27.853881278538811</v>
      </c>
      <c r="P1941"/>
    </row>
    <row r="1942" spans="1:16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>
        <v>5</v>
      </c>
      <c r="N1942">
        <v>95.15</v>
      </c>
      <c r="O1942">
        <v>34.131736526946113</v>
      </c>
      <c r="P1942"/>
    </row>
    <row r="1943" spans="1:16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>
        <v>0</v>
      </c>
      <c r="N1943">
        <v>0</v>
      </c>
      <c r="O1943">
        <v>0</v>
      </c>
      <c r="P1943"/>
    </row>
    <row r="1944" spans="1:16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>
        <v>14</v>
      </c>
      <c r="N1944">
        <v>99.26</v>
      </c>
      <c r="O1944">
        <v>30.84832904884319</v>
      </c>
      <c r="P1944"/>
    </row>
    <row r="1945" spans="1:16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>
        <v>9</v>
      </c>
      <c r="N1945">
        <v>97.48</v>
      </c>
      <c r="O1945">
        <v>27.764705882352938</v>
      </c>
      <c r="P1945"/>
    </row>
    <row r="1946" spans="1:16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>
        <v>29</v>
      </c>
      <c r="N1946">
        <v>99.34</v>
      </c>
      <c r="O1946">
        <v>30.04291845493562</v>
      </c>
      <c r="P1946"/>
    </row>
    <row r="1947" spans="1:16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>
        <v>18</v>
      </c>
      <c r="N1947">
        <v>96.3</v>
      </c>
      <c r="O1947">
        <v>24.29378531073446</v>
      </c>
      <c r="P1947"/>
    </row>
    <row r="1948" spans="1:16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>
        <v>20</v>
      </c>
      <c r="N1948">
        <v>100</v>
      </c>
      <c r="O1948">
        <v>26.543209876543209</v>
      </c>
      <c r="P1948"/>
    </row>
    <row r="1949" spans="1:16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>
        <v>0</v>
      </c>
      <c r="N1949">
        <v>100</v>
      </c>
      <c r="O1949">
        <v>35.483870967741943</v>
      </c>
      <c r="P1949"/>
    </row>
    <row r="1950" spans="1:16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>
        <v>26</v>
      </c>
      <c r="N1950">
        <v>99.27</v>
      </c>
      <c r="O1950">
        <v>31.163708086785011</v>
      </c>
      <c r="P1950"/>
    </row>
    <row r="1951" spans="1:16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>
        <v>20</v>
      </c>
      <c r="N1951">
        <v>94.16</v>
      </c>
      <c r="O1951">
        <v>27.038626609442058</v>
      </c>
      <c r="P1951"/>
    </row>
    <row r="1952" spans="1:16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>
        <v>6</v>
      </c>
      <c r="N1952">
        <v>93.75</v>
      </c>
      <c r="O1952">
        <v>19.31818181818182</v>
      </c>
      <c r="P1952"/>
    </row>
    <row r="1953" spans="1:16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>
        <v>0</v>
      </c>
      <c r="N1953">
        <v>0</v>
      </c>
      <c r="O1953">
        <v>0</v>
      </c>
      <c r="P1953"/>
    </row>
    <row r="1954" spans="1:16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97.92</v>
      </c>
      <c r="O1954">
        <v>32.87671232876712</v>
      </c>
      <c r="P1954"/>
    </row>
    <row r="1955" spans="1:16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0</v>
      </c>
      <c r="O1955">
        <v>0</v>
      </c>
      <c r="P1955"/>
    </row>
    <row r="1956" spans="1:16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  <c r="P1956"/>
    </row>
    <row r="1957" spans="1:16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  <c r="P1957"/>
    </row>
    <row r="1958" spans="1:16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>
        <v>19</v>
      </c>
      <c r="N1958">
        <v>98.51</v>
      </c>
      <c r="O1958">
        <v>29.710144927536231</v>
      </c>
      <c r="P1958"/>
    </row>
    <row r="1959" spans="1:16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>
        <v>39</v>
      </c>
      <c r="N1959">
        <v>98.81</v>
      </c>
      <c r="O1959">
        <v>30.712979890310791</v>
      </c>
      <c r="P1959"/>
    </row>
    <row r="1960" spans="1:16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>
        <v>8</v>
      </c>
      <c r="N1960">
        <v>98.48</v>
      </c>
      <c r="O1960">
        <v>29.35323383084577</v>
      </c>
      <c r="P1960"/>
    </row>
    <row r="1961" spans="1:16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>
        <v>25</v>
      </c>
      <c r="N1961">
        <v>98.56</v>
      </c>
      <c r="O1961">
        <v>29.373650107991359</v>
      </c>
      <c r="P1961"/>
    </row>
    <row r="1962" spans="1:16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>
        <v>23</v>
      </c>
      <c r="N1962">
        <v>98.32</v>
      </c>
      <c r="O1962">
        <v>30.303030303030301</v>
      </c>
      <c r="P1962"/>
    </row>
    <row r="1963" spans="1:16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>
        <v>36</v>
      </c>
      <c r="N1963">
        <v>98.68</v>
      </c>
      <c r="O1963">
        <v>26.219512195121951</v>
      </c>
      <c r="P1963"/>
    </row>
    <row r="1964" spans="1:16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>
        <v>22</v>
      </c>
      <c r="N1964">
        <v>100</v>
      </c>
      <c r="O1964">
        <v>31.74224343675418</v>
      </c>
      <c r="P1964"/>
    </row>
    <row r="1965" spans="1:16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>
        <v>33</v>
      </c>
      <c r="N1965">
        <v>98.25</v>
      </c>
      <c r="O1965">
        <v>25.83518930957684</v>
      </c>
      <c r="P1965"/>
    </row>
    <row r="1966" spans="1:16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>
        <v>7</v>
      </c>
      <c r="N1966">
        <v>97.5</v>
      </c>
      <c r="O1966">
        <v>30.075187969924809</v>
      </c>
      <c r="P1966"/>
    </row>
    <row r="1967" spans="1:16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>
        <v>32</v>
      </c>
      <c r="N1967">
        <v>100</v>
      </c>
      <c r="O1967">
        <v>29.71311475409836</v>
      </c>
      <c r="P1967"/>
    </row>
    <row r="1968" spans="1:16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>
        <v>26</v>
      </c>
      <c r="N1968">
        <v>99.22</v>
      </c>
      <c r="O1968">
        <v>35.256410256410263</v>
      </c>
      <c r="P1968"/>
    </row>
    <row r="1969" spans="1:16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>
        <v>0</v>
      </c>
      <c r="N1969">
        <v>0</v>
      </c>
      <c r="O1969">
        <v>0</v>
      </c>
      <c r="P1969"/>
    </row>
    <row r="1970" spans="1:16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>
        <v>14</v>
      </c>
      <c r="N1970">
        <v>98.75</v>
      </c>
      <c r="O1970">
        <v>24.32432432432433</v>
      </c>
      <c r="P1970"/>
    </row>
    <row r="1971" spans="1:16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>
        <v>33</v>
      </c>
      <c r="N1971">
        <v>93.48</v>
      </c>
      <c r="O1971">
        <v>31.52804642166344</v>
      </c>
      <c r="P1971"/>
    </row>
    <row r="1972" spans="1:16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>
        <v>24</v>
      </c>
      <c r="N1972">
        <v>99.16</v>
      </c>
      <c r="O1972">
        <v>26.13908872901678</v>
      </c>
      <c r="P1972"/>
    </row>
    <row r="1973" spans="1:16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>
        <v>28</v>
      </c>
      <c r="N1973">
        <v>100</v>
      </c>
      <c r="O1973">
        <v>31.089743589743591</v>
      </c>
      <c r="P1973"/>
    </row>
    <row r="1974" spans="1:16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>
        <v>30</v>
      </c>
      <c r="N1974">
        <v>98.11</v>
      </c>
      <c r="O1974">
        <v>33.033707865168537</v>
      </c>
      <c r="P1974"/>
    </row>
    <row r="1975" spans="1:16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>
        <v>1</v>
      </c>
      <c r="N1975">
        <v>78.95</v>
      </c>
      <c r="O1975">
        <v>38.983050847457633</v>
      </c>
      <c r="P1975"/>
    </row>
    <row r="1976" spans="1:16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>
        <v>12</v>
      </c>
      <c r="N1976">
        <v>98.45</v>
      </c>
      <c r="O1976">
        <v>29.281767955801101</v>
      </c>
      <c r="P1976"/>
    </row>
    <row r="1977" spans="1:16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>
        <v>28</v>
      </c>
      <c r="N1977">
        <v>97.84</v>
      </c>
      <c r="O1977">
        <v>26.282051282051281</v>
      </c>
      <c r="P1977"/>
    </row>
    <row r="1978" spans="1:16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>
        <v>33</v>
      </c>
      <c r="N1978">
        <v>98.5</v>
      </c>
      <c r="O1978">
        <v>23.97769516728625</v>
      </c>
      <c r="P1978"/>
    </row>
    <row r="1979" spans="1:16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>
        <v>21</v>
      </c>
      <c r="N1979">
        <v>99.05</v>
      </c>
      <c r="O1979">
        <v>26.621923937360179</v>
      </c>
      <c r="P1979"/>
    </row>
    <row r="1980" spans="1:16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>
        <v>25</v>
      </c>
      <c r="N1980">
        <v>98.53</v>
      </c>
      <c r="O1980">
        <v>31.578947368421051</v>
      </c>
      <c r="P1980"/>
    </row>
    <row r="1981" spans="1:16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>
        <v>42</v>
      </c>
      <c r="N1981">
        <v>100</v>
      </c>
      <c r="O1981">
        <v>25.72214580467676</v>
      </c>
      <c r="P1981"/>
    </row>
    <row r="1982" spans="1:16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>
        <v>32</v>
      </c>
      <c r="N1982">
        <v>94.64</v>
      </c>
      <c r="O1982">
        <v>27.52941176470588</v>
      </c>
      <c r="P1982"/>
    </row>
    <row r="1983" spans="1:16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>
        <v>16</v>
      </c>
      <c r="N1983">
        <v>99.07</v>
      </c>
      <c r="O1983">
        <v>26.376811594202898</v>
      </c>
      <c r="P1983"/>
    </row>
    <row r="1984" spans="1:16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>
        <v>0</v>
      </c>
      <c r="N1984">
        <v>100</v>
      </c>
      <c r="O1984">
        <v>0</v>
      </c>
      <c r="P1984"/>
    </row>
    <row r="1985" spans="1:16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>
        <v>14</v>
      </c>
      <c r="N1985">
        <v>98.48</v>
      </c>
      <c r="O1985">
        <v>27.853881278538811</v>
      </c>
      <c r="P1985"/>
    </row>
    <row r="1986" spans="1:16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>
        <v>2</v>
      </c>
      <c r="N1986">
        <v>95.15</v>
      </c>
      <c r="O1986">
        <v>34.131736526946113</v>
      </c>
      <c r="P1986"/>
    </row>
    <row r="1987" spans="1:16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>
        <v>0</v>
      </c>
      <c r="N1987">
        <v>0</v>
      </c>
      <c r="O1987">
        <v>0</v>
      </c>
      <c r="P1987"/>
    </row>
    <row r="1988" spans="1:16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>
        <v>23</v>
      </c>
      <c r="N1988">
        <v>99.26</v>
      </c>
      <c r="O1988">
        <v>30.84832904884319</v>
      </c>
      <c r="P1988"/>
    </row>
    <row r="1989" spans="1:16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>
        <v>21</v>
      </c>
      <c r="N1989">
        <v>97.48</v>
      </c>
      <c r="O1989">
        <v>27.764705882352938</v>
      </c>
      <c r="P1989"/>
    </row>
    <row r="1990" spans="1:16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  <c r="P1990"/>
    </row>
    <row r="1991" spans="1:16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0</v>
      </c>
      <c r="N1991">
        <v>96.3</v>
      </c>
      <c r="O1991">
        <v>24.29378531073446</v>
      </c>
      <c r="P1991"/>
    </row>
    <row r="1992" spans="1:16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>
        <v>22</v>
      </c>
      <c r="N1992">
        <v>100</v>
      </c>
      <c r="O1992">
        <v>26.543209876543209</v>
      </c>
      <c r="P1992"/>
    </row>
    <row r="1993" spans="1:16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>
        <v>0</v>
      </c>
      <c r="N1993">
        <v>100</v>
      </c>
      <c r="O1993">
        <v>35.483870967741943</v>
      </c>
      <c r="P1993"/>
    </row>
    <row r="1994" spans="1:16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>
        <v>34</v>
      </c>
      <c r="N1994">
        <v>99.27</v>
      </c>
      <c r="O1994">
        <v>31.163708086785011</v>
      </c>
      <c r="P1994"/>
    </row>
    <row r="1995" spans="1:16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>
        <v>33</v>
      </c>
      <c r="N1995">
        <v>94.16</v>
      </c>
      <c r="O1995">
        <v>27.038626609442058</v>
      </c>
      <c r="P1995"/>
    </row>
    <row r="1996" spans="1:16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>
        <v>5</v>
      </c>
      <c r="N1996">
        <v>93.75</v>
      </c>
      <c r="O1996">
        <v>19.31818181818182</v>
      </c>
      <c r="P1996"/>
    </row>
    <row r="1997" spans="1:16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>
        <v>0</v>
      </c>
      <c r="N1997">
        <v>0</v>
      </c>
      <c r="O1997">
        <v>0</v>
      </c>
      <c r="P1997"/>
    </row>
    <row r="1998" spans="1:16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97.92</v>
      </c>
      <c r="O1998">
        <v>32.87671232876712</v>
      </c>
      <c r="P1998"/>
    </row>
    <row r="1999" spans="1:16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0</v>
      </c>
      <c r="O1999">
        <v>0</v>
      </c>
      <c r="P1999"/>
    </row>
    <row r="2000" spans="1:16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  <c r="P2000"/>
    </row>
    <row r="2001" spans="1:16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  <c r="P2001"/>
    </row>
    <row r="2002" spans="1:16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>
        <v>11</v>
      </c>
      <c r="N2002">
        <v>98.51</v>
      </c>
      <c r="O2002">
        <v>29.710144927536231</v>
      </c>
      <c r="P2002"/>
    </row>
    <row r="2003" spans="1:16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>
        <v>31</v>
      </c>
      <c r="N2003">
        <v>98.81</v>
      </c>
      <c r="O2003">
        <v>30.712979890310791</v>
      </c>
      <c r="P2003"/>
    </row>
    <row r="2004" spans="1:16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>
        <v>12</v>
      </c>
      <c r="N2004">
        <v>98.48</v>
      </c>
      <c r="O2004">
        <v>29.35323383084577</v>
      </c>
      <c r="P2004"/>
    </row>
    <row r="2005" spans="1:16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>
        <v>25</v>
      </c>
      <c r="N2005">
        <v>98.56</v>
      </c>
      <c r="O2005">
        <v>29.373650107991359</v>
      </c>
      <c r="P2005"/>
    </row>
    <row r="2006" spans="1:16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>
        <v>31</v>
      </c>
      <c r="N2006">
        <v>98.32</v>
      </c>
      <c r="O2006">
        <v>30.303030303030301</v>
      </c>
      <c r="P2006"/>
    </row>
    <row r="2007" spans="1:16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>
        <v>25</v>
      </c>
      <c r="N2007">
        <v>98.68</v>
      </c>
      <c r="O2007">
        <v>26.219512195121951</v>
      </c>
      <c r="P2007"/>
    </row>
    <row r="2008" spans="1:16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>
        <v>23</v>
      </c>
      <c r="N2008">
        <v>100</v>
      </c>
      <c r="O2008">
        <v>31.74224343675418</v>
      </c>
      <c r="P2008"/>
    </row>
    <row r="2009" spans="1:16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>
        <v>23</v>
      </c>
      <c r="N2009">
        <v>98.25</v>
      </c>
      <c r="O2009">
        <v>25.83518930957684</v>
      </c>
      <c r="P2009"/>
    </row>
    <row r="2010" spans="1:16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>
        <v>7</v>
      </c>
      <c r="N2010">
        <v>97.5</v>
      </c>
      <c r="O2010">
        <v>30.075187969924809</v>
      </c>
      <c r="P2010"/>
    </row>
    <row r="2011" spans="1:16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>
        <v>18</v>
      </c>
      <c r="N2011">
        <v>100</v>
      </c>
      <c r="O2011">
        <v>29.71311475409836</v>
      </c>
      <c r="P2011"/>
    </row>
    <row r="2012" spans="1:16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>
        <v>22</v>
      </c>
      <c r="N2012">
        <v>99.22</v>
      </c>
      <c r="O2012">
        <v>35.256410256410263</v>
      </c>
      <c r="P2012"/>
    </row>
    <row r="2013" spans="1:16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>
        <v>0</v>
      </c>
      <c r="N2013">
        <v>0</v>
      </c>
      <c r="O2013">
        <v>0</v>
      </c>
      <c r="P2013"/>
    </row>
    <row r="2014" spans="1:16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>
        <v>15</v>
      </c>
      <c r="N2014">
        <v>98.75</v>
      </c>
      <c r="O2014">
        <v>24.32432432432433</v>
      </c>
      <c r="P2014"/>
    </row>
    <row r="2015" spans="1:16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>
        <v>32</v>
      </c>
      <c r="N2015">
        <v>93.48</v>
      </c>
      <c r="O2015">
        <v>31.52804642166344</v>
      </c>
      <c r="P2015"/>
    </row>
    <row r="2016" spans="1:16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>
        <v>18</v>
      </c>
      <c r="N2016">
        <v>99.16</v>
      </c>
      <c r="O2016">
        <v>26.13908872901678</v>
      </c>
      <c r="P2016"/>
    </row>
    <row r="2017" spans="1:16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>
        <v>14</v>
      </c>
      <c r="N2017">
        <v>100</v>
      </c>
      <c r="O2017">
        <v>31.089743589743591</v>
      </c>
      <c r="P2017"/>
    </row>
    <row r="2018" spans="1:16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>
        <v>30</v>
      </c>
      <c r="N2018">
        <v>98.11</v>
      </c>
      <c r="O2018">
        <v>33.033707865168537</v>
      </c>
      <c r="P2018"/>
    </row>
    <row r="2019" spans="1:16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>
        <v>2</v>
      </c>
      <c r="N2019">
        <v>78.95</v>
      </c>
      <c r="O2019">
        <v>38.983050847457633</v>
      </c>
      <c r="P2019"/>
    </row>
    <row r="2020" spans="1:16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>
        <v>21</v>
      </c>
      <c r="N2020">
        <v>98.45</v>
      </c>
      <c r="O2020">
        <v>29.281767955801101</v>
      </c>
      <c r="P2020"/>
    </row>
    <row r="2021" spans="1:16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28</v>
      </c>
      <c r="N2021">
        <v>97.84</v>
      </c>
      <c r="O2021">
        <v>26.282051282051281</v>
      </c>
      <c r="P2021"/>
    </row>
    <row r="2022" spans="1:16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>
        <v>24</v>
      </c>
      <c r="N2022">
        <v>98.5</v>
      </c>
      <c r="O2022">
        <v>23.97769516728625</v>
      </c>
      <c r="P2022"/>
    </row>
    <row r="2023" spans="1:16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13</v>
      </c>
      <c r="N2023">
        <v>99.05</v>
      </c>
      <c r="O2023">
        <v>26.621923937360179</v>
      </c>
      <c r="P2023"/>
    </row>
    <row r="2024" spans="1:16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>
        <v>26</v>
      </c>
      <c r="N2024">
        <v>98.53</v>
      </c>
      <c r="O2024">
        <v>31.578947368421051</v>
      </c>
      <c r="P2024"/>
    </row>
    <row r="2025" spans="1:16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>
        <v>51</v>
      </c>
      <c r="N2025">
        <v>100</v>
      </c>
      <c r="O2025">
        <v>25.72214580467676</v>
      </c>
      <c r="P2025"/>
    </row>
    <row r="2026" spans="1:16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>
        <v>34</v>
      </c>
      <c r="N2026">
        <v>94.64</v>
      </c>
      <c r="O2026">
        <v>27.52941176470588</v>
      </c>
      <c r="P2026"/>
    </row>
    <row r="2027" spans="1:16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>
        <v>23</v>
      </c>
      <c r="N2027">
        <v>99.07</v>
      </c>
      <c r="O2027">
        <v>26.376811594202898</v>
      </c>
      <c r="P2027"/>
    </row>
    <row r="2028" spans="1:16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>
        <v>0</v>
      </c>
      <c r="N2028">
        <v>100</v>
      </c>
      <c r="O2028">
        <v>0</v>
      </c>
      <c r="P2028"/>
    </row>
    <row r="2029" spans="1:16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>
        <v>10</v>
      </c>
      <c r="N2029">
        <v>98.48</v>
      </c>
      <c r="O2029">
        <v>27.853881278538811</v>
      </c>
      <c r="P2029"/>
    </row>
    <row r="2030" spans="1:16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>
        <v>4</v>
      </c>
      <c r="N2030">
        <v>95.15</v>
      </c>
      <c r="O2030">
        <v>34.131736526946113</v>
      </c>
      <c r="P2030"/>
    </row>
    <row r="2031" spans="1:16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>
        <v>0</v>
      </c>
      <c r="N2031">
        <v>0</v>
      </c>
      <c r="O2031">
        <v>0</v>
      </c>
      <c r="P2031"/>
    </row>
    <row r="2032" spans="1:16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>
        <v>28</v>
      </c>
      <c r="N2032">
        <v>99.26</v>
      </c>
      <c r="O2032">
        <v>30.84832904884319</v>
      </c>
      <c r="P2032"/>
    </row>
    <row r="2033" spans="1:16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>
        <v>18</v>
      </c>
      <c r="N2033">
        <v>97.48</v>
      </c>
      <c r="O2033">
        <v>27.764705882352938</v>
      </c>
      <c r="P2033"/>
    </row>
    <row r="2034" spans="1:16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>
        <v>23</v>
      </c>
      <c r="N2034">
        <v>99.34</v>
      </c>
      <c r="O2034">
        <v>30.04291845493562</v>
      </c>
      <c r="P2034"/>
    </row>
    <row r="2035" spans="1:16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0</v>
      </c>
      <c r="N2035">
        <v>96.3</v>
      </c>
      <c r="O2035">
        <v>24.29378531073446</v>
      </c>
      <c r="P2035"/>
    </row>
    <row r="2036" spans="1:16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>
        <v>18</v>
      </c>
      <c r="N2036">
        <v>100</v>
      </c>
      <c r="O2036">
        <v>26.543209876543209</v>
      </c>
      <c r="P2036"/>
    </row>
    <row r="2037" spans="1:16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>
        <v>0</v>
      </c>
      <c r="N2037">
        <v>100</v>
      </c>
      <c r="O2037">
        <v>35.483870967741943</v>
      </c>
      <c r="P2037"/>
    </row>
    <row r="2038" spans="1:16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>
        <v>33</v>
      </c>
      <c r="N2038">
        <v>99.27</v>
      </c>
      <c r="O2038">
        <v>31.163708086785011</v>
      </c>
      <c r="P2038"/>
    </row>
    <row r="2039" spans="1:16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>
        <v>15</v>
      </c>
      <c r="N2039">
        <v>94.16</v>
      </c>
      <c r="O2039">
        <v>27.038626609442058</v>
      </c>
      <c r="P2039"/>
    </row>
    <row r="2040" spans="1:16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>
        <v>4</v>
      </c>
      <c r="N2040">
        <v>93.75</v>
      </c>
      <c r="O2040">
        <v>19.31818181818182</v>
      </c>
      <c r="P2040"/>
    </row>
    <row r="2041" spans="1:16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>
        <v>0</v>
      </c>
      <c r="N2041">
        <v>0</v>
      </c>
      <c r="O2041">
        <v>0</v>
      </c>
      <c r="P2041"/>
    </row>
    <row r="2042" spans="1:16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97.92</v>
      </c>
      <c r="O2042">
        <v>32.87671232876712</v>
      </c>
      <c r="P2042"/>
    </row>
    <row r="2043" spans="1:16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0</v>
      </c>
      <c r="O2043">
        <v>0</v>
      </c>
      <c r="P2043"/>
    </row>
    <row r="2044" spans="1:16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  <c r="P2044"/>
    </row>
    <row r="2045" spans="1:16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  <c r="P2045"/>
    </row>
    <row r="2046" spans="1:16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>
        <v>17</v>
      </c>
      <c r="N2046">
        <v>98.51</v>
      </c>
      <c r="O2046">
        <v>29.710144927536231</v>
      </c>
      <c r="P2046"/>
    </row>
    <row r="2047" spans="1:16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>
        <v>38</v>
      </c>
      <c r="N2047">
        <v>98.81</v>
      </c>
      <c r="O2047">
        <v>30.712979890310791</v>
      </c>
      <c r="P2047"/>
    </row>
    <row r="2048" spans="1:16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>
        <v>12</v>
      </c>
      <c r="N2048">
        <v>98.48</v>
      </c>
      <c r="O2048">
        <v>29.35323383084577</v>
      </c>
      <c r="P2048"/>
    </row>
    <row r="2049" spans="1:16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>
        <v>27</v>
      </c>
      <c r="N2049">
        <v>98.56</v>
      </c>
      <c r="O2049">
        <v>29.373650107991359</v>
      </c>
      <c r="P2049"/>
    </row>
    <row r="2050" spans="1:16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>
        <v>0</v>
      </c>
      <c r="N2050">
        <v>98.32</v>
      </c>
      <c r="O2050">
        <v>30.303030303030301</v>
      </c>
      <c r="P2050"/>
    </row>
    <row r="2051" spans="1:16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>
        <v>33</v>
      </c>
      <c r="N2051">
        <v>98.68</v>
      </c>
      <c r="O2051">
        <v>26.219512195121951</v>
      </c>
      <c r="P2051"/>
    </row>
    <row r="2052" spans="1:16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>
        <v>20</v>
      </c>
      <c r="N2052">
        <v>100</v>
      </c>
      <c r="O2052">
        <v>31.74224343675418</v>
      </c>
      <c r="P2052"/>
    </row>
    <row r="2053" spans="1:16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>
        <v>25</v>
      </c>
      <c r="N2053">
        <v>98.25</v>
      </c>
      <c r="O2053">
        <v>25.83518930957684</v>
      </c>
      <c r="P2053"/>
    </row>
    <row r="2054" spans="1:16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  <c r="P2054"/>
    </row>
    <row r="2055" spans="1:16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>
        <v>17</v>
      </c>
      <c r="N2055">
        <v>100</v>
      </c>
      <c r="O2055">
        <v>29.71311475409836</v>
      </c>
      <c r="P2055"/>
    </row>
    <row r="2056" spans="1:16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>
        <v>14</v>
      </c>
      <c r="N2056">
        <v>99.22</v>
      </c>
      <c r="O2056">
        <v>35.256410256410263</v>
      </c>
      <c r="P2056"/>
    </row>
    <row r="2057" spans="1:16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>
        <v>0</v>
      </c>
      <c r="N2057">
        <v>0</v>
      </c>
      <c r="O2057">
        <v>0</v>
      </c>
      <c r="P2057"/>
    </row>
    <row r="2058" spans="1:16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>
        <v>9</v>
      </c>
      <c r="N2058">
        <v>98.75</v>
      </c>
      <c r="O2058">
        <v>24.32432432432433</v>
      </c>
      <c r="P2058"/>
    </row>
    <row r="2059" spans="1:16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>
        <v>35</v>
      </c>
      <c r="N2059">
        <v>93.48</v>
      </c>
      <c r="O2059">
        <v>31.52804642166344</v>
      </c>
      <c r="P2059"/>
    </row>
    <row r="2060" spans="1:16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>
        <v>36</v>
      </c>
      <c r="N2060">
        <v>99.16</v>
      </c>
      <c r="O2060">
        <v>26.13908872901678</v>
      </c>
      <c r="P2060"/>
    </row>
    <row r="2061" spans="1:16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>
        <v>13</v>
      </c>
      <c r="N2061">
        <v>100</v>
      </c>
      <c r="O2061">
        <v>31.089743589743591</v>
      </c>
      <c r="P2061"/>
    </row>
    <row r="2062" spans="1:16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>
        <v>25</v>
      </c>
      <c r="N2062">
        <v>98.11</v>
      </c>
      <c r="O2062">
        <v>33.033707865168537</v>
      </c>
      <c r="P2062"/>
    </row>
    <row r="2063" spans="1:16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>
        <v>2</v>
      </c>
      <c r="N2063">
        <v>78.95</v>
      </c>
      <c r="O2063">
        <v>38.983050847457633</v>
      </c>
      <c r="P2063"/>
    </row>
    <row r="2064" spans="1:16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>
        <v>17</v>
      </c>
      <c r="N2064">
        <v>98.45</v>
      </c>
      <c r="O2064">
        <v>29.281767955801101</v>
      </c>
      <c r="P2064"/>
    </row>
    <row r="2065" spans="1:16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>
        <v>29</v>
      </c>
      <c r="N2065">
        <v>97.84</v>
      </c>
      <c r="O2065">
        <v>26.282051282051281</v>
      </c>
      <c r="P2065"/>
    </row>
    <row r="2066" spans="1:16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>
        <v>29</v>
      </c>
      <c r="N2066">
        <v>98.5</v>
      </c>
      <c r="O2066">
        <v>23.97769516728625</v>
      </c>
      <c r="P2066"/>
    </row>
    <row r="2067" spans="1:16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>
        <v>24</v>
      </c>
      <c r="N2067">
        <v>99.05</v>
      </c>
      <c r="O2067">
        <v>26.621923937360179</v>
      </c>
      <c r="P2067"/>
    </row>
    <row r="2068" spans="1:16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>
        <v>29</v>
      </c>
      <c r="N2068">
        <v>98.53</v>
      </c>
      <c r="O2068">
        <v>31.578947368421051</v>
      </c>
      <c r="P2068"/>
    </row>
    <row r="2069" spans="1:16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>
        <v>37</v>
      </c>
      <c r="N2069">
        <v>100</v>
      </c>
      <c r="O2069">
        <v>25.72214580467676</v>
      </c>
      <c r="P2069"/>
    </row>
    <row r="2070" spans="1:16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>
        <v>17</v>
      </c>
      <c r="N2070">
        <v>94.64</v>
      </c>
      <c r="O2070">
        <v>27.52941176470588</v>
      </c>
      <c r="P2070"/>
    </row>
    <row r="2071" spans="1:16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>
        <v>16</v>
      </c>
      <c r="N2071">
        <v>99.07</v>
      </c>
      <c r="O2071">
        <v>26.376811594202898</v>
      </c>
      <c r="P2071"/>
    </row>
    <row r="2072" spans="1:16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>
        <v>0</v>
      </c>
      <c r="N2072">
        <v>100</v>
      </c>
      <c r="O2072">
        <v>0</v>
      </c>
      <c r="P2072"/>
    </row>
    <row r="2073" spans="1:16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>
        <v>7</v>
      </c>
      <c r="N2073">
        <v>98.48</v>
      </c>
      <c r="O2073">
        <v>27.853881278538811</v>
      </c>
      <c r="P2073"/>
    </row>
    <row r="2074" spans="1:16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>
        <v>21</v>
      </c>
      <c r="N2074">
        <v>95.15</v>
      </c>
      <c r="O2074">
        <v>34.131736526946113</v>
      </c>
      <c r="P2074"/>
    </row>
    <row r="2075" spans="1:16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>
        <v>0</v>
      </c>
      <c r="N2075">
        <v>0</v>
      </c>
      <c r="O2075">
        <v>0</v>
      </c>
      <c r="P2075"/>
    </row>
    <row r="2076" spans="1:16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>
        <v>26</v>
      </c>
      <c r="N2076">
        <v>99.26</v>
      </c>
      <c r="O2076">
        <v>30.84832904884319</v>
      </c>
      <c r="P2076"/>
    </row>
    <row r="2077" spans="1:16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>
        <v>23</v>
      </c>
      <c r="N2077">
        <v>97.48</v>
      </c>
      <c r="O2077">
        <v>27.764705882352938</v>
      </c>
      <c r="P2077"/>
    </row>
    <row r="2078" spans="1:16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>
        <v>19</v>
      </c>
      <c r="N2078">
        <v>99.34</v>
      </c>
      <c r="O2078">
        <v>30.04291845493562</v>
      </c>
      <c r="P2078"/>
    </row>
    <row r="2079" spans="1:16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0</v>
      </c>
      <c r="N2079">
        <v>96.3</v>
      </c>
      <c r="O2079">
        <v>24.29378531073446</v>
      </c>
      <c r="P2079"/>
    </row>
    <row r="2080" spans="1:16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>
        <v>23</v>
      </c>
      <c r="N2080">
        <v>100</v>
      </c>
      <c r="O2080">
        <v>26.543209876543209</v>
      </c>
      <c r="P2080"/>
    </row>
    <row r="2081" spans="1:16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>
        <v>1</v>
      </c>
      <c r="N2081">
        <v>100</v>
      </c>
      <c r="O2081">
        <v>35.483870967741943</v>
      </c>
      <c r="P2081"/>
    </row>
    <row r="2082" spans="1:16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>
        <v>31</v>
      </c>
      <c r="N2082">
        <v>99.27</v>
      </c>
      <c r="O2082">
        <v>31.163708086785011</v>
      </c>
      <c r="P2082"/>
    </row>
    <row r="2083" spans="1:16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>
        <v>16</v>
      </c>
      <c r="N2083">
        <v>94.16</v>
      </c>
      <c r="O2083">
        <v>27.038626609442058</v>
      </c>
      <c r="P2083"/>
    </row>
    <row r="2084" spans="1:16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>
        <v>4</v>
      </c>
      <c r="N2084">
        <v>93.75</v>
      </c>
      <c r="O2084">
        <v>19.31818181818182</v>
      </c>
      <c r="P2084"/>
    </row>
    <row r="2085" spans="1:16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>
        <v>0</v>
      </c>
      <c r="N2085">
        <v>0</v>
      </c>
      <c r="O2085">
        <v>0</v>
      </c>
      <c r="P2085"/>
    </row>
    <row r="2086" spans="1:16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97.92</v>
      </c>
      <c r="O2086">
        <v>32.87671232876712</v>
      </c>
      <c r="P2086"/>
    </row>
    <row r="2087" spans="1:16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0</v>
      </c>
      <c r="O2087">
        <v>0</v>
      </c>
      <c r="P2087"/>
    </row>
    <row r="2088" spans="1:16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  <c r="P2088"/>
    </row>
    <row r="2089" spans="1:16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  <c r="P2089"/>
    </row>
    <row r="2090" spans="1:16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>
        <v>20</v>
      </c>
      <c r="N2090">
        <v>98.51</v>
      </c>
      <c r="O2090">
        <v>29.710144927536231</v>
      </c>
      <c r="P2090"/>
    </row>
    <row r="2091" spans="1:16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>
        <v>43</v>
      </c>
      <c r="N2091">
        <v>98.81</v>
      </c>
      <c r="O2091">
        <v>30.712979890310791</v>
      </c>
      <c r="P2091"/>
    </row>
    <row r="2092" spans="1:16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>
        <v>7</v>
      </c>
      <c r="N2092">
        <v>98.48</v>
      </c>
      <c r="O2092">
        <v>29.35323383084577</v>
      </c>
      <c r="P2092"/>
    </row>
    <row r="2093" spans="1:16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>
        <v>26</v>
      </c>
      <c r="N2093">
        <v>98.56</v>
      </c>
      <c r="O2093">
        <v>29.373650107991359</v>
      </c>
      <c r="P2093"/>
    </row>
    <row r="2094" spans="1:16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>
        <v>27</v>
      </c>
      <c r="N2094">
        <v>98.32</v>
      </c>
      <c r="O2094">
        <v>30.303030303030301</v>
      </c>
      <c r="P2094"/>
    </row>
    <row r="2095" spans="1:16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>
        <v>28</v>
      </c>
      <c r="N2095">
        <v>98.68</v>
      </c>
      <c r="O2095">
        <v>26.219512195121951</v>
      </c>
      <c r="P2095"/>
    </row>
    <row r="2096" spans="1:16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>
        <v>16</v>
      </c>
      <c r="N2096">
        <v>100</v>
      </c>
      <c r="O2096">
        <v>31.74224343675418</v>
      </c>
      <c r="P2096"/>
    </row>
    <row r="2097" spans="1:16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>
        <v>17</v>
      </c>
      <c r="N2097">
        <v>98.25</v>
      </c>
      <c r="O2097">
        <v>25.83518930957684</v>
      </c>
      <c r="P2097"/>
    </row>
    <row r="2098" spans="1:16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>
        <v>7</v>
      </c>
      <c r="N2098">
        <v>97.5</v>
      </c>
      <c r="O2098">
        <v>30.075187969924809</v>
      </c>
      <c r="P2098"/>
    </row>
    <row r="2099" spans="1:16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>
        <v>31</v>
      </c>
      <c r="N2099">
        <v>100</v>
      </c>
      <c r="O2099">
        <v>29.71311475409836</v>
      </c>
      <c r="P2099"/>
    </row>
    <row r="2100" spans="1:16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>
        <v>18</v>
      </c>
      <c r="N2100">
        <v>99.22</v>
      </c>
      <c r="O2100">
        <v>35.256410256410263</v>
      </c>
      <c r="P2100"/>
    </row>
    <row r="2101" spans="1:16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>
        <v>0</v>
      </c>
      <c r="N2101">
        <v>0</v>
      </c>
      <c r="O2101">
        <v>0</v>
      </c>
      <c r="P2101"/>
    </row>
    <row r="2102" spans="1:16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>
        <v>17</v>
      </c>
      <c r="N2102">
        <v>98.75</v>
      </c>
      <c r="O2102">
        <v>24.32432432432433</v>
      </c>
      <c r="P2102"/>
    </row>
    <row r="2103" spans="1:16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>
        <v>42</v>
      </c>
      <c r="N2103">
        <v>93.48</v>
      </c>
      <c r="O2103">
        <v>31.52804642166344</v>
      </c>
      <c r="P2103"/>
    </row>
    <row r="2104" spans="1:16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>
        <v>21</v>
      </c>
      <c r="N2104">
        <v>99.16</v>
      </c>
      <c r="O2104">
        <v>26.13908872901678</v>
      </c>
      <c r="P2104"/>
    </row>
    <row r="2105" spans="1:16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>
        <v>9</v>
      </c>
      <c r="N2105">
        <v>100</v>
      </c>
      <c r="O2105">
        <v>31.089743589743591</v>
      </c>
      <c r="P2105"/>
    </row>
    <row r="2106" spans="1:16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>
        <v>28</v>
      </c>
      <c r="N2106">
        <v>98.11</v>
      </c>
      <c r="O2106">
        <v>33.033707865168537</v>
      </c>
      <c r="P2106"/>
    </row>
    <row r="2107" spans="1:16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>
        <v>2</v>
      </c>
      <c r="N2107">
        <v>78.95</v>
      </c>
      <c r="O2107">
        <v>38.983050847457633</v>
      </c>
      <c r="P2107"/>
    </row>
    <row r="2108" spans="1:16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>
        <v>17</v>
      </c>
      <c r="N2108">
        <v>98.45</v>
      </c>
      <c r="O2108">
        <v>29.281767955801101</v>
      </c>
      <c r="P2108"/>
    </row>
    <row r="2109" spans="1:16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>
        <v>26</v>
      </c>
      <c r="N2109">
        <v>97.84</v>
      </c>
      <c r="O2109">
        <v>26.282051282051281</v>
      </c>
      <c r="P2109"/>
    </row>
    <row r="2110" spans="1:16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>
        <v>34</v>
      </c>
      <c r="N2110">
        <v>98.5</v>
      </c>
      <c r="O2110">
        <v>23.97769516728625</v>
      </c>
      <c r="P2110"/>
    </row>
    <row r="2111" spans="1:16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>
        <v>11</v>
      </c>
      <c r="N2111">
        <v>99.05</v>
      </c>
      <c r="O2111">
        <v>26.621923937360179</v>
      </c>
      <c r="P2111"/>
    </row>
    <row r="2112" spans="1:16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>
        <v>22</v>
      </c>
      <c r="N2112">
        <v>98.53</v>
      </c>
      <c r="O2112">
        <v>31.578947368421051</v>
      </c>
      <c r="P2112"/>
    </row>
    <row r="2113" spans="1:16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>
        <v>40</v>
      </c>
      <c r="N2113">
        <v>100</v>
      </c>
      <c r="O2113">
        <v>25.72214580467676</v>
      </c>
      <c r="P2113"/>
    </row>
    <row r="2114" spans="1:16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>
        <v>33</v>
      </c>
      <c r="N2114">
        <v>94.64</v>
      </c>
      <c r="O2114">
        <v>27.52941176470588</v>
      </c>
      <c r="P2114"/>
    </row>
    <row r="2115" spans="1:16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>
        <v>24</v>
      </c>
      <c r="N2115">
        <v>99.07</v>
      </c>
      <c r="O2115">
        <v>26.376811594202898</v>
      </c>
      <c r="P2115"/>
    </row>
    <row r="2116" spans="1:16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>
        <v>0</v>
      </c>
      <c r="N2116">
        <v>100</v>
      </c>
      <c r="O2116">
        <v>0</v>
      </c>
      <c r="P2116"/>
    </row>
    <row r="2117" spans="1:16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>
        <v>8</v>
      </c>
      <c r="N2117">
        <v>98.48</v>
      </c>
      <c r="O2117">
        <v>27.853881278538811</v>
      </c>
      <c r="P2117"/>
    </row>
    <row r="2118" spans="1:16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  <c r="P2118"/>
    </row>
    <row r="2119" spans="1:16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>
        <v>0</v>
      </c>
      <c r="N2119">
        <v>0</v>
      </c>
      <c r="O2119">
        <v>0</v>
      </c>
      <c r="P2119"/>
    </row>
    <row r="2120" spans="1:16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>
        <v>24</v>
      </c>
      <c r="N2120">
        <v>99.26</v>
      </c>
      <c r="O2120">
        <v>30.84832904884319</v>
      </c>
      <c r="P2120"/>
    </row>
    <row r="2121" spans="1:16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>
        <v>8</v>
      </c>
      <c r="N2121">
        <v>97.48</v>
      </c>
      <c r="O2121">
        <v>27.764705882352938</v>
      </c>
      <c r="P2121"/>
    </row>
    <row r="2122" spans="1:16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>
        <v>25</v>
      </c>
      <c r="N2122">
        <v>99.34</v>
      </c>
      <c r="O2122">
        <v>30.04291845493562</v>
      </c>
      <c r="P2122"/>
    </row>
    <row r="2123" spans="1:16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0</v>
      </c>
      <c r="N2123">
        <v>96.3</v>
      </c>
      <c r="O2123">
        <v>24.29378531073446</v>
      </c>
      <c r="P2123"/>
    </row>
    <row r="2124" spans="1:16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>
        <v>16</v>
      </c>
      <c r="N2124">
        <v>100</v>
      </c>
      <c r="O2124">
        <v>26.543209876543209</v>
      </c>
      <c r="P2124"/>
    </row>
    <row r="2125" spans="1:16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>
        <v>2</v>
      </c>
      <c r="N2125">
        <v>100</v>
      </c>
      <c r="O2125">
        <v>35.483870967741943</v>
      </c>
      <c r="P2125"/>
    </row>
    <row r="2126" spans="1:16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>
        <v>23</v>
      </c>
      <c r="N2126">
        <v>99.27</v>
      </c>
      <c r="O2126">
        <v>31.163708086785011</v>
      </c>
      <c r="P2126"/>
    </row>
    <row r="2127" spans="1:16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>
        <v>27</v>
      </c>
      <c r="N2127">
        <v>94.16</v>
      </c>
      <c r="O2127">
        <v>27.038626609442058</v>
      </c>
      <c r="P2127"/>
    </row>
    <row r="2128" spans="1:16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>
        <v>5</v>
      </c>
      <c r="N2128">
        <v>93.75</v>
      </c>
      <c r="O2128">
        <v>19.31818181818182</v>
      </c>
      <c r="P2128"/>
    </row>
    <row r="2129" spans="1:16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>
        <v>0</v>
      </c>
      <c r="N2129">
        <v>0</v>
      </c>
      <c r="O2129">
        <v>0</v>
      </c>
      <c r="P2129"/>
    </row>
    <row r="2130" spans="1:16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97.92</v>
      </c>
      <c r="O2130">
        <v>32.87671232876712</v>
      </c>
      <c r="P2130"/>
    </row>
    <row r="2131" spans="1:16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0</v>
      </c>
      <c r="O2131">
        <v>0</v>
      </c>
      <c r="P2131"/>
    </row>
    <row r="2132" spans="1:16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  <c r="P2132"/>
    </row>
    <row r="2133" spans="1:16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  <c r="P2133"/>
    </row>
    <row r="2134" spans="1:16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>
        <v>12</v>
      </c>
      <c r="N2134">
        <v>98.51</v>
      </c>
      <c r="O2134">
        <v>29.710144927536231</v>
      </c>
      <c r="P2134"/>
    </row>
    <row r="2135" spans="1:16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>
        <v>30</v>
      </c>
      <c r="N2135">
        <v>98.81</v>
      </c>
      <c r="O2135">
        <v>30.712979890310791</v>
      </c>
      <c r="P2135"/>
    </row>
    <row r="2136" spans="1:16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>
        <v>11</v>
      </c>
      <c r="N2136">
        <v>98.48</v>
      </c>
      <c r="O2136">
        <v>29.35323383084577</v>
      </c>
      <c r="P2136"/>
    </row>
    <row r="2137" spans="1:16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>
        <v>30</v>
      </c>
      <c r="N2137">
        <v>98.56</v>
      </c>
      <c r="O2137">
        <v>29.373650107991359</v>
      </c>
      <c r="P2137"/>
    </row>
    <row r="2138" spans="1:16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>
        <v>4</v>
      </c>
      <c r="N2138">
        <v>98.32</v>
      </c>
      <c r="O2138">
        <v>30.303030303030301</v>
      </c>
      <c r="P2138"/>
    </row>
    <row r="2139" spans="1:16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>
        <v>6</v>
      </c>
      <c r="N2139">
        <v>98.68</v>
      </c>
      <c r="O2139">
        <v>26.219512195121951</v>
      </c>
      <c r="P2139"/>
    </row>
    <row r="2140" spans="1:16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>
        <v>7</v>
      </c>
      <c r="N2140">
        <v>100</v>
      </c>
      <c r="O2140">
        <v>31.74224343675418</v>
      </c>
      <c r="P2140"/>
    </row>
    <row r="2141" spans="1:16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>
        <v>5</v>
      </c>
      <c r="N2141">
        <v>98.25</v>
      </c>
      <c r="O2141">
        <v>25.83518930957684</v>
      </c>
      <c r="P2141"/>
    </row>
    <row r="2142" spans="1:16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>
        <v>3</v>
      </c>
      <c r="N2142">
        <v>97.5</v>
      </c>
      <c r="O2142">
        <v>30.075187969924809</v>
      </c>
      <c r="P2142"/>
    </row>
    <row r="2143" spans="1:16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5</v>
      </c>
      <c r="N2143">
        <v>100</v>
      </c>
      <c r="O2143">
        <v>29.71311475409836</v>
      </c>
      <c r="P2143"/>
    </row>
    <row r="2144" spans="1:16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>
        <v>8</v>
      </c>
      <c r="N2144">
        <v>99.22</v>
      </c>
      <c r="O2144">
        <v>35.256410256410263</v>
      </c>
      <c r="P2144"/>
    </row>
    <row r="2145" spans="1:16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>
        <v>0</v>
      </c>
      <c r="N2145">
        <v>0</v>
      </c>
      <c r="O2145">
        <v>0</v>
      </c>
      <c r="P2145"/>
    </row>
    <row r="2146" spans="1:16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>
        <v>4</v>
      </c>
      <c r="N2146">
        <v>98.75</v>
      </c>
      <c r="O2146">
        <v>24.32432432432433</v>
      </c>
      <c r="P2146"/>
    </row>
    <row r="2147" spans="1:16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>
        <v>9</v>
      </c>
      <c r="N2147">
        <v>93.48</v>
      </c>
      <c r="O2147">
        <v>31.52804642166344</v>
      </c>
      <c r="P2147"/>
    </row>
    <row r="2148" spans="1:16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>
        <v>0</v>
      </c>
      <c r="N2148">
        <v>99.16</v>
      </c>
      <c r="O2148">
        <v>26.13908872901678</v>
      </c>
      <c r="P2148"/>
    </row>
    <row r="2149" spans="1:16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>
        <v>6</v>
      </c>
      <c r="N2149">
        <v>100</v>
      </c>
      <c r="O2149">
        <v>31.089743589743591</v>
      </c>
      <c r="P2149"/>
    </row>
    <row r="2150" spans="1:16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>
        <v>7</v>
      </c>
      <c r="N2150">
        <v>98.11</v>
      </c>
      <c r="O2150">
        <v>33.033707865168537</v>
      </c>
      <c r="P2150"/>
    </row>
    <row r="2151" spans="1:16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>
        <v>3</v>
      </c>
      <c r="N2151">
        <v>78.95</v>
      </c>
      <c r="O2151">
        <v>38.983050847457633</v>
      </c>
      <c r="P2151"/>
    </row>
    <row r="2152" spans="1:16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>
        <v>8</v>
      </c>
      <c r="N2152">
        <v>98.45</v>
      </c>
      <c r="O2152">
        <v>29.281767955801101</v>
      </c>
      <c r="P2152"/>
    </row>
    <row r="2153" spans="1:16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>
        <v>9</v>
      </c>
      <c r="N2153">
        <v>97.84</v>
      </c>
      <c r="O2153">
        <v>26.282051282051281</v>
      </c>
      <c r="P2153"/>
    </row>
    <row r="2154" spans="1:16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6</v>
      </c>
      <c r="N2154">
        <v>98.5</v>
      </c>
      <c r="O2154">
        <v>23.97769516728625</v>
      </c>
      <c r="P2154"/>
    </row>
    <row r="2155" spans="1:16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>
        <v>18</v>
      </c>
      <c r="N2155">
        <v>99.05</v>
      </c>
      <c r="O2155">
        <v>26.621923937360179</v>
      </c>
      <c r="P2155"/>
    </row>
    <row r="2156" spans="1:16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>
        <v>5</v>
      </c>
      <c r="N2156">
        <v>98.53</v>
      </c>
      <c r="O2156">
        <v>31.578947368421051</v>
      </c>
      <c r="P2156"/>
    </row>
    <row r="2157" spans="1:16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6</v>
      </c>
      <c r="N2157">
        <v>100</v>
      </c>
      <c r="O2157">
        <v>25.72214580467676</v>
      </c>
      <c r="P2157"/>
    </row>
    <row r="2158" spans="1:16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>
        <v>7</v>
      </c>
      <c r="N2158">
        <v>94.64</v>
      </c>
      <c r="O2158">
        <v>27.52941176470588</v>
      </c>
      <c r="P2158"/>
    </row>
    <row r="2159" spans="1:16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>
        <v>6</v>
      </c>
      <c r="N2159">
        <v>99.07</v>
      </c>
      <c r="O2159">
        <v>26.376811594202898</v>
      </c>
      <c r="P2159"/>
    </row>
    <row r="2160" spans="1:16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>
        <v>0</v>
      </c>
      <c r="N2160">
        <v>100</v>
      </c>
      <c r="O2160">
        <v>0</v>
      </c>
      <c r="P2160"/>
    </row>
    <row r="2161" spans="1:16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98.48</v>
      </c>
      <c r="O2161">
        <v>27.853881278538811</v>
      </c>
      <c r="P2161"/>
    </row>
    <row r="2162" spans="1:16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>
        <v>5</v>
      </c>
      <c r="N2162">
        <v>95.15</v>
      </c>
      <c r="O2162">
        <v>34.131736526946113</v>
      </c>
      <c r="P2162"/>
    </row>
    <row r="2163" spans="1:16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>
        <v>0</v>
      </c>
      <c r="N2163">
        <v>0</v>
      </c>
      <c r="O2163">
        <v>0</v>
      </c>
      <c r="P2163"/>
    </row>
    <row r="2164" spans="1:16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>
        <v>8</v>
      </c>
      <c r="N2164">
        <v>99.26</v>
      </c>
      <c r="O2164">
        <v>30.84832904884319</v>
      </c>
      <c r="P2164"/>
    </row>
    <row r="2165" spans="1:16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>
        <v>35</v>
      </c>
      <c r="N2165">
        <v>97.48</v>
      </c>
      <c r="O2165">
        <v>27.764705882352938</v>
      </c>
      <c r="P2165"/>
    </row>
    <row r="2166" spans="1:16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>
        <v>5</v>
      </c>
      <c r="N2166">
        <v>99.34</v>
      </c>
      <c r="O2166">
        <v>30.04291845493562</v>
      </c>
      <c r="P2166"/>
    </row>
    <row r="2167" spans="1:16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0</v>
      </c>
      <c r="N2167">
        <v>96.3</v>
      </c>
      <c r="O2167">
        <v>24.29378531073446</v>
      </c>
      <c r="P2167"/>
    </row>
    <row r="2168" spans="1:16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>
        <v>6</v>
      </c>
      <c r="N2168">
        <v>100</v>
      </c>
      <c r="O2168">
        <v>26.543209876543209</v>
      </c>
      <c r="P2168"/>
    </row>
    <row r="2169" spans="1:16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3</v>
      </c>
      <c r="N2169">
        <v>100</v>
      </c>
      <c r="O2169">
        <v>35.483870967741943</v>
      </c>
      <c r="P2169"/>
    </row>
    <row r="2170" spans="1:16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>
        <v>3</v>
      </c>
      <c r="N2170">
        <v>99.27</v>
      </c>
      <c r="O2170">
        <v>31.163708086785011</v>
      </c>
      <c r="P2170"/>
    </row>
    <row r="2171" spans="1:16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>
        <v>5</v>
      </c>
      <c r="N2171">
        <v>94.16</v>
      </c>
      <c r="O2171">
        <v>27.038626609442058</v>
      </c>
      <c r="P2171"/>
    </row>
    <row r="2172" spans="1:16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>
        <v>0</v>
      </c>
      <c r="N2172">
        <v>93.75</v>
      </c>
      <c r="O2172">
        <v>19.31818181818182</v>
      </c>
      <c r="P2172"/>
    </row>
    <row r="2173" spans="1:16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0</v>
      </c>
      <c r="O2173">
        <v>0</v>
      </c>
      <c r="P2173"/>
    </row>
    <row r="2174" spans="1:16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97.92</v>
      </c>
      <c r="O2174">
        <v>32.87671232876712</v>
      </c>
      <c r="P2174"/>
    </row>
    <row r="2175" spans="1:16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0</v>
      </c>
      <c r="O2175">
        <v>0</v>
      </c>
      <c r="P2175"/>
    </row>
    <row r="2176" spans="1:16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  <c r="P2176"/>
    </row>
    <row r="2177" spans="1:16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  <c r="P2177"/>
    </row>
    <row r="2178" spans="1:16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>
        <v>6</v>
      </c>
      <c r="N2178">
        <v>98.51</v>
      </c>
      <c r="O2178">
        <v>29.710144927536231</v>
      </c>
      <c r="P2178"/>
    </row>
    <row r="2179" spans="1:16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>
        <v>3</v>
      </c>
      <c r="N2179">
        <v>98.81</v>
      </c>
      <c r="O2179">
        <v>30.712979890310791</v>
      </c>
      <c r="P2179"/>
    </row>
    <row r="2180" spans="1:16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>
        <v>7</v>
      </c>
      <c r="N2180">
        <v>98.48</v>
      </c>
      <c r="O2180">
        <v>29.35323383084577</v>
      </c>
      <c r="P2180"/>
    </row>
    <row r="2181" spans="1:16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5</v>
      </c>
      <c r="N2181">
        <v>98.56</v>
      </c>
      <c r="O2181">
        <v>29.373650107991359</v>
      </c>
      <c r="P2181"/>
    </row>
    <row r="2182" spans="1:16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  <c r="P2182"/>
    </row>
    <row r="2183" spans="1:16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98.68</v>
      </c>
      <c r="O2183">
        <v>26.219512195121951</v>
      </c>
      <c r="P2183"/>
    </row>
    <row r="2184" spans="1:16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100</v>
      </c>
      <c r="O2184">
        <v>31.74224343675418</v>
      </c>
      <c r="P2184"/>
    </row>
    <row r="2185" spans="1:16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98.25</v>
      </c>
      <c r="O2185">
        <v>25.83518930957684</v>
      </c>
      <c r="P2185"/>
    </row>
    <row r="2186" spans="1:16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97.5</v>
      </c>
      <c r="O2186">
        <v>30.075187969924809</v>
      </c>
      <c r="P2186"/>
    </row>
    <row r="2187" spans="1:16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100</v>
      </c>
      <c r="O2187">
        <v>29.71311475409836</v>
      </c>
      <c r="P2187"/>
    </row>
    <row r="2188" spans="1:16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99.22</v>
      </c>
      <c r="O2188">
        <v>35.256410256410263</v>
      </c>
      <c r="P2188"/>
    </row>
    <row r="2189" spans="1:16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0</v>
      </c>
      <c r="O2189">
        <v>0</v>
      </c>
      <c r="P2189"/>
    </row>
    <row r="2190" spans="1:16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98.75</v>
      </c>
      <c r="O2190">
        <v>24.32432432432433</v>
      </c>
      <c r="P2190"/>
    </row>
    <row r="2191" spans="1:16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93.48</v>
      </c>
      <c r="O2191">
        <v>31.52804642166344</v>
      </c>
      <c r="P2191"/>
    </row>
    <row r="2192" spans="1:16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99.16</v>
      </c>
      <c r="O2192">
        <v>26.13908872901678</v>
      </c>
      <c r="P2192"/>
    </row>
    <row r="2193" spans="1:16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100</v>
      </c>
      <c r="O2193">
        <v>31.089743589743591</v>
      </c>
      <c r="P2193"/>
    </row>
    <row r="2194" spans="1:16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98.11</v>
      </c>
      <c r="O2194">
        <v>33.033707865168537</v>
      </c>
      <c r="P2194"/>
    </row>
    <row r="2195" spans="1:16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78.95</v>
      </c>
      <c r="O2195">
        <v>38.983050847457633</v>
      </c>
      <c r="P2195"/>
    </row>
    <row r="2196" spans="1:16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98.45</v>
      </c>
      <c r="O2196">
        <v>29.281767955801101</v>
      </c>
      <c r="P2196"/>
    </row>
    <row r="2197" spans="1:16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97.84</v>
      </c>
      <c r="O2197">
        <v>26.282051282051281</v>
      </c>
      <c r="P2197"/>
    </row>
    <row r="2198" spans="1:16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98.5</v>
      </c>
      <c r="O2198">
        <v>23.97769516728625</v>
      </c>
      <c r="P2198"/>
    </row>
    <row r="2199" spans="1:16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>
        <v>11</v>
      </c>
      <c r="N2199">
        <v>99.05</v>
      </c>
      <c r="O2199">
        <v>26.621923937360179</v>
      </c>
      <c r="P2199"/>
    </row>
    <row r="2200" spans="1:16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>
        <v>0</v>
      </c>
      <c r="N2200">
        <v>98.53</v>
      </c>
      <c r="O2200">
        <v>31.578947368421051</v>
      </c>
      <c r="P2200"/>
    </row>
    <row r="2201" spans="1:16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100</v>
      </c>
      <c r="O2201">
        <v>25.72214580467676</v>
      </c>
      <c r="P2201"/>
    </row>
    <row r="2202" spans="1:16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94.64</v>
      </c>
      <c r="O2202">
        <v>27.52941176470588</v>
      </c>
      <c r="P2202"/>
    </row>
    <row r="2203" spans="1:16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99.07</v>
      </c>
      <c r="O2203">
        <v>26.376811594202898</v>
      </c>
      <c r="P2203"/>
    </row>
    <row r="2204" spans="1:16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100</v>
      </c>
      <c r="O2204">
        <v>0</v>
      </c>
      <c r="P2204"/>
    </row>
    <row r="2205" spans="1:16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98.48</v>
      </c>
      <c r="O2205">
        <v>27.853881278538811</v>
      </c>
      <c r="P2205"/>
    </row>
    <row r="2206" spans="1:16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95.15</v>
      </c>
      <c r="O2206">
        <v>34.131736526946113</v>
      </c>
      <c r="P2206"/>
    </row>
    <row r="2207" spans="1:16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0</v>
      </c>
      <c r="O2207">
        <v>0</v>
      </c>
      <c r="P2207"/>
    </row>
    <row r="2208" spans="1:16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99.26</v>
      </c>
      <c r="O2208">
        <v>30.84832904884319</v>
      </c>
      <c r="P2208"/>
    </row>
    <row r="2209" spans="1:16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97.48</v>
      </c>
      <c r="O2209">
        <v>27.764705882352938</v>
      </c>
      <c r="P2209"/>
    </row>
    <row r="2210" spans="1:16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99.34</v>
      </c>
      <c r="O2210">
        <v>30.04291845493562</v>
      </c>
      <c r="P2210"/>
    </row>
    <row r="2211" spans="1:16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96.3</v>
      </c>
      <c r="O2211">
        <v>24.29378531073446</v>
      </c>
      <c r="P2211"/>
    </row>
    <row r="2212" spans="1:16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100</v>
      </c>
      <c r="O2212">
        <v>26.543209876543209</v>
      </c>
      <c r="P2212"/>
    </row>
    <row r="2213" spans="1:16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35.483870967741943</v>
      </c>
      <c r="P2213"/>
    </row>
    <row r="2214" spans="1:16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99.27</v>
      </c>
      <c r="O2214">
        <v>31.163708086785011</v>
      </c>
      <c r="P2214"/>
    </row>
    <row r="2215" spans="1:16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94.16</v>
      </c>
      <c r="O2215">
        <v>27.038626609442058</v>
      </c>
      <c r="P2215"/>
    </row>
    <row r="2216" spans="1:16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93.75</v>
      </c>
      <c r="O2216">
        <v>19.31818181818182</v>
      </c>
      <c r="P2216"/>
    </row>
    <row r="2217" spans="1:16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0</v>
      </c>
      <c r="O2217">
        <v>0</v>
      </c>
      <c r="P2217"/>
    </row>
    <row r="2218" spans="1:16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97.92</v>
      </c>
      <c r="O2218">
        <v>32.87671232876712</v>
      </c>
      <c r="P2218"/>
    </row>
    <row r="2219" spans="1:16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0</v>
      </c>
      <c r="O2219">
        <v>0</v>
      </c>
      <c r="P2219"/>
    </row>
    <row r="2220" spans="1:16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  <c r="P2220"/>
    </row>
    <row r="2221" spans="1:16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  <c r="P2221"/>
    </row>
    <row r="2222" spans="1:16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98.51</v>
      </c>
      <c r="O2222">
        <v>29.710144927536231</v>
      </c>
      <c r="P2222"/>
    </row>
    <row r="2223" spans="1:16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98.81</v>
      </c>
      <c r="O2223">
        <v>30.712979890310791</v>
      </c>
      <c r="P2223"/>
    </row>
    <row r="2224" spans="1:16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98.48</v>
      </c>
      <c r="O2224">
        <v>29.35323383084577</v>
      </c>
      <c r="P2224"/>
    </row>
    <row r="2225" spans="1:16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98.56</v>
      </c>
      <c r="O2225">
        <v>29.373650107991359</v>
      </c>
      <c r="P2225"/>
    </row>
    <row r="2226" spans="1:16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>
        <v>22</v>
      </c>
      <c r="N2226">
        <v>98.32</v>
      </c>
      <c r="O2226">
        <v>30.303030303030301</v>
      </c>
      <c r="P2226"/>
    </row>
    <row r="2227" spans="1:16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>
        <v>19</v>
      </c>
      <c r="N2227">
        <v>98.68</v>
      </c>
      <c r="O2227">
        <v>26.219512195121951</v>
      </c>
      <c r="P2227"/>
    </row>
    <row r="2228" spans="1:16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>
        <v>21</v>
      </c>
      <c r="N2228">
        <v>100</v>
      </c>
      <c r="O2228">
        <v>31.74224343675418</v>
      </c>
      <c r="P2228"/>
    </row>
    <row r="2229" spans="1:16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>
        <v>26</v>
      </c>
      <c r="N2229">
        <v>98.25</v>
      </c>
      <c r="O2229">
        <v>25.83518930957684</v>
      </c>
      <c r="P2229"/>
    </row>
    <row r="2230" spans="1:16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>
        <v>6</v>
      </c>
      <c r="N2230">
        <v>97.5</v>
      </c>
      <c r="O2230">
        <v>30.075187969924809</v>
      </c>
      <c r="P2230"/>
    </row>
    <row r="2231" spans="1:16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>
        <v>19</v>
      </c>
      <c r="N2231">
        <v>100</v>
      </c>
      <c r="O2231">
        <v>29.71311475409836</v>
      </c>
      <c r="P2231"/>
    </row>
    <row r="2232" spans="1:16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>
        <v>12</v>
      </c>
      <c r="N2232">
        <v>99.22</v>
      </c>
      <c r="O2232">
        <v>35.256410256410263</v>
      </c>
      <c r="P2232"/>
    </row>
    <row r="2233" spans="1:16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>
        <v>0</v>
      </c>
      <c r="N2233">
        <v>0</v>
      </c>
      <c r="O2233">
        <v>0</v>
      </c>
      <c r="P2233"/>
    </row>
    <row r="2234" spans="1:16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>
        <v>20</v>
      </c>
      <c r="N2234">
        <v>98.75</v>
      </c>
      <c r="O2234">
        <v>24.32432432432433</v>
      </c>
      <c r="P2234"/>
    </row>
    <row r="2235" spans="1:16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>
        <v>34</v>
      </c>
      <c r="N2235">
        <v>93.48</v>
      </c>
      <c r="O2235">
        <v>31.52804642166344</v>
      </c>
      <c r="P2235"/>
    </row>
    <row r="2236" spans="1:16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>
        <v>13</v>
      </c>
      <c r="N2236">
        <v>99.16</v>
      </c>
      <c r="O2236">
        <v>26.13908872901678</v>
      </c>
      <c r="P2236"/>
    </row>
    <row r="2237" spans="1:16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>
        <v>24</v>
      </c>
      <c r="N2237">
        <v>100</v>
      </c>
      <c r="O2237">
        <v>31.089743589743591</v>
      </c>
      <c r="P2237"/>
    </row>
    <row r="2238" spans="1:16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>
        <v>13</v>
      </c>
      <c r="N2238">
        <v>98.11</v>
      </c>
      <c r="O2238">
        <v>33.033707865168537</v>
      </c>
      <c r="P2238"/>
    </row>
    <row r="2239" spans="1:16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>
        <v>4</v>
      </c>
      <c r="N2239">
        <v>78.95</v>
      </c>
      <c r="O2239">
        <v>38.983050847457633</v>
      </c>
      <c r="P2239"/>
    </row>
    <row r="2240" spans="1:16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>
        <v>22</v>
      </c>
      <c r="N2240">
        <v>98.45</v>
      </c>
      <c r="O2240">
        <v>29.281767955801101</v>
      </c>
      <c r="P2240"/>
    </row>
    <row r="2241" spans="1:16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>
        <v>14</v>
      </c>
      <c r="N2241">
        <v>97.84</v>
      </c>
      <c r="O2241">
        <v>26.282051282051281</v>
      </c>
      <c r="P2241"/>
    </row>
    <row r="2242" spans="1:16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>
        <v>21</v>
      </c>
      <c r="N2242">
        <v>98.5</v>
      </c>
      <c r="O2242">
        <v>23.97769516728625</v>
      </c>
      <c r="P2242"/>
    </row>
    <row r="2243" spans="1:16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>
        <v>29</v>
      </c>
      <c r="N2243">
        <v>99.05</v>
      </c>
      <c r="O2243">
        <v>26.621923937360179</v>
      </c>
      <c r="P2243"/>
    </row>
    <row r="2244" spans="1:16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>
        <v>21</v>
      </c>
      <c r="N2244">
        <v>98.53</v>
      </c>
      <c r="O2244">
        <v>31.578947368421051</v>
      </c>
      <c r="P2244"/>
    </row>
    <row r="2245" spans="1:16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>
        <v>37</v>
      </c>
      <c r="N2245">
        <v>100</v>
      </c>
      <c r="O2245">
        <v>25.72214580467676</v>
      </c>
      <c r="P2245"/>
    </row>
    <row r="2246" spans="1:16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  <c r="P2246"/>
    </row>
    <row r="2247" spans="1:16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>
        <v>16</v>
      </c>
      <c r="N2247">
        <v>99.07</v>
      </c>
      <c r="O2247">
        <v>26.376811594202898</v>
      </c>
      <c r="P2247"/>
    </row>
    <row r="2248" spans="1:16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>
        <v>0</v>
      </c>
      <c r="N2248">
        <v>100</v>
      </c>
      <c r="O2248">
        <v>0</v>
      </c>
      <c r="P2248"/>
    </row>
    <row r="2249" spans="1:16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>
        <v>7</v>
      </c>
      <c r="N2249">
        <v>98.48</v>
      </c>
      <c r="O2249">
        <v>27.853881278538811</v>
      </c>
      <c r="P2249"/>
    </row>
    <row r="2250" spans="1:16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>
        <v>14</v>
      </c>
      <c r="N2250">
        <v>95.15</v>
      </c>
      <c r="O2250">
        <v>34.131736526946113</v>
      </c>
      <c r="P2250"/>
    </row>
    <row r="2251" spans="1:16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>
        <v>0</v>
      </c>
      <c r="N2251">
        <v>0</v>
      </c>
      <c r="O2251">
        <v>0</v>
      </c>
      <c r="P2251"/>
    </row>
    <row r="2252" spans="1:16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>
        <v>15</v>
      </c>
      <c r="N2252">
        <v>99.26</v>
      </c>
      <c r="O2252">
        <v>30.84832904884319</v>
      </c>
      <c r="P2252"/>
    </row>
    <row r="2253" spans="1:16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>
        <v>5</v>
      </c>
      <c r="N2253">
        <v>97.48</v>
      </c>
      <c r="O2253">
        <v>27.764705882352938</v>
      </c>
      <c r="P2253"/>
    </row>
    <row r="2254" spans="1:16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>
        <v>28</v>
      </c>
      <c r="N2254">
        <v>99.34</v>
      </c>
      <c r="O2254">
        <v>30.04291845493562</v>
      </c>
      <c r="P2254"/>
    </row>
    <row r="2255" spans="1:16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0</v>
      </c>
      <c r="N2255">
        <v>96.3</v>
      </c>
      <c r="O2255">
        <v>24.29378531073446</v>
      </c>
      <c r="P2255"/>
    </row>
    <row r="2256" spans="1:16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>
        <v>16</v>
      </c>
      <c r="N2256">
        <v>100</v>
      </c>
      <c r="O2256">
        <v>26.543209876543209</v>
      </c>
      <c r="P2256"/>
    </row>
    <row r="2257" spans="1:16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>
        <v>2</v>
      </c>
      <c r="N2257">
        <v>100</v>
      </c>
      <c r="O2257">
        <v>35.483870967741943</v>
      </c>
      <c r="P2257"/>
    </row>
    <row r="2258" spans="1:16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>
        <v>25</v>
      </c>
      <c r="N2258">
        <v>99.27</v>
      </c>
      <c r="O2258">
        <v>31.163708086785011</v>
      </c>
      <c r="P2258"/>
    </row>
    <row r="2259" spans="1:16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>
        <v>26</v>
      </c>
      <c r="N2259">
        <v>94.16</v>
      </c>
      <c r="O2259">
        <v>27.038626609442058</v>
      </c>
      <c r="P2259"/>
    </row>
    <row r="2260" spans="1:16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>
        <v>4</v>
      </c>
      <c r="N2260">
        <v>93.75</v>
      </c>
      <c r="O2260">
        <v>19.31818181818182</v>
      </c>
      <c r="P2260"/>
    </row>
    <row r="2261" spans="1:16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>
        <v>0</v>
      </c>
      <c r="N2261">
        <v>0</v>
      </c>
      <c r="O2261">
        <v>0</v>
      </c>
      <c r="P2261"/>
    </row>
    <row r="2262" spans="1:16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97.92</v>
      </c>
      <c r="O2262">
        <v>32.87671232876712</v>
      </c>
      <c r="P2262"/>
    </row>
    <row r="2263" spans="1:16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0</v>
      </c>
      <c r="O2263">
        <v>0</v>
      </c>
      <c r="P2263"/>
    </row>
    <row r="2264" spans="1:16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  <c r="P2264"/>
    </row>
    <row r="2265" spans="1:16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  <c r="P2265"/>
    </row>
    <row r="2266" spans="1:16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>
        <v>27</v>
      </c>
      <c r="N2266">
        <v>98.51</v>
      </c>
      <c r="O2266">
        <v>29.710144927536231</v>
      </c>
      <c r="P2266"/>
    </row>
    <row r="2267" spans="1:16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>
        <v>36</v>
      </c>
      <c r="N2267">
        <v>98.81</v>
      </c>
      <c r="O2267">
        <v>30.712979890310791</v>
      </c>
      <c r="P2267"/>
    </row>
    <row r="2268" spans="1:16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>
        <v>8</v>
      </c>
      <c r="N2268">
        <v>98.48</v>
      </c>
      <c r="O2268">
        <v>29.35323383084577</v>
      </c>
      <c r="P2268"/>
    </row>
    <row r="2269" spans="1:16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>
        <v>24</v>
      </c>
      <c r="N2269">
        <v>98.56</v>
      </c>
      <c r="O2269">
        <v>29.373650107991359</v>
      </c>
      <c r="P2269"/>
    </row>
    <row r="2270" spans="1:16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>
        <v>12</v>
      </c>
      <c r="N2270">
        <v>98.32</v>
      </c>
      <c r="O2270">
        <v>30.303030303030301</v>
      </c>
      <c r="P2270"/>
    </row>
    <row r="2271" spans="1:16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>
        <v>21</v>
      </c>
      <c r="N2271">
        <v>98.68</v>
      </c>
      <c r="O2271">
        <v>26.219512195121951</v>
      </c>
      <c r="P2271"/>
    </row>
    <row r="2272" spans="1:16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>
        <v>14</v>
      </c>
      <c r="N2272">
        <v>100</v>
      </c>
      <c r="O2272">
        <v>31.74224343675418</v>
      </c>
      <c r="P2272"/>
    </row>
    <row r="2273" spans="1:16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>
        <v>31</v>
      </c>
      <c r="N2273">
        <v>98.25</v>
      </c>
      <c r="O2273">
        <v>25.83518930957684</v>
      </c>
      <c r="P2273"/>
    </row>
    <row r="2274" spans="1:16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>
        <v>5</v>
      </c>
      <c r="N2274">
        <v>97.5</v>
      </c>
      <c r="O2274">
        <v>30.075187969924809</v>
      </c>
      <c r="P2274"/>
    </row>
    <row r="2275" spans="1:16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>
        <v>25</v>
      </c>
      <c r="N2275">
        <v>100</v>
      </c>
      <c r="O2275">
        <v>29.71311475409836</v>
      </c>
      <c r="P2275"/>
    </row>
    <row r="2276" spans="1:16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>
        <v>11</v>
      </c>
      <c r="N2276">
        <v>99.22</v>
      </c>
      <c r="O2276">
        <v>35.256410256410263</v>
      </c>
      <c r="P2276"/>
    </row>
    <row r="2277" spans="1:16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>
        <v>0</v>
      </c>
      <c r="N2277">
        <v>0</v>
      </c>
      <c r="O2277">
        <v>0</v>
      </c>
      <c r="P2277"/>
    </row>
    <row r="2278" spans="1:16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>
        <v>16</v>
      </c>
      <c r="N2278">
        <v>98.75</v>
      </c>
      <c r="O2278">
        <v>24.32432432432433</v>
      </c>
      <c r="P2278"/>
    </row>
    <row r="2279" spans="1:16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>
        <v>31</v>
      </c>
      <c r="N2279">
        <v>93.48</v>
      </c>
      <c r="O2279">
        <v>31.52804642166344</v>
      </c>
      <c r="P2279"/>
    </row>
    <row r="2280" spans="1:16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>
        <v>27</v>
      </c>
      <c r="N2280">
        <v>99.16</v>
      </c>
      <c r="O2280">
        <v>26.13908872901678</v>
      </c>
      <c r="P2280"/>
    </row>
    <row r="2281" spans="1:16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>
        <v>13</v>
      </c>
      <c r="N2281">
        <v>100</v>
      </c>
      <c r="O2281">
        <v>31.089743589743591</v>
      </c>
      <c r="P2281"/>
    </row>
    <row r="2282" spans="1:16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>
        <v>24</v>
      </c>
      <c r="N2282">
        <v>98.11</v>
      </c>
      <c r="O2282">
        <v>33.033707865168537</v>
      </c>
      <c r="P2282"/>
    </row>
    <row r="2283" spans="1:16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>
        <v>4</v>
      </c>
      <c r="N2283">
        <v>78.95</v>
      </c>
      <c r="O2283">
        <v>38.983050847457633</v>
      </c>
      <c r="P2283"/>
    </row>
    <row r="2284" spans="1:16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>
        <v>13</v>
      </c>
      <c r="N2284">
        <v>98.45</v>
      </c>
      <c r="O2284">
        <v>29.281767955801101</v>
      </c>
      <c r="P2284"/>
    </row>
    <row r="2285" spans="1:16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>
        <v>20</v>
      </c>
      <c r="N2285">
        <v>97.84</v>
      </c>
      <c r="O2285">
        <v>26.282051282051281</v>
      </c>
      <c r="P2285"/>
    </row>
    <row r="2286" spans="1:16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>
        <v>26</v>
      </c>
      <c r="N2286">
        <v>98.5</v>
      </c>
      <c r="O2286">
        <v>23.97769516728625</v>
      </c>
      <c r="P2286"/>
    </row>
    <row r="2287" spans="1:16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>
        <v>18</v>
      </c>
      <c r="N2287">
        <v>99.05</v>
      </c>
      <c r="O2287">
        <v>26.621923937360179</v>
      </c>
      <c r="P2287"/>
    </row>
    <row r="2288" spans="1:16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>
        <v>22</v>
      </c>
      <c r="N2288">
        <v>98.53</v>
      </c>
      <c r="O2288">
        <v>31.578947368421051</v>
      </c>
      <c r="P2288"/>
    </row>
    <row r="2289" spans="1:16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>
        <v>29</v>
      </c>
      <c r="N2289">
        <v>100</v>
      </c>
      <c r="O2289">
        <v>25.72214580467676</v>
      </c>
      <c r="P2289"/>
    </row>
    <row r="2290" spans="1:16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>
        <v>2</v>
      </c>
      <c r="N2290">
        <v>94.64</v>
      </c>
      <c r="O2290">
        <v>27.52941176470588</v>
      </c>
      <c r="P2290"/>
    </row>
    <row r="2291" spans="1:16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>
        <v>14</v>
      </c>
      <c r="N2291">
        <v>99.07</v>
      </c>
      <c r="O2291">
        <v>26.376811594202898</v>
      </c>
      <c r="P2291"/>
    </row>
    <row r="2292" spans="1:16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>
        <v>0</v>
      </c>
      <c r="N2292">
        <v>100</v>
      </c>
      <c r="O2292">
        <v>0</v>
      </c>
      <c r="P2292"/>
    </row>
    <row r="2293" spans="1:16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>
        <v>13</v>
      </c>
      <c r="N2293">
        <v>98.48</v>
      </c>
      <c r="O2293">
        <v>27.853881278538811</v>
      </c>
      <c r="P2293"/>
    </row>
    <row r="2294" spans="1:16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>
        <v>17</v>
      </c>
      <c r="N2294">
        <v>95.15</v>
      </c>
      <c r="O2294">
        <v>34.131736526946113</v>
      </c>
      <c r="P2294"/>
    </row>
    <row r="2295" spans="1:16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>
        <v>0</v>
      </c>
      <c r="N2295">
        <v>0</v>
      </c>
      <c r="O2295">
        <v>0</v>
      </c>
      <c r="P2295"/>
    </row>
    <row r="2296" spans="1:16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>
        <v>21</v>
      </c>
      <c r="N2296">
        <v>99.26</v>
      </c>
      <c r="O2296">
        <v>30.84832904884319</v>
      </c>
      <c r="P2296"/>
    </row>
    <row r="2297" spans="1:16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>
        <v>20</v>
      </c>
      <c r="N2297">
        <v>97.48</v>
      </c>
      <c r="O2297">
        <v>27.764705882352938</v>
      </c>
      <c r="P2297"/>
    </row>
    <row r="2298" spans="1:16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>
        <v>19</v>
      </c>
      <c r="N2298">
        <v>99.34</v>
      </c>
      <c r="O2298">
        <v>30.04291845493562</v>
      </c>
      <c r="P2298"/>
    </row>
    <row r="2299" spans="1:16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0</v>
      </c>
      <c r="N2299">
        <v>96.3</v>
      </c>
      <c r="O2299">
        <v>24.29378531073446</v>
      </c>
      <c r="P2299"/>
    </row>
    <row r="2300" spans="1:16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>
        <v>15</v>
      </c>
      <c r="N2300">
        <v>100</v>
      </c>
      <c r="O2300">
        <v>26.543209876543209</v>
      </c>
      <c r="P2300"/>
    </row>
    <row r="2301" spans="1:16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>
        <v>6</v>
      </c>
      <c r="N2301">
        <v>100</v>
      </c>
      <c r="O2301">
        <v>35.483870967741943</v>
      </c>
      <c r="P2301"/>
    </row>
    <row r="2302" spans="1:16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>
        <v>33</v>
      </c>
      <c r="N2302">
        <v>99.27</v>
      </c>
      <c r="O2302">
        <v>31.163708086785011</v>
      </c>
      <c r="P2302"/>
    </row>
    <row r="2303" spans="1:16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>
        <v>25</v>
      </c>
      <c r="N2303">
        <v>94.16</v>
      </c>
      <c r="O2303">
        <v>27.038626609442058</v>
      </c>
      <c r="P2303"/>
    </row>
    <row r="2304" spans="1:16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>
        <v>1</v>
      </c>
      <c r="N2304">
        <v>93.75</v>
      </c>
      <c r="O2304">
        <v>19.31818181818182</v>
      </c>
      <c r="P2304"/>
    </row>
    <row r="2305" spans="1:16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>
        <v>0</v>
      </c>
      <c r="N2305">
        <v>0</v>
      </c>
      <c r="O2305">
        <v>0</v>
      </c>
      <c r="P2305"/>
    </row>
    <row r="2306" spans="1:16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97.92</v>
      </c>
      <c r="O2306">
        <v>32.87671232876712</v>
      </c>
      <c r="P2306"/>
    </row>
    <row r="2307" spans="1:16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0</v>
      </c>
      <c r="O2307">
        <v>0</v>
      </c>
      <c r="P2307"/>
    </row>
    <row r="2308" spans="1:16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  <c r="P2308"/>
    </row>
    <row r="2309" spans="1:16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  <c r="P2309"/>
    </row>
    <row r="2310" spans="1:16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  <c r="P2310"/>
    </row>
    <row r="2311" spans="1:16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>
        <v>27</v>
      </c>
      <c r="N2311">
        <v>98.81</v>
      </c>
      <c r="O2311">
        <v>30.712979890310791</v>
      </c>
      <c r="P2311"/>
    </row>
    <row r="2312" spans="1:16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>
        <v>11</v>
      </c>
      <c r="N2312">
        <v>98.48</v>
      </c>
      <c r="O2312">
        <v>29.35323383084577</v>
      </c>
      <c r="P2312"/>
    </row>
    <row r="2313" spans="1:16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>
        <v>27</v>
      </c>
      <c r="N2313">
        <v>98.56</v>
      </c>
      <c r="O2313">
        <v>29.373650107991359</v>
      </c>
      <c r="P2313"/>
    </row>
    <row r="2314" spans="1:16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>
        <v>18</v>
      </c>
      <c r="N2314">
        <v>98.32</v>
      </c>
      <c r="O2314">
        <v>30.303030303030301</v>
      </c>
      <c r="P2314"/>
    </row>
    <row r="2315" spans="1:16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>
        <v>25</v>
      </c>
      <c r="N2315">
        <v>98.68</v>
      </c>
      <c r="O2315">
        <v>26.219512195121951</v>
      </c>
      <c r="P2315"/>
    </row>
    <row r="2316" spans="1:16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>
        <v>18</v>
      </c>
      <c r="N2316">
        <v>100</v>
      </c>
      <c r="O2316">
        <v>31.74224343675418</v>
      </c>
      <c r="P2316"/>
    </row>
    <row r="2317" spans="1:16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>
        <v>28</v>
      </c>
      <c r="N2317">
        <v>98.25</v>
      </c>
      <c r="O2317">
        <v>25.83518930957684</v>
      </c>
      <c r="P2317"/>
    </row>
    <row r="2318" spans="1:16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>
        <v>9</v>
      </c>
      <c r="N2318">
        <v>97.5</v>
      </c>
      <c r="O2318">
        <v>30.075187969924809</v>
      </c>
      <c r="P2318"/>
    </row>
    <row r="2319" spans="1:16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>
        <v>29</v>
      </c>
      <c r="N2319">
        <v>100</v>
      </c>
      <c r="O2319">
        <v>29.71311475409836</v>
      </c>
      <c r="P2319"/>
    </row>
    <row r="2320" spans="1:16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>
        <v>19</v>
      </c>
      <c r="N2320">
        <v>99.22</v>
      </c>
      <c r="O2320">
        <v>35.256410256410263</v>
      </c>
      <c r="P2320"/>
    </row>
    <row r="2321" spans="1:16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>
        <v>0</v>
      </c>
      <c r="N2321">
        <v>0</v>
      </c>
      <c r="O2321">
        <v>0</v>
      </c>
      <c r="P2321"/>
    </row>
    <row r="2322" spans="1:16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>
        <v>18</v>
      </c>
      <c r="N2322">
        <v>98.75</v>
      </c>
      <c r="O2322">
        <v>24.32432432432433</v>
      </c>
      <c r="P2322"/>
    </row>
    <row r="2323" spans="1:16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>
        <v>30</v>
      </c>
      <c r="N2323">
        <v>93.48</v>
      </c>
      <c r="O2323">
        <v>31.52804642166344</v>
      </c>
      <c r="P2323"/>
    </row>
    <row r="2324" spans="1:16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>
        <v>24</v>
      </c>
      <c r="N2324">
        <v>99.16</v>
      </c>
      <c r="O2324">
        <v>26.13908872901678</v>
      </c>
      <c r="P2324"/>
    </row>
    <row r="2325" spans="1:16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>
        <v>12</v>
      </c>
      <c r="N2325">
        <v>100</v>
      </c>
      <c r="O2325">
        <v>31.089743589743591</v>
      </c>
      <c r="P2325"/>
    </row>
    <row r="2326" spans="1:16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>
        <v>16</v>
      </c>
      <c r="N2326">
        <v>98.11</v>
      </c>
      <c r="O2326">
        <v>33.033707865168537</v>
      </c>
      <c r="P2326"/>
    </row>
    <row r="2327" spans="1:16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>
        <v>0</v>
      </c>
      <c r="N2327">
        <v>78.95</v>
      </c>
      <c r="O2327">
        <v>38.983050847457633</v>
      </c>
      <c r="P2327"/>
    </row>
    <row r="2328" spans="1:16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17</v>
      </c>
      <c r="N2328">
        <v>98.45</v>
      </c>
      <c r="O2328">
        <v>29.281767955801101</v>
      </c>
      <c r="P2328"/>
    </row>
    <row r="2329" spans="1:16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>
        <v>22</v>
      </c>
      <c r="N2329">
        <v>97.84</v>
      </c>
      <c r="O2329">
        <v>26.282051282051281</v>
      </c>
      <c r="P2329"/>
    </row>
    <row r="2330" spans="1:16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>
        <v>29</v>
      </c>
      <c r="N2330">
        <v>98.5</v>
      </c>
      <c r="O2330">
        <v>23.97769516728625</v>
      </c>
      <c r="P2330"/>
    </row>
    <row r="2331" spans="1:16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>
        <v>25</v>
      </c>
      <c r="N2331">
        <v>99.05</v>
      </c>
      <c r="O2331">
        <v>26.621923937360179</v>
      </c>
      <c r="P2331"/>
    </row>
    <row r="2332" spans="1:16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22</v>
      </c>
      <c r="N2332">
        <v>98.53</v>
      </c>
      <c r="O2332">
        <v>31.578947368421051</v>
      </c>
      <c r="P2332"/>
    </row>
    <row r="2333" spans="1:16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>
        <v>30</v>
      </c>
      <c r="N2333">
        <v>100</v>
      </c>
      <c r="O2333">
        <v>25.72214580467676</v>
      </c>
      <c r="P2333"/>
    </row>
    <row r="2334" spans="1:16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>
        <v>23</v>
      </c>
      <c r="N2334">
        <v>94.64</v>
      </c>
      <c r="O2334">
        <v>27.52941176470588</v>
      </c>
      <c r="P2334"/>
    </row>
    <row r="2335" spans="1:16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15</v>
      </c>
      <c r="N2335">
        <v>99.07</v>
      </c>
      <c r="O2335">
        <v>26.376811594202898</v>
      </c>
      <c r="P2335"/>
    </row>
    <row r="2336" spans="1:16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>
        <v>0</v>
      </c>
      <c r="N2336">
        <v>100</v>
      </c>
      <c r="O2336">
        <v>0</v>
      </c>
      <c r="P2336"/>
    </row>
    <row r="2337" spans="1:16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>
        <v>17</v>
      </c>
      <c r="N2337">
        <v>98.48</v>
      </c>
      <c r="O2337">
        <v>27.853881278538811</v>
      </c>
      <c r="P2337"/>
    </row>
    <row r="2338" spans="1:16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>
        <v>18</v>
      </c>
      <c r="N2338">
        <v>95.15</v>
      </c>
      <c r="O2338">
        <v>34.131736526946113</v>
      </c>
      <c r="P2338"/>
    </row>
    <row r="2339" spans="1:16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>
        <v>0</v>
      </c>
      <c r="N2339">
        <v>0</v>
      </c>
      <c r="O2339">
        <v>0</v>
      </c>
      <c r="P2339"/>
    </row>
    <row r="2340" spans="1:16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>
        <v>28</v>
      </c>
      <c r="N2340">
        <v>99.26</v>
      </c>
      <c r="O2340">
        <v>30.84832904884319</v>
      </c>
      <c r="P2340"/>
    </row>
    <row r="2341" spans="1:16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>
        <v>20</v>
      </c>
      <c r="N2341">
        <v>97.48</v>
      </c>
      <c r="O2341">
        <v>27.764705882352938</v>
      </c>
      <c r="P2341"/>
    </row>
    <row r="2342" spans="1:16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>
        <v>25</v>
      </c>
      <c r="N2342">
        <v>99.34</v>
      </c>
      <c r="O2342">
        <v>30.04291845493562</v>
      </c>
      <c r="P2342"/>
    </row>
    <row r="2343" spans="1:16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0</v>
      </c>
      <c r="N2343">
        <v>96.3</v>
      </c>
      <c r="O2343">
        <v>24.29378531073446</v>
      </c>
      <c r="P2343"/>
    </row>
    <row r="2344" spans="1:16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>
        <v>8</v>
      </c>
      <c r="N2344">
        <v>100</v>
      </c>
      <c r="O2344">
        <v>26.543209876543209</v>
      </c>
      <c r="P2344"/>
    </row>
    <row r="2345" spans="1:16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>
        <v>5</v>
      </c>
      <c r="N2345">
        <v>100</v>
      </c>
      <c r="O2345">
        <v>35.483870967741943</v>
      </c>
      <c r="P2345"/>
    </row>
    <row r="2346" spans="1:16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>
        <v>21</v>
      </c>
      <c r="N2346">
        <v>99.27</v>
      </c>
      <c r="O2346">
        <v>31.163708086785011</v>
      </c>
      <c r="P2346"/>
    </row>
    <row r="2347" spans="1:16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>
        <v>21</v>
      </c>
      <c r="N2347">
        <v>94.16</v>
      </c>
      <c r="O2347">
        <v>27.038626609442058</v>
      </c>
      <c r="P2347"/>
    </row>
    <row r="2348" spans="1:16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6</v>
      </c>
      <c r="N2348">
        <v>93.75</v>
      </c>
      <c r="O2348">
        <v>19.31818181818182</v>
      </c>
      <c r="P2348"/>
    </row>
    <row r="2349" spans="1:16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>
        <v>0</v>
      </c>
      <c r="N2349">
        <v>0</v>
      </c>
      <c r="O2349">
        <v>0</v>
      </c>
      <c r="P2349"/>
    </row>
    <row r="2350" spans="1:16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97.92</v>
      </c>
      <c r="O2350">
        <v>32.87671232876712</v>
      </c>
      <c r="P2350"/>
    </row>
    <row r="2351" spans="1:16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0</v>
      </c>
      <c r="O2351">
        <v>0</v>
      </c>
      <c r="P2351"/>
    </row>
    <row r="2352" spans="1:16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  <c r="P2352"/>
    </row>
    <row r="2353" spans="1:16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  <c r="P2353"/>
    </row>
    <row r="2354" spans="1:16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>
        <v>17</v>
      </c>
      <c r="N2354">
        <v>98.51</v>
      </c>
      <c r="O2354">
        <v>29.710144927536231</v>
      </c>
      <c r="P2354"/>
    </row>
    <row r="2355" spans="1:16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>
        <v>28</v>
      </c>
      <c r="N2355">
        <v>98.81</v>
      </c>
      <c r="O2355">
        <v>30.712979890310791</v>
      </c>
      <c r="P2355"/>
    </row>
    <row r="2356" spans="1:16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>
        <v>8</v>
      </c>
      <c r="N2356">
        <v>98.48</v>
      </c>
      <c r="O2356">
        <v>29.35323383084577</v>
      </c>
      <c r="P2356"/>
    </row>
    <row r="2357" spans="1:16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>
        <v>12</v>
      </c>
      <c r="N2357">
        <v>98.56</v>
      </c>
      <c r="O2357">
        <v>29.373650107991359</v>
      </c>
      <c r="P2357"/>
    </row>
    <row r="2358" spans="1:16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>
        <v>29</v>
      </c>
      <c r="N2358">
        <v>98.32</v>
      </c>
      <c r="O2358">
        <v>30.303030303030301</v>
      </c>
      <c r="P2358"/>
    </row>
    <row r="2359" spans="1:16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>
        <v>28</v>
      </c>
      <c r="N2359">
        <v>98.68</v>
      </c>
      <c r="O2359">
        <v>26.219512195121951</v>
      </c>
      <c r="P2359"/>
    </row>
    <row r="2360" spans="1:16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>
        <v>23</v>
      </c>
      <c r="N2360">
        <v>100</v>
      </c>
      <c r="O2360">
        <v>31.74224343675418</v>
      </c>
      <c r="P2360"/>
    </row>
    <row r="2361" spans="1:16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>
        <v>17</v>
      </c>
      <c r="N2361">
        <v>98.25</v>
      </c>
      <c r="O2361">
        <v>25.83518930957684</v>
      </c>
      <c r="P2361"/>
    </row>
    <row r="2362" spans="1:16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>
        <v>7</v>
      </c>
      <c r="N2362">
        <v>97.5</v>
      </c>
      <c r="O2362">
        <v>30.075187969924809</v>
      </c>
      <c r="P2362"/>
    </row>
    <row r="2363" spans="1:16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>
        <v>27</v>
      </c>
      <c r="N2363">
        <v>100</v>
      </c>
      <c r="O2363">
        <v>29.71311475409836</v>
      </c>
      <c r="P2363"/>
    </row>
    <row r="2364" spans="1:16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>
        <v>18</v>
      </c>
      <c r="N2364">
        <v>99.22</v>
      </c>
      <c r="O2364">
        <v>35.256410256410263</v>
      </c>
      <c r="P2364"/>
    </row>
    <row r="2365" spans="1:16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>
        <v>0</v>
      </c>
      <c r="N2365">
        <v>0</v>
      </c>
      <c r="O2365">
        <v>0</v>
      </c>
      <c r="P2365"/>
    </row>
    <row r="2366" spans="1:16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98.75</v>
      </c>
      <c r="O2366">
        <v>24.32432432432433</v>
      </c>
      <c r="P2366"/>
    </row>
    <row r="2367" spans="1:16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93.48</v>
      </c>
      <c r="O2367">
        <v>31.52804642166344</v>
      </c>
      <c r="P2367"/>
    </row>
    <row r="2368" spans="1:16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19</v>
      </c>
      <c r="N2368">
        <v>99.16</v>
      </c>
      <c r="O2368">
        <v>26.13908872901678</v>
      </c>
      <c r="P2368"/>
    </row>
    <row r="2369" spans="1:16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>
        <v>9</v>
      </c>
      <c r="N2369">
        <v>100</v>
      </c>
      <c r="O2369">
        <v>31.089743589743591</v>
      </c>
      <c r="P2369"/>
    </row>
    <row r="2370" spans="1:16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>
        <v>18</v>
      </c>
      <c r="N2370">
        <v>98.11</v>
      </c>
      <c r="O2370">
        <v>33.033707865168537</v>
      </c>
      <c r="P2370"/>
    </row>
    <row r="2371" spans="1:16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>
        <v>5</v>
      </c>
      <c r="N2371">
        <v>78.95</v>
      </c>
      <c r="O2371">
        <v>38.983050847457633</v>
      </c>
      <c r="P2371"/>
    </row>
    <row r="2372" spans="1:16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16</v>
      </c>
      <c r="N2372">
        <v>98.45</v>
      </c>
      <c r="O2372">
        <v>29.281767955801101</v>
      </c>
      <c r="P2372"/>
    </row>
    <row r="2373" spans="1:16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>
        <v>29</v>
      </c>
      <c r="N2373">
        <v>97.84</v>
      </c>
      <c r="O2373">
        <v>26.282051282051281</v>
      </c>
      <c r="P2373"/>
    </row>
    <row r="2374" spans="1:16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  <c r="P2374"/>
    </row>
    <row r="2375" spans="1:16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>
        <v>28</v>
      </c>
      <c r="N2375">
        <v>99.05</v>
      </c>
      <c r="O2375">
        <v>26.621923937360179</v>
      </c>
      <c r="P2375"/>
    </row>
    <row r="2376" spans="1:16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>
        <v>28</v>
      </c>
      <c r="N2376">
        <v>98.53</v>
      </c>
      <c r="O2376">
        <v>31.578947368421051</v>
      </c>
      <c r="P2376"/>
    </row>
    <row r="2377" spans="1:16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>
        <v>33</v>
      </c>
      <c r="N2377">
        <v>100</v>
      </c>
      <c r="O2377">
        <v>25.72214580467676</v>
      </c>
      <c r="P2377"/>
    </row>
    <row r="2378" spans="1:16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>
        <v>16</v>
      </c>
      <c r="N2378">
        <v>94.64</v>
      </c>
      <c r="O2378">
        <v>27.52941176470588</v>
      </c>
      <c r="P2378"/>
    </row>
    <row r="2379" spans="1:16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>
        <v>23</v>
      </c>
      <c r="N2379">
        <v>99.07</v>
      </c>
      <c r="O2379">
        <v>26.376811594202898</v>
      </c>
      <c r="P2379"/>
    </row>
    <row r="2380" spans="1:16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>
        <v>0</v>
      </c>
      <c r="N2380">
        <v>100</v>
      </c>
      <c r="O2380">
        <v>0</v>
      </c>
      <c r="P2380"/>
    </row>
    <row r="2381" spans="1:16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>
        <v>9</v>
      </c>
      <c r="N2381">
        <v>98.48</v>
      </c>
      <c r="O2381">
        <v>27.853881278538811</v>
      </c>
      <c r="P2381"/>
    </row>
    <row r="2382" spans="1:16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>
        <v>18</v>
      </c>
      <c r="N2382">
        <v>95.15</v>
      </c>
      <c r="O2382">
        <v>34.131736526946113</v>
      </c>
      <c r="P2382"/>
    </row>
    <row r="2383" spans="1:16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>
        <v>0</v>
      </c>
      <c r="N2383">
        <v>0</v>
      </c>
      <c r="O2383">
        <v>0</v>
      </c>
      <c r="P2383"/>
    </row>
    <row r="2384" spans="1:16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>
        <v>17</v>
      </c>
      <c r="N2384">
        <v>99.26</v>
      </c>
      <c r="O2384">
        <v>30.84832904884319</v>
      </c>
      <c r="P2384"/>
    </row>
    <row r="2385" spans="1:16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>
        <v>30</v>
      </c>
      <c r="N2385">
        <v>97.48</v>
      </c>
      <c r="O2385">
        <v>27.764705882352938</v>
      </c>
      <c r="P2385"/>
    </row>
    <row r="2386" spans="1:16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>
        <v>13</v>
      </c>
      <c r="N2386">
        <v>99.34</v>
      </c>
      <c r="O2386">
        <v>30.04291845493562</v>
      </c>
      <c r="P2386"/>
    </row>
    <row r="2387" spans="1:16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0</v>
      </c>
      <c r="N2387">
        <v>96.3</v>
      </c>
      <c r="O2387">
        <v>24.29378531073446</v>
      </c>
      <c r="P2387"/>
    </row>
    <row r="2388" spans="1:16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>
        <v>10</v>
      </c>
      <c r="N2388">
        <v>100</v>
      </c>
      <c r="O2388">
        <v>26.543209876543209</v>
      </c>
      <c r="P2388"/>
    </row>
    <row r="2389" spans="1:16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>
        <v>6</v>
      </c>
      <c r="N2389">
        <v>100</v>
      </c>
      <c r="O2389">
        <v>35.483870967741943</v>
      </c>
      <c r="P2389"/>
    </row>
    <row r="2390" spans="1:16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>
        <v>22</v>
      </c>
      <c r="N2390">
        <v>99.27</v>
      </c>
      <c r="O2390">
        <v>31.163708086785011</v>
      </c>
      <c r="P2390"/>
    </row>
    <row r="2391" spans="1:16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>
        <v>26</v>
      </c>
      <c r="N2391">
        <v>94.16</v>
      </c>
      <c r="O2391">
        <v>27.038626609442058</v>
      </c>
      <c r="P2391"/>
    </row>
    <row r="2392" spans="1:16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>
        <v>4</v>
      </c>
      <c r="N2392">
        <v>93.75</v>
      </c>
      <c r="O2392">
        <v>19.31818181818182</v>
      </c>
      <c r="P2392"/>
    </row>
    <row r="2393" spans="1:16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>
        <v>0</v>
      </c>
      <c r="N2393">
        <v>0</v>
      </c>
      <c r="O2393">
        <v>0</v>
      </c>
      <c r="P2393"/>
    </row>
    <row r="2394" spans="1:16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97.92</v>
      </c>
      <c r="O2394">
        <v>32.87671232876712</v>
      </c>
      <c r="P2394"/>
    </row>
    <row r="2395" spans="1:16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0</v>
      </c>
      <c r="O2395">
        <v>0</v>
      </c>
      <c r="P2395"/>
    </row>
    <row r="2396" spans="1:16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  <c r="P2396"/>
    </row>
    <row r="2397" spans="1:16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  <c r="P2397"/>
    </row>
    <row r="2398" spans="1:16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98.51</v>
      </c>
      <c r="O2398">
        <v>29.710144927536231</v>
      </c>
      <c r="P2398"/>
    </row>
    <row r="2399" spans="1:16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>
        <v>22</v>
      </c>
      <c r="N2399">
        <v>98.81</v>
      </c>
      <c r="O2399">
        <v>30.712979890310791</v>
      </c>
      <c r="P2399"/>
    </row>
    <row r="2400" spans="1:16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>
        <v>8</v>
      </c>
      <c r="N2400">
        <v>98.48</v>
      </c>
      <c r="O2400">
        <v>29.35323383084577</v>
      </c>
      <c r="P2400"/>
    </row>
    <row r="2401" spans="1:16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>
        <v>25</v>
      </c>
      <c r="N2401">
        <v>98.56</v>
      </c>
      <c r="O2401">
        <v>29.373650107991359</v>
      </c>
      <c r="P2401"/>
    </row>
    <row r="2402" spans="1:16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>
        <v>12</v>
      </c>
      <c r="N2402">
        <v>98.32</v>
      </c>
      <c r="O2402">
        <v>30.303030303030301</v>
      </c>
      <c r="P2402"/>
    </row>
    <row r="2403" spans="1:16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>
        <v>25</v>
      </c>
      <c r="N2403">
        <v>98.68</v>
      </c>
      <c r="O2403">
        <v>26.219512195121951</v>
      </c>
      <c r="P2403"/>
    </row>
    <row r="2404" spans="1:16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>
        <v>17</v>
      </c>
      <c r="N2404">
        <v>100</v>
      </c>
      <c r="O2404">
        <v>31.74224343675418</v>
      </c>
      <c r="P2404"/>
    </row>
    <row r="2405" spans="1:16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>
        <v>16</v>
      </c>
      <c r="N2405">
        <v>98.25</v>
      </c>
      <c r="O2405">
        <v>25.83518930957684</v>
      </c>
      <c r="P2405"/>
    </row>
    <row r="2406" spans="1:16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>
        <v>13</v>
      </c>
      <c r="N2406">
        <v>97.5</v>
      </c>
      <c r="O2406">
        <v>30.075187969924809</v>
      </c>
      <c r="P2406"/>
    </row>
    <row r="2407" spans="1:16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>
        <v>16</v>
      </c>
      <c r="N2407">
        <v>100</v>
      </c>
      <c r="O2407">
        <v>29.71311475409836</v>
      </c>
      <c r="P2407"/>
    </row>
    <row r="2408" spans="1:16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>
        <v>5</v>
      </c>
      <c r="N2408">
        <v>99.22</v>
      </c>
      <c r="O2408">
        <v>35.256410256410263</v>
      </c>
      <c r="P2408"/>
    </row>
    <row r="2409" spans="1:16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>
        <v>0</v>
      </c>
      <c r="N2409">
        <v>0</v>
      </c>
      <c r="O2409">
        <v>0</v>
      </c>
      <c r="P2409"/>
    </row>
    <row r="2410" spans="1:16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>
        <v>23</v>
      </c>
      <c r="N2410">
        <v>98.75</v>
      </c>
      <c r="O2410">
        <v>24.32432432432433</v>
      </c>
      <c r="P2410"/>
    </row>
    <row r="2411" spans="1:16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>
        <v>0</v>
      </c>
      <c r="N2411">
        <v>93.48</v>
      </c>
      <c r="O2411">
        <v>31.52804642166344</v>
      </c>
      <c r="P2411"/>
    </row>
    <row r="2412" spans="1:16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25</v>
      </c>
      <c r="N2412">
        <v>99.16</v>
      </c>
      <c r="O2412">
        <v>26.13908872901678</v>
      </c>
      <c r="P2412"/>
    </row>
    <row r="2413" spans="1:16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>
        <v>11</v>
      </c>
      <c r="N2413">
        <v>100</v>
      </c>
      <c r="O2413">
        <v>31.089743589743591</v>
      </c>
      <c r="P2413"/>
    </row>
    <row r="2414" spans="1:16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>
        <v>14</v>
      </c>
      <c r="N2414">
        <v>98.11</v>
      </c>
      <c r="O2414">
        <v>33.033707865168537</v>
      </c>
      <c r="P2414"/>
    </row>
    <row r="2415" spans="1:16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>
        <v>5</v>
      </c>
      <c r="N2415">
        <v>78.95</v>
      </c>
      <c r="O2415">
        <v>38.983050847457633</v>
      </c>
      <c r="P2415"/>
    </row>
    <row r="2416" spans="1:16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>
        <v>13</v>
      </c>
      <c r="N2416">
        <v>98.45</v>
      </c>
      <c r="O2416">
        <v>29.281767955801101</v>
      </c>
      <c r="P2416"/>
    </row>
    <row r="2417" spans="1:16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>
        <v>26</v>
      </c>
      <c r="N2417">
        <v>97.84</v>
      </c>
      <c r="O2417">
        <v>26.282051282051281</v>
      </c>
      <c r="P2417"/>
    </row>
    <row r="2418" spans="1:16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>
        <v>30</v>
      </c>
      <c r="N2418">
        <v>98.5</v>
      </c>
      <c r="O2418">
        <v>23.97769516728625</v>
      </c>
      <c r="P2418"/>
    </row>
    <row r="2419" spans="1:16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>
        <v>23</v>
      </c>
      <c r="N2419">
        <v>99.05</v>
      </c>
      <c r="O2419">
        <v>26.621923937360179</v>
      </c>
      <c r="P2419"/>
    </row>
    <row r="2420" spans="1:16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>
        <v>18</v>
      </c>
      <c r="N2420">
        <v>98.53</v>
      </c>
      <c r="O2420">
        <v>31.578947368421051</v>
      </c>
      <c r="P2420"/>
    </row>
    <row r="2421" spans="1:16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>
        <v>35</v>
      </c>
      <c r="N2421">
        <v>100</v>
      </c>
      <c r="O2421">
        <v>25.72214580467676</v>
      </c>
      <c r="P2421"/>
    </row>
    <row r="2422" spans="1:16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>
        <v>23</v>
      </c>
      <c r="N2422">
        <v>94.64</v>
      </c>
      <c r="O2422">
        <v>27.52941176470588</v>
      </c>
      <c r="P2422"/>
    </row>
    <row r="2423" spans="1:16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>
        <v>3</v>
      </c>
      <c r="N2423">
        <v>99.07</v>
      </c>
      <c r="O2423">
        <v>26.376811594202898</v>
      </c>
      <c r="P2423"/>
    </row>
    <row r="2424" spans="1:16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>
        <v>0</v>
      </c>
      <c r="N2424">
        <v>100</v>
      </c>
      <c r="O2424">
        <v>0</v>
      </c>
      <c r="P2424"/>
    </row>
    <row r="2425" spans="1:16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>
        <v>14</v>
      </c>
      <c r="N2425">
        <v>98.48</v>
      </c>
      <c r="O2425">
        <v>27.853881278538811</v>
      </c>
      <c r="P2425"/>
    </row>
    <row r="2426" spans="1:16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>
        <v>52</v>
      </c>
      <c r="N2426">
        <v>95.15</v>
      </c>
      <c r="O2426">
        <v>34.131736526946113</v>
      </c>
      <c r="P2426"/>
    </row>
    <row r="2427" spans="1:16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>
        <v>0</v>
      </c>
      <c r="N2427">
        <v>0</v>
      </c>
      <c r="O2427">
        <v>0</v>
      </c>
      <c r="P2427"/>
    </row>
    <row r="2428" spans="1:16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>
        <v>15</v>
      </c>
      <c r="N2428">
        <v>99.26</v>
      </c>
      <c r="O2428">
        <v>30.84832904884319</v>
      </c>
      <c r="P2428"/>
    </row>
    <row r="2429" spans="1:16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>
        <v>13</v>
      </c>
      <c r="N2429">
        <v>97.48</v>
      </c>
      <c r="O2429">
        <v>27.764705882352938</v>
      </c>
      <c r="P2429"/>
    </row>
    <row r="2430" spans="1:16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>
        <v>18</v>
      </c>
      <c r="N2430">
        <v>99.34</v>
      </c>
      <c r="O2430">
        <v>30.04291845493562</v>
      </c>
      <c r="P2430"/>
    </row>
    <row r="2431" spans="1:16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>
        <v>24</v>
      </c>
      <c r="N2431">
        <v>96.3</v>
      </c>
      <c r="O2431">
        <v>24.29378531073446</v>
      </c>
      <c r="P2431"/>
    </row>
    <row r="2432" spans="1:16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>
        <v>13</v>
      </c>
      <c r="N2432">
        <v>100</v>
      </c>
      <c r="O2432">
        <v>26.543209876543209</v>
      </c>
      <c r="P2432"/>
    </row>
    <row r="2433" spans="1:16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>
        <v>3</v>
      </c>
      <c r="N2433">
        <v>100</v>
      </c>
      <c r="O2433">
        <v>35.483870967741943</v>
      </c>
      <c r="P2433"/>
    </row>
    <row r="2434" spans="1:16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>
        <v>24</v>
      </c>
      <c r="N2434">
        <v>99.27</v>
      </c>
      <c r="O2434">
        <v>31.163708086785011</v>
      </c>
      <c r="P2434"/>
    </row>
    <row r="2435" spans="1:16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>
        <v>28</v>
      </c>
      <c r="N2435">
        <v>94.16</v>
      </c>
      <c r="O2435">
        <v>27.038626609442058</v>
      </c>
      <c r="P2435"/>
    </row>
    <row r="2436" spans="1:16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>
        <v>5</v>
      </c>
      <c r="N2436">
        <v>93.75</v>
      </c>
      <c r="O2436">
        <v>19.31818181818182</v>
      </c>
      <c r="P2436"/>
    </row>
    <row r="2437" spans="1:16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>
        <v>0</v>
      </c>
      <c r="N2437">
        <v>0</v>
      </c>
      <c r="O2437">
        <v>0</v>
      </c>
      <c r="P2437"/>
    </row>
    <row r="2438" spans="1:16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  <c r="P2438"/>
    </row>
    <row r="2439" spans="1:16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0</v>
      </c>
      <c r="O2439">
        <v>0</v>
      </c>
      <c r="P2439"/>
    </row>
    <row r="2440" spans="1:16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  <c r="P2440"/>
    </row>
    <row r="2441" spans="1:16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  <c r="P2441"/>
    </row>
    <row r="2442" spans="1:16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98.51</v>
      </c>
      <c r="O2442">
        <v>29.710144927536231</v>
      </c>
      <c r="P2442"/>
    </row>
    <row r="2443" spans="1:16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>
        <v>27</v>
      </c>
      <c r="N2443">
        <v>98.81</v>
      </c>
      <c r="O2443">
        <v>30.712979890310791</v>
      </c>
      <c r="P2443"/>
    </row>
    <row r="2444" spans="1:16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>
        <v>7</v>
      </c>
      <c r="N2444">
        <v>98.48</v>
      </c>
      <c r="O2444">
        <v>29.35323383084577</v>
      </c>
      <c r="P2444"/>
    </row>
    <row r="2445" spans="1:16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>
        <v>19</v>
      </c>
      <c r="N2445">
        <v>98.56</v>
      </c>
      <c r="O2445">
        <v>29.373650107991359</v>
      </c>
      <c r="P2445"/>
    </row>
    <row r="2446" spans="1:16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>
        <v>6</v>
      </c>
      <c r="N2446">
        <v>98.32</v>
      </c>
      <c r="O2446">
        <v>30.303030303030301</v>
      </c>
      <c r="P2446"/>
    </row>
    <row r="2447" spans="1:16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>
        <v>24</v>
      </c>
      <c r="N2447">
        <v>98.68</v>
      </c>
      <c r="O2447">
        <v>26.219512195121951</v>
      </c>
      <c r="P2447"/>
    </row>
    <row r="2448" spans="1:16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>
        <v>25</v>
      </c>
      <c r="N2448">
        <v>100</v>
      </c>
      <c r="O2448">
        <v>31.74224343675418</v>
      </c>
      <c r="P2448"/>
    </row>
    <row r="2449" spans="1:16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>
        <v>13</v>
      </c>
      <c r="N2449">
        <v>98.25</v>
      </c>
      <c r="O2449">
        <v>25.83518930957684</v>
      </c>
      <c r="P2449"/>
    </row>
    <row r="2450" spans="1:16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>
        <v>11</v>
      </c>
      <c r="N2450">
        <v>97.5</v>
      </c>
      <c r="O2450">
        <v>30.075187969924809</v>
      </c>
      <c r="P2450"/>
    </row>
    <row r="2451" spans="1:16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>
        <v>29</v>
      </c>
      <c r="N2451">
        <v>100</v>
      </c>
      <c r="O2451">
        <v>29.71311475409836</v>
      </c>
      <c r="P2451"/>
    </row>
    <row r="2452" spans="1:16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>
        <v>9</v>
      </c>
      <c r="N2452">
        <v>99.22</v>
      </c>
      <c r="O2452">
        <v>35.256410256410263</v>
      </c>
      <c r="P2452"/>
    </row>
    <row r="2453" spans="1:16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>
        <v>0</v>
      </c>
      <c r="N2453">
        <v>0</v>
      </c>
      <c r="O2453">
        <v>0</v>
      </c>
      <c r="P2453"/>
    </row>
    <row r="2454" spans="1:16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>
        <v>14</v>
      </c>
      <c r="N2454">
        <v>98.75</v>
      </c>
      <c r="O2454">
        <v>24.32432432432433</v>
      </c>
      <c r="P2454"/>
    </row>
    <row r="2455" spans="1:16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21</v>
      </c>
      <c r="N2455">
        <v>93.48</v>
      </c>
      <c r="O2455">
        <v>31.52804642166344</v>
      </c>
      <c r="P2455"/>
    </row>
    <row r="2456" spans="1:16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>
        <v>13</v>
      </c>
      <c r="N2456">
        <v>99.16</v>
      </c>
      <c r="O2456">
        <v>26.13908872901678</v>
      </c>
      <c r="P2456"/>
    </row>
    <row r="2457" spans="1:16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>
        <v>11</v>
      </c>
      <c r="N2457">
        <v>100</v>
      </c>
      <c r="O2457">
        <v>31.089743589743591</v>
      </c>
      <c r="P2457"/>
    </row>
    <row r="2458" spans="1:16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>
        <v>15</v>
      </c>
      <c r="N2458">
        <v>98.11</v>
      </c>
      <c r="O2458">
        <v>33.033707865168537</v>
      </c>
      <c r="P2458"/>
    </row>
    <row r="2459" spans="1:16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>
        <v>5</v>
      </c>
      <c r="N2459">
        <v>78.95</v>
      </c>
      <c r="O2459">
        <v>38.983050847457633</v>
      </c>
      <c r="P2459"/>
    </row>
    <row r="2460" spans="1:16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>
        <v>16</v>
      </c>
      <c r="N2460">
        <v>98.45</v>
      </c>
      <c r="O2460">
        <v>29.281767955801101</v>
      </c>
      <c r="P2460"/>
    </row>
    <row r="2461" spans="1:16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>
        <v>19</v>
      </c>
      <c r="N2461">
        <v>97.84</v>
      </c>
      <c r="O2461">
        <v>26.282051282051281</v>
      </c>
      <c r="P2461"/>
    </row>
    <row r="2462" spans="1:16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>
        <v>20</v>
      </c>
      <c r="N2462">
        <v>98.5</v>
      </c>
      <c r="O2462">
        <v>23.97769516728625</v>
      </c>
      <c r="P2462"/>
    </row>
    <row r="2463" spans="1:16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>
        <v>22</v>
      </c>
      <c r="N2463">
        <v>99.05</v>
      </c>
      <c r="O2463">
        <v>26.621923937360179</v>
      </c>
      <c r="P2463"/>
    </row>
    <row r="2464" spans="1:16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>
        <v>18</v>
      </c>
      <c r="N2464">
        <v>98.53</v>
      </c>
      <c r="O2464">
        <v>31.578947368421051</v>
      </c>
      <c r="P2464"/>
    </row>
    <row r="2465" spans="1:16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>
        <v>32</v>
      </c>
      <c r="N2465">
        <v>100</v>
      </c>
      <c r="O2465">
        <v>25.72214580467676</v>
      </c>
      <c r="P2465"/>
    </row>
    <row r="2466" spans="1:16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>
        <v>14</v>
      </c>
      <c r="N2466">
        <v>94.64</v>
      </c>
      <c r="O2466">
        <v>27.52941176470588</v>
      </c>
      <c r="P2466"/>
    </row>
    <row r="2467" spans="1:16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>
        <v>0</v>
      </c>
      <c r="N2467">
        <v>99.07</v>
      </c>
      <c r="O2467">
        <v>26.376811594202898</v>
      </c>
      <c r="P2467"/>
    </row>
    <row r="2468" spans="1:16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100</v>
      </c>
      <c r="O2468">
        <v>0</v>
      </c>
      <c r="P2468"/>
    </row>
    <row r="2469" spans="1:16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>
        <v>8</v>
      </c>
      <c r="N2469">
        <v>98.48</v>
      </c>
      <c r="O2469">
        <v>27.853881278538811</v>
      </c>
      <c r="P2469"/>
    </row>
    <row r="2470" spans="1:16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>
        <v>30</v>
      </c>
      <c r="N2470">
        <v>95.15</v>
      </c>
      <c r="O2470">
        <v>34.131736526946113</v>
      </c>
      <c r="P2470"/>
    </row>
    <row r="2471" spans="1:16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0</v>
      </c>
      <c r="N2471">
        <v>0</v>
      </c>
      <c r="O2471">
        <v>0</v>
      </c>
      <c r="P2471"/>
    </row>
    <row r="2472" spans="1:16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>
        <v>16</v>
      </c>
      <c r="N2472">
        <v>99.26</v>
      </c>
      <c r="O2472">
        <v>30.84832904884319</v>
      </c>
      <c r="P2472"/>
    </row>
    <row r="2473" spans="1:16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>
        <v>26</v>
      </c>
      <c r="N2473">
        <v>97.48</v>
      </c>
      <c r="O2473">
        <v>27.764705882352938</v>
      </c>
      <c r="P2473"/>
    </row>
    <row r="2474" spans="1:16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>
        <v>15</v>
      </c>
      <c r="N2474">
        <v>99.34</v>
      </c>
      <c r="O2474">
        <v>30.04291845493562</v>
      </c>
      <c r="P2474"/>
    </row>
    <row r="2475" spans="1:16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>
        <v>25</v>
      </c>
      <c r="N2475">
        <v>96.3</v>
      </c>
      <c r="O2475">
        <v>24.29378531073446</v>
      </c>
      <c r="P2475"/>
    </row>
    <row r="2476" spans="1:16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>
        <v>16</v>
      </c>
      <c r="N2476">
        <v>100</v>
      </c>
      <c r="O2476">
        <v>26.543209876543209</v>
      </c>
      <c r="P2476"/>
    </row>
    <row r="2477" spans="1:16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>
        <v>6</v>
      </c>
      <c r="N2477">
        <v>100</v>
      </c>
      <c r="O2477">
        <v>35.483870967741943</v>
      </c>
      <c r="P2477"/>
    </row>
    <row r="2478" spans="1:16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>
        <v>22</v>
      </c>
      <c r="N2478">
        <v>99.27</v>
      </c>
      <c r="O2478">
        <v>31.163708086785011</v>
      </c>
      <c r="P2478"/>
    </row>
    <row r="2479" spans="1:16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>
        <v>15</v>
      </c>
      <c r="N2479">
        <v>94.16</v>
      </c>
      <c r="O2479">
        <v>27.038626609442058</v>
      </c>
      <c r="P2479"/>
    </row>
    <row r="2480" spans="1:16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>
        <v>4</v>
      </c>
      <c r="N2480">
        <v>93.75</v>
      </c>
      <c r="O2480">
        <v>19.31818181818182</v>
      </c>
      <c r="P2480"/>
    </row>
    <row r="2481" spans="1:16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>
        <v>0</v>
      </c>
      <c r="N2481">
        <v>0</v>
      </c>
      <c r="O2481">
        <v>0</v>
      </c>
      <c r="P2481"/>
    </row>
    <row r="2482" spans="1:16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97.92</v>
      </c>
      <c r="O2482">
        <v>32.87671232876712</v>
      </c>
      <c r="P2482"/>
    </row>
    <row r="2483" spans="1:16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0</v>
      </c>
      <c r="O2483">
        <v>0</v>
      </c>
      <c r="P2483"/>
    </row>
    <row r="2484" spans="1:16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  <c r="P2484"/>
    </row>
    <row r="2485" spans="1:16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  <c r="P2485"/>
    </row>
    <row r="2486" spans="1:16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>
        <v>17</v>
      </c>
      <c r="N2486">
        <v>98.51</v>
      </c>
      <c r="O2486">
        <v>29.710144927536231</v>
      </c>
      <c r="P2486"/>
    </row>
    <row r="2487" spans="1:16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>
        <v>25</v>
      </c>
      <c r="N2487">
        <v>98.81</v>
      </c>
      <c r="O2487">
        <v>30.712979890310791</v>
      </c>
      <c r="P2487"/>
    </row>
    <row r="2488" spans="1:16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>
        <v>10</v>
      </c>
      <c r="N2488">
        <v>98.48</v>
      </c>
      <c r="O2488">
        <v>29.35323383084577</v>
      </c>
      <c r="P2488"/>
    </row>
    <row r="2489" spans="1:16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>
        <v>21</v>
      </c>
      <c r="N2489">
        <v>98.56</v>
      </c>
      <c r="O2489">
        <v>29.373650107991359</v>
      </c>
      <c r="P2489"/>
    </row>
    <row r="2490" spans="1:16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>
        <v>18</v>
      </c>
      <c r="N2490">
        <v>98.32</v>
      </c>
      <c r="O2490">
        <v>30.303030303030301</v>
      </c>
      <c r="P2490"/>
    </row>
    <row r="2491" spans="1:16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>
        <v>22</v>
      </c>
      <c r="N2491">
        <v>98.68</v>
      </c>
      <c r="O2491">
        <v>26.219512195121951</v>
      </c>
      <c r="P2491"/>
    </row>
    <row r="2492" spans="1:16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>
        <v>25</v>
      </c>
      <c r="N2492">
        <v>100</v>
      </c>
      <c r="O2492">
        <v>31.74224343675418</v>
      </c>
      <c r="P2492"/>
    </row>
    <row r="2493" spans="1:16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>
        <v>22</v>
      </c>
      <c r="N2493">
        <v>98.25</v>
      </c>
      <c r="O2493">
        <v>25.83518930957684</v>
      </c>
      <c r="P2493"/>
    </row>
    <row r="2494" spans="1:16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>
        <v>11</v>
      </c>
      <c r="N2494">
        <v>97.5</v>
      </c>
      <c r="O2494">
        <v>30.075187969924809</v>
      </c>
      <c r="P2494"/>
    </row>
    <row r="2495" spans="1:16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>
        <v>23</v>
      </c>
      <c r="N2495">
        <v>100</v>
      </c>
      <c r="O2495">
        <v>29.71311475409836</v>
      </c>
      <c r="P2495"/>
    </row>
    <row r="2496" spans="1:16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>
        <v>10</v>
      </c>
      <c r="N2496">
        <v>99.22</v>
      </c>
      <c r="O2496">
        <v>35.256410256410263</v>
      </c>
      <c r="P2496"/>
    </row>
    <row r="2497" spans="1:16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>
        <v>0</v>
      </c>
      <c r="N2497">
        <v>0</v>
      </c>
      <c r="O2497">
        <v>0</v>
      </c>
      <c r="P2497"/>
    </row>
    <row r="2498" spans="1:16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>
        <v>13</v>
      </c>
      <c r="N2498">
        <v>98.75</v>
      </c>
      <c r="O2498">
        <v>24.32432432432433</v>
      </c>
      <c r="P2498"/>
    </row>
    <row r="2499" spans="1:16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>
        <v>20</v>
      </c>
      <c r="N2499">
        <v>93.48</v>
      </c>
      <c r="O2499">
        <v>31.52804642166344</v>
      </c>
      <c r="P2499"/>
    </row>
    <row r="2500" spans="1:16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>
        <v>14</v>
      </c>
      <c r="N2500">
        <v>99.16</v>
      </c>
      <c r="O2500">
        <v>26.13908872901678</v>
      </c>
      <c r="P2500"/>
    </row>
    <row r="2501" spans="1:16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>
        <v>8</v>
      </c>
      <c r="N2501">
        <v>100</v>
      </c>
      <c r="O2501">
        <v>31.089743589743591</v>
      </c>
      <c r="P2501"/>
    </row>
    <row r="2502" spans="1:16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  <c r="P2502"/>
    </row>
    <row r="2503" spans="1:16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>
        <v>4</v>
      </c>
      <c r="N2503">
        <v>78.95</v>
      </c>
      <c r="O2503">
        <v>38.983050847457633</v>
      </c>
      <c r="P2503"/>
    </row>
    <row r="2504" spans="1:16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>
        <v>20</v>
      </c>
      <c r="N2504">
        <v>98.45</v>
      </c>
      <c r="O2504">
        <v>29.281767955801101</v>
      </c>
      <c r="P2504"/>
    </row>
    <row r="2505" spans="1:16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>
        <v>20</v>
      </c>
      <c r="N2505">
        <v>97.84</v>
      </c>
      <c r="O2505">
        <v>26.282051282051281</v>
      </c>
      <c r="P2505"/>
    </row>
    <row r="2506" spans="1:16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>
        <v>19</v>
      </c>
      <c r="N2506">
        <v>98.5</v>
      </c>
      <c r="O2506">
        <v>23.97769516728625</v>
      </c>
      <c r="P2506"/>
    </row>
    <row r="2507" spans="1:16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  <c r="P2507"/>
    </row>
    <row r="2508" spans="1:16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  <c r="P2508"/>
    </row>
    <row r="2509" spans="1:16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>
        <v>44</v>
      </c>
      <c r="N2509">
        <v>100</v>
      </c>
      <c r="O2509">
        <v>25.72214580467676</v>
      </c>
      <c r="P2509"/>
    </row>
    <row r="2510" spans="1:16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>
        <v>15</v>
      </c>
      <c r="N2510">
        <v>94.64</v>
      </c>
      <c r="O2510">
        <v>27.52941176470588</v>
      </c>
      <c r="P2510"/>
    </row>
    <row r="2511" spans="1:16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>
        <v>11</v>
      </c>
      <c r="N2511">
        <v>99.07</v>
      </c>
      <c r="O2511">
        <v>26.376811594202898</v>
      </c>
      <c r="P2511"/>
    </row>
    <row r="2512" spans="1:16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>
        <v>0</v>
      </c>
      <c r="N2512">
        <v>100</v>
      </c>
      <c r="O2512">
        <v>0</v>
      </c>
      <c r="P2512"/>
    </row>
    <row r="2513" spans="1:16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>
        <v>19</v>
      </c>
      <c r="N2513">
        <v>98.48</v>
      </c>
      <c r="O2513">
        <v>27.853881278538811</v>
      </c>
      <c r="P2513"/>
    </row>
    <row r="2514" spans="1:16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>
        <v>6</v>
      </c>
      <c r="N2514">
        <v>95.15</v>
      </c>
      <c r="O2514">
        <v>34.131736526946113</v>
      </c>
      <c r="P2514"/>
    </row>
    <row r="2515" spans="1:16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0</v>
      </c>
      <c r="N2515">
        <v>0</v>
      </c>
      <c r="O2515">
        <v>0</v>
      </c>
      <c r="P2515"/>
    </row>
    <row r="2516" spans="1:16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>
        <v>23</v>
      </c>
      <c r="N2516">
        <v>99.26</v>
      </c>
      <c r="O2516">
        <v>30.84832904884319</v>
      </c>
      <c r="P2516"/>
    </row>
    <row r="2517" spans="1:16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>
        <v>19</v>
      </c>
      <c r="N2517">
        <v>97.48</v>
      </c>
      <c r="O2517">
        <v>27.764705882352938</v>
      </c>
      <c r="P2517"/>
    </row>
    <row r="2518" spans="1:16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>
        <v>22</v>
      </c>
      <c r="N2518">
        <v>99.34</v>
      </c>
      <c r="O2518">
        <v>30.04291845493562</v>
      </c>
      <c r="P2518"/>
    </row>
    <row r="2519" spans="1:16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>
        <v>18</v>
      </c>
      <c r="N2519">
        <v>96.3</v>
      </c>
      <c r="O2519">
        <v>24.29378531073446</v>
      </c>
      <c r="P2519"/>
    </row>
    <row r="2520" spans="1:16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>
        <v>12</v>
      </c>
      <c r="N2520">
        <v>100</v>
      </c>
      <c r="O2520">
        <v>26.543209876543209</v>
      </c>
      <c r="P2520"/>
    </row>
    <row r="2521" spans="1:16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>
        <v>2</v>
      </c>
      <c r="N2521">
        <v>100</v>
      </c>
      <c r="O2521">
        <v>35.483870967741943</v>
      </c>
      <c r="P2521"/>
    </row>
    <row r="2522" spans="1:16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>
        <v>25</v>
      </c>
      <c r="N2522">
        <v>99.27</v>
      </c>
      <c r="O2522">
        <v>31.163708086785011</v>
      </c>
      <c r="P2522"/>
    </row>
    <row r="2523" spans="1:16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>
        <v>26</v>
      </c>
      <c r="N2523">
        <v>94.16</v>
      </c>
      <c r="O2523">
        <v>27.038626609442058</v>
      </c>
      <c r="P2523"/>
    </row>
    <row r="2524" spans="1:16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>
        <v>3</v>
      </c>
      <c r="N2524">
        <v>93.75</v>
      </c>
      <c r="O2524">
        <v>19.31818181818182</v>
      </c>
      <c r="P2524"/>
    </row>
    <row r="2525" spans="1:16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>
        <v>0</v>
      </c>
      <c r="N2525">
        <v>0</v>
      </c>
      <c r="O2525">
        <v>0</v>
      </c>
      <c r="P2525"/>
    </row>
    <row r="2526" spans="1:16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97.92</v>
      </c>
      <c r="O2526">
        <v>32.87671232876712</v>
      </c>
      <c r="P2526"/>
    </row>
    <row r="2527" spans="1:16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0</v>
      </c>
      <c r="O2527">
        <v>0</v>
      </c>
      <c r="P2527"/>
    </row>
    <row r="2528" spans="1:16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  <c r="P2528"/>
    </row>
    <row r="2529" spans="1:16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  <c r="P2529"/>
    </row>
    <row r="2530" spans="1:16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>
        <v>15</v>
      </c>
      <c r="N2530">
        <v>98.51</v>
      </c>
      <c r="O2530">
        <v>29.710144927536231</v>
      </c>
      <c r="P2530"/>
    </row>
    <row r="2531" spans="1:16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>
        <v>29</v>
      </c>
      <c r="N2531">
        <v>98.81</v>
      </c>
      <c r="O2531">
        <v>30.712979890310791</v>
      </c>
      <c r="P2531"/>
    </row>
    <row r="2532" spans="1:16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>
        <v>11</v>
      </c>
      <c r="N2532">
        <v>98.48</v>
      </c>
      <c r="O2532">
        <v>29.35323383084577</v>
      </c>
      <c r="P2532"/>
    </row>
    <row r="2533" spans="1:16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>
        <v>16</v>
      </c>
      <c r="N2533">
        <v>98.56</v>
      </c>
      <c r="O2533">
        <v>29.373650107991359</v>
      </c>
      <c r="P2533"/>
    </row>
    <row r="2534" spans="1:16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>
        <v>21</v>
      </c>
      <c r="N2534">
        <v>98.32</v>
      </c>
      <c r="O2534">
        <v>30.303030303030301</v>
      </c>
      <c r="P2534"/>
    </row>
    <row r="2535" spans="1:16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>
        <v>22</v>
      </c>
      <c r="N2535">
        <v>98.68</v>
      </c>
      <c r="O2535">
        <v>26.219512195121951</v>
      </c>
      <c r="P2535"/>
    </row>
    <row r="2536" spans="1:16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>
        <v>21</v>
      </c>
      <c r="N2536">
        <v>100</v>
      </c>
      <c r="O2536">
        <v>31.74224343675418</v>
      </c>
      <c r="P2536"/>
    </row>
    <row r="2537" spans="1:16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>
        <v>15</v>
      </c>
      <c r="N2537">
        <v>98.25</v>
      </c>
      <c r="O2537">
        <v>25.83518930957684</v>
      </c>
      <c r="P2537"/>
    </row>
    <row r="2538" spans="1:16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>
        <v>10</v>
      </c>
      <c r="N2538">
        <v>97.5</v>
      </c>
      <c r="O2538">
        <v>30.075187969924809</v>
      </c>
      <c r="P2538"/>
    </row>
    <row r="2539" spans="1:16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>
        <v>28</v>
      </c>
      <c r="N2539">
        <v>100</v>
      </c>
      <c r="O2539">
        <v>29.71311475409836</v>
      </c>
      <c r="P2539"/>
    </row>
    <row r="2540" spans="1:16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>
        <v>7</v>
      </c>
      <c r="N2540">
        <v>99.22</v>
      </c>
      <c r="O2540">
        <v>35.256410256410263</v>
      </c>
      <c r="P2540"/>
    </row>
    <row r="2541" spans="1:16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>
        <v>0</v>
      </c>
      <c r="N2541">
        <v>0</v>
      </c>
      <c r="O2541">
        <v>0</v>
      </c>
      <c r="P2541"/>
    </row>
    <row r="2542" spans="1:16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>
        <v>12</v>
      </c>
      <c r="N2542">
        <v>98.75</v>
      </c>
      <c r="O2542">
        <v>24.32432432432433</v>
      </c>
      <c r="P2542"/>
    </row>
    <row r="2543" spans="1:16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>
        <v>26</v>
      </c>
      <c r="N2543">
        <v>93.48</v>
      </c>
      <c r="O2543">
        <v>31.52804642166344</v>
      </c>
      <c r="P2543"/>
    </row>
    <row r="2544" spans="1:16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>
        <v>19</v>
      </c>
      <c r="N2544">
        <v>99.16</v>
      </c>
      <c r="O2544">
        <v>26.13908872901678</v>
      </c>
      <c r="P2544"/>
    </row>
    <row r="2545" spans="1:16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>
        <v>3</v>
      </c>
      <c r="N2545">
        <v>100</v>
      </c>
      <c r="O2545">
        <v>31.089743589743591</v>
      </c>
      <c r="P2545"/>
    </row>
    <row r="2546" spans="1:16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>
        <v>13</v>
      </c>
      <c r="N2546">
        <v>98.11</v>
      </c>
      <c r="O2546">
        <v>33.033707865168537</v>
      </c>
      <c r="P2546"/>
    </row>
    <row r="2547" spans="1:16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>
        <v>5</v>
      </c>
      <c r="N2547">
        <v>78.95</v>
      </c>
      <c r="O2547">
        <v>38.983050847457633</v>
      </c>
      <c r="P2547"/>
    </row>
    <row r="2548" spans="1:16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>
        <v>13</v>
      </c>
      <c r="N2548">
        <v>98.45</v>
      </c>
      <c r="O2548">
        <v>29.281767955801101</v>
      </c>
      <c r="P2548"/>
    </row>
    <row r="2549" spans="1:16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>
        <v>24</v>
      </c>
      <c r="N2549">
        <v>97.84</v>
      </c>
      <c r="O2549">
        <v>26.282051282051281</v>
      </c>
      <c r="P2549"/>
    </row>
    <row r="2550" spans="1:16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>
        <v>18</v>
      </c>
      <c r="N2550">
        <v>98.5</v>
      </c>
      <c r="O2550">
        <v>23.97769516728625</v>
      </c>
      <c r="P2550"/>
    </row>
    <row r="2551" spans="1:16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  <c r="P2551"/>
    </row>
    <row r="2552" spans="1:16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  <c r="P2552"/>
    </row>
    <row r="2553" spans="1:16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>
        <v>24</v>
      </c>
      <c r="N2553">
        <v>100</v>
      </c>
      <c r="O2553">
        <v>25.72214580467676</v>
      </c>
      <c r="P2553"/>
    </row>
    <row r="2554" spans="1:16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>
        <v>2</v>
      </c>
      <c r="N2554">
        <v>94.64</v>
      </c>
      <c r="O2554">
        <v>27.52941176470588</v>
      </c>
      <c r="P2554"/>
    </row>
    <row r="2555" spans="1:16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>
        <v>14</v>
      </c>
      <c r="N2555">
        <v>99.07</v>
      </c>
      <c r="O2555">
        <v>26.376811594202898</v>
      </c>
      <c r="P2555"/>
    </row>
    <row r="2556" spans="1:16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>
        <v>0</v>
      </c>
      <c r="N2556">
        <v>100</v>
      </c>
      <c r="O2556">
        <v>0</v>
      </c>
      <c r="P2556"/>
    </row>
    <row r="2557" spans="1:16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>
        <v>9</v>
      </c>
      <c r="N2557">
        <v>98.48</v>
      </c>
      <c r="O2557">
        <v>27.853881278538811</v>
      </c>
      <c r="P2557"/>
    </row>
    <row r="2558" spans="1:16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>
        <v>21</v>
      </c>
      <c r="N2558">
        <v>95.15</v>
      </c>
      <c r="O2558">
        <v>34.131736526946113</v>
      </c>
      <c r="P2558"/>
    </row>
    <row r="2559" spans="1:16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0</v>
      </c>
      <c r="N2559">
        <v>0</v>
      </c>
      <c r="O2559">
        <v>0</v>
      </c>
      <c r="P2559"/>
    </row>
    <row r="2560" spans="1:16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>
        <v>13</v>
      </c>
      <c r="N2560">
        <v>99.26</v>
      </c>
      <c r="O2560">
        <v>30.84832904884319</v>
      </c>
      <c r="P2560"/>
    </row>
    <row r="2561" spans="1:16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>
        <v>20</v>
      </c>
      <c r="N2561">
        <v>97.48</v>
      </c>
      <c r="O2561">
        <v>27.764705882352938</v>
      </c>
      <c r="P2561"/>
    </row>
    <row r="2562" spans="1:16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>
        <v>21</v>
      </c>
      <c r="N2562">
        <v>99.34</v>
      </c>
      <c r="O2562">
        <v>30.04291845493562</v>
      </c>
      <c r="P2562"/>
    </row>
    <row r="2563" spans="1:16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>
        <v>12</v>
      </c>
      <c r="N2563">
        <v>96.3</v>
      </c>
      <c r="O2563">
        <v>24.29378531073446</v>
      </c>
      <c r="P2563"/>
    </row>
    <row r="2564" spans="1:16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>
        <v>12</v>
      </c>
      <c r="N2564">
        <v>100</v>
      </c>
      <c r="O2564">
        <v>26.543209876543209</v>
      </c>
      <c r="P2564"/>
    </row>
    <row r="2565" spans="1:16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>
        <v>8</v>
      </c>
      <c r="N2565">
        <v>100</v>
      </c>
      <c r="O2565">
        <v>35.483870967741943</v>
      </c>
      <c r="P2565"/>
    </row>
    <row r="2566" spans="1:16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>
        <v>18</v>
      </c>
      <c r="N2566">
        <v>99.27</v>
      </c>
      <c r="O2566">
        <v>31.163708086785011</v>
      </c>
      <c r="P2566"/>
    </row>
    <row r="2567" spans="1:16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>
        <v>21</v>
      </c>
      <c r="N2567">
        <v>94.16</v>
      </c>
      <c r="O2567">
        <v>27.038626609442058</v>
      </c>
      <c r="P2567"/>
    </row>
    <row r="2568" spans="1:16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>
        <v>7</v>
      </c>
      <c r="N2568">
        <v>93.75</v>
      </c>
      <c r="O2568">
        <v>19.31818181818182</v>
      </c>
      <c r="P2568"/>
    </row>
    <row r="2569" spans="1:16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>
        <v>0</v>
      </c>
      <c r="N2569">
        <v>0</v>
      </c>
      <c r="O2569">
        <v>0</v>
      </c>
      <c r="P2569"/>
    </row>
    <row r="2570" spans="1:16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97.92</v>
      </c>
      <c r="O2570">
        <v>32.87671232876712</v>
      </c>
      <c r="P2570"/>
    </row>
    <row r="2571" spans="1:16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0</v>
      </c>
      <c r="O2571">
        <v>0</v>
      </c>
      <c r="P2571"/>
    </row>
    <row r="2572" spans="1:16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  <c r="P2572"/>
    </row>
    <row r="2573" spans="1:16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  <c r="P2573"/>
    </row>
    <row r="2574" spans="1:16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>
        <v>20</v>
      </c>
      <c r="N2574">
        <v>98.51</v>
      </c>
      <c r="O2574">
        <v>29.710144927536231</v>
      </c>
      <c r="P2574"/>
    </row>
    <row r="2575" spans="1:16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23</v>
      </c>
      <c r="N2575">
        <v>98.81</v>
      </c>
      <c r="O2575">
        <v>30.712979890310791</v>
      </c>
      <c r="P2575"/>
    </row>
    <row r="2576" spans="1:16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>
        <v>9</v>
      </c>
      <c r="N2576">
        <v>98.48</v>
      </c>
      <c r="O2576">
        <v>29.35323383084577</v>
      </c>
      <c r="P2576"/>
    </row>
    <row r="2577" spans="1:16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>
        <v>17</v>
      </c>
      <c r="N2577">
        <v>98.56</v>
      </c>
      <c r="O2577">
        <v>29.373650107991359</v>
      </c>
      <c r="P2577"/>
    </row>
    <row r="2578" spans="1:16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>
        <v>22</v>
      </c>
      <c r="N2578">
        <v>94.29</v>
      </c>
      <c r="O2578">
        <v>25.647668393782389</v>
      </c>
      <c r="P2578"/>
    </row>
    <row r="2579" spans="1:16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>
        <v>23</v>
      </c>
      <c r="N2579">
        <v>98.26</v>
      </c>
      <c r="O2579">
        <v>26.666666666666671</v>
      </c>
      <c r="P2579"/>
    </row>
    <row r="2580" spans="1:16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>
        <v>21</v>
      </c>
      <c r="N2580">
        <v>98.2</v>
      </c>
      <c r="O2580">
        <v>23.37962962962963</v>
      </c>
      <c r="P2580"/>
    </row>
    <row r="2581" spans="1:16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>
        <v>19</v>
      </c>
      <c r="N2581">
        <v>97.3</v>
      </c>
      <c r="O2581">
        <v>23.84769539078156</v>
      </c>
      <c r="P2581"/>
    </row>
    <row r="2582" spans="1:16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>
        <v>0</v>
      </c>
      <c r="N2582">
        <v>100</v>
      </c>
      <c r="O2582">
        <v>25.268817204301079</v>
      </c>
      <c r="P2582"/>
    </row>
    <row r="2583" spans="1:16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>
        <v>47</v>
      </c>
      <c r="N2583">
        <v>99.32</v>
      </c>
      <c r="O2583">
        <v>22.822822822822818</v>
      </c>
      <c r="P2583"/>
    </row>
    <row r="2584" spans="1:16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>
        <v>19</v>
      </c>
      <c r="N2584">
        <v>100</v>
      </c>
      <c r="O2584">
        <v>27.966101694915249</v>
      </c>
      <c r="P2584"/>
    </row>
    <row r="2585" spans="1:16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>
        <v>0</v>
      </c>
      <c r="N2585">
        <v>100</v>
      </c>
      <c r="O2585">
        <v>30.434782608695659</v>
      </c>
      <c r="P2585"/>
    </row>
    <row r="2586" spans="1:16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>
        <v>21</v>
      </c>
      <c r="N2586">
        <v>96.51</v>
      </c>
      <c r="O2586">
        <v>22.802850356294542</v>
      </c>
      <c r="P2586"/>
    </row>
    <row r="2587" spans="1:16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>
        <v>32</v>
      </c>
      <c r="N2587">
        <v>92.68</v>
      </c>
      <c r="O2587">
        <v>27.777777777777779</v>
      </c>
      <c r="P2587"/>
    </row>
    <row r="2588" spans="1:16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>
        <v>23</v>
      </c>
      <c r="N2588">
        <v>99.03</v>
      </c>
      <c r="O2588">
        <v>23.991507430997881</v>
      </c>
      <c r="P2588"/>
    </row>
    <row r="2589" spans="1:16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>
        <v>3</v>
      </c>
      <c r="N2589">
        <v>98.41</v>
      </c>
      <c r="O2589">
        <v>28.138528138528141</v>
      </c>
      <c r="P2589"/>
    </row>
    <row r="2590" spans="1:16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>
        <v>29</v>
      </c>
      <c r="N2590">
        <v>98.73</v>
      </c>
      <c r="O2590">
        <v>29.142857142857139</v>
      </c>
      <c r="P2590"/>
    </row>
    <row r="2591" spans="1:16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>
        <v>7</v>
      </c>
      <c r="N2591">
        <v>90.48</v>
      </c>
      <c r="O2591">
        <v>20.68965517241379</v>
      </c>
      <c r="P2591"/>
    </row>
    <row r="2592" spans="1:16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>
        <v>37</v>
      </c>
      <c r="N2592">
        <v>98.06</v>
      </c>
      <c r="O2592">
        <v>24.789915966386559</v>
      </c>
      <c r="P2592"/>
    </row>
    <row r="2593" spans="1:16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>
        <v>30</v>
      </c>
      <c r="N2593">
        <v>97.78</v>
      </c>
      <c r="O2593">
        <v>25.494071146245059</v>
      </c>
      <c r="P2593"/>
    </row>
    <row r="2594" spans="1:16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>
        <v>24</v>
      </c>
      <c r="N2594">
        <v>98.02</v>
      </c>
      <c r="O2594">
        <v>23.484848484848481</v>
      </c>
      <c r="P2594"/>
    </row>
    <row r="2595" spans="1:16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  <c r="P2595"/>
    </row>
    <row r="2596" spans="1:16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  <c r="P2596"/>
    </row>
    <row r="2597" spans="1:16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>
        <v>40</v>
      </c>
      <c r="N2597">
        <v>97.83</v>
      </c>
      <c r="O2597">
        <v>26.315789473684209</v>
      </c>
      <c r="P2597"/>
    </row>
    <row r="2598" spans="1:16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>
        <v>12</v>
      </c>
      <c r="N2598">
        <v>100</v>
      </c>
      <c r="O2598">
        <v>26.701570680628269</v>
      </c>
      <c r="P2598"/>
    </row>
    <row r="2599" spans="1:16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>
        <v>18</v>
      </c>
      <c r="N2599">
        <v>97.47</v>
      </c>
      <c r="O2599">
        <v>22.887323943661968</v>
      </c>
      <c r="P2599"/>
    </row>
    <row r="2600" spans="1:16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>
        <v>0</v>
      </c>
      <c r="N2600">
        <v>0</v>
      </c>
      <c r="O2600">
        <v>0</v>
      </c>
      <c r="P2600"/>
    </row>
    <row r="2601" spans="1:16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>
        <v>18</v>
      </c>
      <c r="N2601">
        <v>98.31</v>
      </c>
      <c r="O2601">
        <v>24.920127795527151</v>
      </c>
      <c r="P2601"/>
    </row>
    <row r="2602" spans="1:16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>
        <v>18</v>
      </c>
      <c r="N2602">
        <v>96.81</v>
      </c>
      <c r="O2602">
        <v>32.365145228215773</v>
      </c>
      <c r="P2602"/>
    </row>
    <row r="2603" spans="1:16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>
        <v>0</v>
      </c>
      <c r="N2603">
        <v>100</v>
      </c>
      <c r="O2603">
        <v>26.47058823529412</v>
      </c>
      <c r="P2603"/>
    </row>
    <row r="2604" spans="1:16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>
        <v>21</v>
      </c>
      <c r="N2604">
        <v>100</v>
      </c>
      <c r="O2604">
        <v>28.490028490028489</v>
      </c>
      <c r="P2604"/>
    </row>
    <row r="2605" spans="1:16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>
        <v>14</v>
      </c>
      <c r="N2605">
        <v>99.14</v>
      </c>
      <c r="O2605">
        <v>27.2289156626506</v>
      </c>
      <c r="P2605"/>
    </row>
    <row r="2606" spans="1:16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>
        <v>27</v>
      </c>
      <c r="N2606">
        <v>97.52</v>
      </c>
      <c r="O2606">
        <v>28.205128205128201</v>
      </c>
      <c r="P2606"/>
    </row>
    <row r="2607" spans="1:16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>
        <v>22</v>
      </c>
      <c r="N2607">
        <v>90</v>
      </c>
      <c r="O2607">
        <v>24.186046511627911</v>
      </c>
      <c r="P2607"/>
    </row>
    <row r="2608" spans="1:16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>
        <v>25</v>
      </c>
      <c r="N2608">
        <v>98.9</v>
      </c>
      <c r="O2608">
        <v>26.763990267639901</v>
      </c>
      <c r="P2608"/>
    </row>
    <row r="2609" spans="1:16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>
        <v>11</v>
      </c>
      <c r="N2609">
        <v>88.89</v>
      </c>
      <c r="O2609">
        <v>25.263157894736839</v>
      </c>
      <c r="P2609"/>
    </row>
    <row r="2610" spans="1:16" hidden="1" x14ac:dyDescent="0.25">
      <c r="A2610" s="11">
        <v>46083</v>
      </c>
      <c r="B2610" t="s">
        <v>43</v>
      </c>
      <c r="C2610" t="s">
        <v>32</v>
      </c>
      <c r="D2610">
        <v>43</v>
      </c>
      <c r="E2610">
        <v>38</v>
      </c>
      <c r="F2610">
        <v>17.28</v>
      </c>
      <c r="G2610">
        <v>0</v>
      </c>
      <c r="H2610">
        <v>0</v>
      </c>
      <c r="I2610" s="3">
        <f>E2610+G2610+H2610</f>
        <v>38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27</v>
      </c>
      <c r="K2610" s="3">
        <f>I2610-J2610</f>
        <v>11</v>
      </c>
      <c r="L2610" s="3" t="str">
        <f>IF(K2610&lt;-5,"CRÍTICO",IF(K2610&lt;0,"ATENÇÃO",IF(K2610&lt;=5,"BOM","EXCELENTE")))</f>
        <v>EXCELENTE</v>
      </c>
      <c r="M2610">
        <v>40</v>
      </c>
      <c r="N2610">
        <v>98.86</v>
      </c>
      <c r="O2610">
        <v>28.959276018099551</v>
      </c>
      <c r="P2610"/>
    </row>
    <row r="2611" spans="1:16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>
        <v>30</v>
      </c>
      <c r="N2611">
        <v>98.06</v>
      </c>
      <c r="O2611">
        <v>22.40566037735849</v>
      </c>
      <c r="P2611"/>
    </row>
    <row r="2612" spans="1:16" hidden="1" x14ac:dyDescent="0.25">
      <c r="A2612" s="11">
        <v>46083</v>
      </c>
      <c r="B2612" t="s">
        <v>20</v>
      </c>
      <c r="C2612" t="s">
        <v>16</v>
      </c>
      <c r="D2612">
        <v>6</v>
      </c>
      <c r="E2612">
        <v>6</v>
      </c>
      <c r="F2612">
        <v>53.33</v>
      </c>
      <c r="G2612">
        <v>0</v>
      </c>
      <c r="H2612">
        <v>0</v>
      </c>
      <c r="I2612" s="3">
        <f>E2612+G2612+H2612</f>
        <v>6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-2</v>
      </c>
      <c r="L2612" s="3" t="str">
        <f>IF(K2612&lt;-5,"CRÍTICO",IF(K2612&lt;0,"ATENÇÃO",IF(K2612&lt;=5,"BOM","EXCELENTE")))</f>
        <v>ATENÇÃO</v>
      </c>
      <c r="M2612">
        <v>5</v>
      </c>
      <c r="N2612">
        <v>95.83</v>
      </c>
      <c r="O2612">
        <v>25.773195876288661</v>
      </c>
      <c r="P2612"/>
    </row>
    <row r="2613" spans="1:16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>
        <v>0</v>
      </c>
      <c r="N2613">
        <v>100</v>
      </c>
      <c r="O2613">
        <v>15.38461538461539</v>
      </c>
      <c r="P2613"/>
    </row>
    <row r="2614" spans="1:16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>
        <v>16</v>
      </c>
      <c r="N2614">
        <v>100</v>
      </c>
      <c r="O2614">
        <v>27.514792899408281</v>
      </c>
      <c r="P2614"/>
    </row>
    <row r="2615" spans="1:16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>
        <v>0</v>
      </c>
      <c r="N2615">
        <v>100</v>
      </c>
      <c r="O2615">
        <v>24.875621890547269</v>
      </c>
      <c r="P2615"/>
    </row>
    <row r="2616" spans="1:16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28.108108108108109</v>
      </c>
      <c r="P2616"/>
    </row>
    <row r="2617" spans="1:16" hidden="1" x14ac:dyDescent="0.25">
      <c r="A2617" s="11">
        <v>46083</v>
      </c>
      <c r="B2617" t="s">
        <v>21</v>
      </c>
      <c r="C2617" t="s">
        <v>16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>IF(K2617&lt;-5,"CRÍTICO",IF(K2617&lt;0,"ATENÇÃO",IF(K2617&lt;=5,"BOM","EXCELENTE")))</f>
        <v>BOM</v>
      </c>
      <c r="M2617">
        <v>0</v>
      </c>
      <c r="N2617">
        <v>100</v>
      </c>
      <c r="O2617">
        <v>35</v>
      </c>
      <c r="P2617"/>
    </row>
    <row r="2618" spans="1:16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>
        <v>15</v>
      </c>
      <c r="N2618">
        <v>95.35</v>
      </c>
      <c r="O2618">
        <v>28.61538461538461</v>
      </c>
      <c r="P2618"/>
    </row>
    <row r="2619" spans="1:16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>
        <v>35</v>
      </c>
      <c r="N2619">
        <v>98.26</v>
      </c>
      <c r="O2619">
        <v>27.54491017964072</v>
      </c>
      <c r="P2619"/>
    </row>
    <row r="2620" spans="1:16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>
        <v>9</v>
      </c>
      <c r="N2620">
        <v>98.55</v>
      </c>
      <c r="O2620">
        <v>25.337837837837839</v>
      </c>
      <c r="P2620"/>
    </row>
    <row r="2621" spans="1:16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>
        <v>29</v>
      </c>
      <c r="N2621">
        <v>98.39</v>
      </c>
      <c r="O2621">
        <v>25.563909774436091</v>
      </c>
      <c r="P2621"/>
    </row>
    <row r="2622" spans="1:16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22</v>
      </c>
      <c r="N2622">
        <v>94.29</v>
      </c>
      <c r="O2622">
        <v>25.647668393782389</v>
      </c>
      <c r="P2622"/>
    </row>
    <row r="2623" spans="1:16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>
        <v>21</v>
      </c>
      <c r="N2623">
        <v>98.26</v>
      </c>
      <c r="O2623">
        <v>26.666666666666671</v>
      </c>
      <c r="P2623"/>
    </row>
    <row r="2624" spans="1:16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>
        <v>25</v>
      </c>
      <c r="N2624">
        <v>98.2</v>
      </c>
      <c r="O2624">
        <v>23.37962962962963</v>
      </c>
      <c r="P2624"/>
    </row>
    <row r="2625" spans="1:16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>
        <v>32</v>
      </c>
      <c r="N2625">
        <v>97.3</v>
      </c>
      <c r="O2625">
        <v>23.84769539078156</v>
      </c>
      <c r="P2625"/>
    </row>
    <row r="2626" spans="1:16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>
        <v>6</v>
      </c>
      <c r="N2626">
        <v>100</v>
      </c>
      <c r="O2626">
        <v>25.268817204301079</v>
      </c>
      <c r="P2626"/>
    </row>
    <row r="2627" spans="1:16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>
        <v>27</v>
      </c>
      <c r="N2627">
        <v>99.32</v>
      </c>
      <c r="O2627">
        <v>22.822822822822818</v>
      </c>
      <c r="P2627"/>
    </row>
    <row r="2628" spans="1:16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>
        <v>0</v>
      </c>
      <c r="N2628">
        <v>100</v>
      </c>
      <c r="O2628">
        <v>27.966101694915249</v>
      </c>
      <c r="P2628"/>
    </row>
    <row r="2629" spans="1:16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30.434782608695659</v>
      </c>
      <c r="P2629"/>
    </row>
    <row r="2630" spans="1:16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>
        <v>20</v>
      </c>
      <c r="N2630">
        <v>96.51</v>
      </c>
      <c r="O2630">
        <v>22.802850356294542</v>
      </c>
      <c r="P2630"/>
    </row>
    <row r="2631" spans="1:16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>
        <v>34</v>
      </c>
      <c r="N2631">
        <v>92.68</v>
      </c>
      <c r="O2631">
        <v>27.777777777777779</v>
      </c>
      <c r="P2631"/>
    </row>
    <row r="2632" spans="1:16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>
        <v>21</v>
      </c>
      <c r="N2632">
        <v>99.03</v>
      </c>
      <c r="O2632">
        <v>23.991507430997881</v>
      </c>
      <c r="P2632"/>
    </row>
    <row r="2633" spans="1:16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>
        <v>14</v>
      </c>
      <c r="N2633">
        <v>98.41</v>
      </c>
      <c r="O2633">
        <v>28.138528138528141</v>
      </c>
      <c r="P2633"/>
    </row>
    <row r="2634" spans="1:16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>
        <v>33</v>
      </c>
      <c r="N2634">
        <v>98.73</v>
      </c>
      <c r="O2634">
        <v>29.142857142857139</v>
      </c>
      <c r="P2634"/>
    </row>
    <row r="2635" spans="1:16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>
        <v>3</v>
      </c>
      <c r="N2635">
        <v>90.48</v>
      </c>
      <c r="O2635">
        <v>20.68965517241379</v>
      </c>
      <c r="P2635"/>
    </row>
    <row r="2636" spans="1:16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>
        <v>35</v>
      </c>
      <c r="N2636">
        <v>98.06</v>
      </c>
      <c r="O2636">
        <v>24.789915966386559</v>
      </c>
      <c r="P2636"/>
    </row>
    <row r="2637" spans="1:16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>
        <v>22</v>
      </c>
      <c r="N2637">
        <v>97.78</v>
      </c>
      <c r="O2637">
        <v>25.494071146245059</v>
      </c>
      <c r="P2637"/>
    </row>
    <row r="2638" spans="1:16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>
        <v>31</v>
      </c>
      <c r="N2638">
        <v>98.02</v>
      </c>
      <c r="O2638">
        <v>23.484848484848481</v>
      </c>
      <c r="P2638"/>
    </row>
    <row r="2639" spans="1:16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  <c r="P2639"/>
    </row>
    <row r="2640" spans="1:16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  <c r="P2640"/>
    </row>
    <row r="2641" spans="1:16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>
        <v>41</v>
      </c>
      <c r="N2641">
        <v>97.83</v>
      </c>
      <c r="O2641">
        <v>26.315789473684209</v>
      </c>
      <c r="P2641"/>
    </row>
    <row r="2642" spans="1:16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>
        <v>6</v>
      </c>
      <c r="N2642">
        <v>100</v>
      </c>
      <c r="O2642">
        <v>26.701570680628269</v>
      </c>
      <c r="P2642"/>
    </row>
    <row r="2643" spans="1:16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>
        <v>29</v>
      </c>
      <c r="N2643">
        <v>97.47</v>
      </c>
      <c r="O2643">
        <v>22.887323943661968</v>
      </c>
      <c r="P2643"/>
    </row>
    <row r="2644" spans="1:16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>
        <v>0</v>
      </c>
      <c r="N2644">
        <v>0</v>
      </c>
      <c r="O2644">
        <v>0</v>
      </c>
      <c r="P2644"/>
    </row>
    <row r="2645" spans="1:16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>
        <v>12</v>
      </c>
      <c r="N2645">
        <v>98.31</v>
      </c>
      <c r="O2645">
        <v>24.920127795527151</v>
      </c>
      <c r="P2645"/>
    </row>
    <row r="2646" spans="1:16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>
        <v>6</v>
      </c>
      <c r="N2646">
        <v>96.81</v>
      </c>
      <c r="O2646">
        <v>32.365145228215773</v>
      </c>
      <c r="P2646"/>
    </row>
    <row r="2647" spans="1:16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>
        <v>0</v>
      </c>
      <c r="N2647">
        <v>100</v>
      </c>
      <c r="O2647">
        <v>26.47058823529412</v>
      </c>
      <c r="P2647"/>
    </row>
    <row r="2648" spans="1:16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>
        <v>15</v>
      </c>
      <c r="N2648">
        <v>100</v>
      </c>
      <c r="O2648">
        <v>28.490028490028489</v>
      </c>
      <c r="P2648"/>
    </row>
    <row r="2649" spans="1:16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>
        <v>20</v>
      </c>
      <c r="N2649">
        <v>99.14</v>
      </c>
      <c r="O2649">
        <v>27.2289156626506</v>
      </c>
      <c r="P2649"/>
    </row>
    <row r="2650" spans="1:16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>
        <v>27</v>
      </c>
      <c r="N2650">
        <v>97.52</v>
      </c>
      <c r="O2650">
        <v>28.205128205128201</v>
      </c>
      <c r="P2650"/>
    </row>
    <row r="2651" spans="1:16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>
        <v>19</v>
      </c>
      <c r="N2651">
        <v>90</v>
      </c>
      <c r="O2651">
        <v>24.186046511627911</v>
      </c>
      <c r="P2651"/>
    </row>
    <row r="2652" spans="1:16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>
        <v>23</v>
      </c>
      <c r="N2652">
        <v>98.9</v>
      </c>
      <c r="O2652">
        <v>26.763990267639901</v>
      </c>
      <c r="P2652"/>
    </row>
    <row r="2653" spans="1:16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>
        <v>7</v>
      </c>
      <c r="N2653">
        <v>88.89</v>
      </c>
      <c r="O2653">
        <v>25.263157894736839</v>
      </c>
      <c r="P2653"/>
    </row>
    <row r="2654" spans="1:16" hidden="1" x14ac:dyDescent="0.25">
      <c r="A2654" s="11">
        <v>46084</v>
      </c>
      <c r="B2654" t="s">
        <v>43</v>
      </c>
      <c r="C2654" t="s">
        <v>32</v>
      </c>
      <c r="D2654">
        <v>32</v>
      </c>
      <c r="E2654">
        <v>30</v>
      </c>
      <c r="F2654">
        <v>19.100000000000001</v>
      </c>
      <c r="G2654">
        <v>0</v>
      </c>
      <c r="H2654">
        <v>0</v>
      </c>
      <c r="I2654" s="3">
        <f>E2654+G2654+H2654</f>
        <v>30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27</v>
      </c>
      <c r="K2654" s="3">
        <f>I2654-J2654</f>
        <v>3</v>
      </c>
      <c r="L2654" s="3" t="str">
        <f>IF(K2654&lt;-5,"CRÍTICO",IF(K2654&lt;0,"ATENÇÃO",IF(K2654&lt;=5,"BOM","EXCELENTE")))</f>
        <v>BOM</v>
      </c>
      <c r="M2654">
        <v>31</v>
      </c>
      <c r="N2654">
        <v>98.86</v>
      </c>
      <c r="O2654">
        <v>28.959276018099551</v>
      </c>
      <c r="P2654"/>
    </row>
    <row r="2655" spans="1:16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>
        <v>33</v>
      </c>
      <c r="N2655">
        <v>98.06</v>
      </c>
      <c r="O2655">
        <v>22.40566037735849</v>
      </c>
      <c r="P2655"/>
    </row>
    <row r="2656" spans="1:16" hidden="1" x14ac:dyDescent="0.25">
      <c r="A2656" s="11">
        <v>46084</v>
      </c>
      <c r="B2656" t="s">
        <v>20</v>
      </c>
      <c r="C2656" t="s">
        <v>16</v>
      </c>
      <c r="D2656">
        <v>15</v>
      </c>
      <c r="E2656">
        <v>13</v>
      </c>
      <c r="F2656">
        <v>42.31</v>
      </c>
      <c r="G2656">
        <v>0</v>
      </c>
      <c r="H2656">
        <v>0</v>
      </c>
      <c r="I2656" s="3">
        <f>E2656+G2656+H2656</f>
        <v>13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5</v>
      </c>
      <c r="L2656" s="3" t="str">
        <f>IF(K2656&lt;-5,"CRÍTICO",IF(K2656&lt;0,"ATENÇÃO",IF(K2656&lt;=5,"BOM","EXCELENTE")))</f>
        <v>BOM</v>
      </c>
      <c r="M2656">
        <v>4</v>
      </c>
      <c r="N2656">
        <v>95.83</v>
      </c>
      <c r="O2656">
        <v>25.773195876288661</v>
      </c>
      <c r="P2656"/>
    </row>
    <row r="2657" spans="1:16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>
        <v>0</v>
      </c>
      <c r="N2657">
        <v>100</v>
      </c>
      <c r="O2657">
        <v>15.38461538461539</v>
      </c>
      <c r="P2657"/>
    </row>
    <row r="2658" spans="1:16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>
        <v>18</v>
      </c>
      <c r="N2658">
        <v>100</v>
      </c>
      <c r="O2658">
        <v>27.514792899408281</v>
      </c>
      <c r="P2658"/>
    </row>
    <row r="2659" spans="1:16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>
        <v>0</v>
      </c>
      <c r="N2659">
        <v>100</v>
      </c>
      <c r="O2659">
        <v>24.875621890547269</v>
      </c>
      <c r="P2659"/>
    </row>
    <row r="2660" spans="1:16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28.108108108108109</v>
      </c>
      <c r="P2660"/>
    </row>
    <row r="2661" spans="1:16" hidden="1" x14ac:dyDescent="0.25">
      <c r="A2661" s="11">
        <v>46084</v>
      </c>
      <c r="B2661" t="s">
        <v>21</v>
      </c>
      <c r="C2661" t="s">
        <v>16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>IF(K2661&lt;-5,"CRÍTICO",IF(K2661&lt;0,"ATENÇÃO",IF(K2661&lt;=5,"BOM","EXCELENTE")))</f>
        <v>BOM</v>
      </c>
      <c r="M2661">
        <v>0</v>
      </c>
      <c r="N2661">
        <v>100</v>
      </c>
      <c r="O2661">
        <v>35</v>
      </c>
      <c r="P2661"/>
    </row>
    <row r="2662" spans="1:16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>
        <v>29</v>
      </c>
      <c r="N2662">
        <v>95.35</v>
      </c>
      <c r="O2662">
        <v>28.61538461538461</v>
      </c>
      <c r="P2662"/>
    </row>
    <row r="2663" spans="1:16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>
        <v>32</v>
      </c>
      <c r="N2663">
        <v>98.26</v>
      </c>
      <c r="O2663">
        <v>27.54491017964072</v>
      </c>
      <c r="P2663"/>
    </row>
    <row r="2664" spans="1:16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>
        <v>18</v>
      </c>
      <c r="N2664">
        <v>98.55</v>
      </c>
      <c r="O2664">
        <v>25.337837837837839</v>
      </c>
      <c r="P2664"/>
    </row>
    <row r="2665" spans="1:16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>
        <v>31</v>
      </c>
      <c r="N2665">
        <v>98.39</v>
      </c>
      <c r="O2665">
        <v>25.563909774436091</v>
      </c>
      <c r="P2665"/>
    </row>
    <row r="2666" spans="1:16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>
        <v>20</v>
      </c>
      <c r="N2666">
        <v>94.29</v>
      </c>
      <c r="O2666">
        <v>25.647668393782389</v>
      </c>
      <c r="P2666"/>
    </row>
    <row r="2667" spans="1:16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>
        <v>20</v>
      </c>
      <c r="N2667">
        <v>98.26</v>
      </c>
      <c r="O2667">
        <v>26.666666666666671</v>
      </c>
      <c r="P2667"/>
    </row>
    <row r="2668" spans="1:16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>
        <v>20</v>
      </c>
      <c r="N2668">
        <v>98.2</v>
      </c>
      <c r="O2668">
        <v>23.37962962962963</v>
      </c>
      <c r="P2668"/>
    </row>
    <row r="2669" spans="1:16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>
        <v>30</v>
      </c>
      <c r="N2669">
        <v>97.3</v>
      </c>
      <c r="O2669">
        <v>23.84769539078156</v>
      </c>
      <c r="P2669"/>
    </row>
    <row r="2670" spans="1:16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>
        <v>6</v>
      </c>
      <c r="N2670">
        <v>100</v>
      </c>
      <c r="O2670">
        <v>25.268817204301079</v>
      </c>
      <c r="P2670"/>
    </row>
    <row r="2671" spans="1:16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>
        <v>32</v>
      </c>
      <c r="N2671">
        <v>99.32</v>
      </c>
      <c r="O2671">
        <v>22.822822822822818</v>
      </c>
      <c r="P2671"/>
    </row>
    <row r="2672" spans="1:16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>
        <v>0</v>
      </c>
      <c r="N2672">
        <v>100</v>
      </c>
      <c r="O2672">
        <v>27.966101694915249</v>
      </c>
      <c r="P2672"/>
    </row>
    <row r="2673" spans="1:16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30.434782608695659</v>
      </c>
      <c r="P2673"/>
    </row>
    <row r="2674" spans="1:16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>
        <v>17</v>
      </c>
      <c r="N2674">
        <v>96.51</v>
      </c>
      <c r="O2674">
        <v>22.802850356294542</v>
      </c>
      <c r="P2674"/>
    </row>
    <row r="2675" spans="1:16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>
        <v>34</v>
      </c>
      <c r="N2675">
        <v>92.68</v>
      </c>
      <c r="O2675">
        <v>27.777777777777779</v>
      </c>
      <c r="P2675"/>
    </row>
    <row r="2676" spans="1:16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>
        <v>29</v>
      </c>
      <c r="N2676">
        <v>99.03</v>
      </c>
      <c r="O2676">
        <v>23.991507430997881</v>
      </c>
      <c r="P2676"/>
    </row>
    <row r="2677" spans="1:16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>
        <v>14</v>
      </c>
      <c r="N2677">
        <v>98.41</v>
      </c>
      <c r="O2677">
        <v>28.138528138528141</v>
      </c>
      <c r="P2677"/>
    </row>
    <row r="2678" spans="1:16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>
        <v>32</v>
      </c>
      <c r="N2678">
        <v>98.73</v>
      </c>
      <c r="O2678">
        <v>29.142857142857139</v>
      </c>
      <c r="P2678"/>
    </row>
    <row r="2679" spans="1:16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>
        <v>7</v>
      </c>
      <c r="N2679">
        <v>90.48</v>
      </c>
      <c r="O2679">
        <v>20.68965517241379</v>
      </c>
      <c r="P2679"/>
    </row>
    <row r="2680" spans="1:16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>
        <v>20</v>
      </c>
      <c r="N2680">
        <v>98.06</v>
      </c>
      <c r="O2680">
        <v>24.789915966386559</v>
      </c>
      <c r="P2680"/>
    </row>
    <row r="2681" spans="1:16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>
        <v>33</v>
      </c>
      <c r="N2681">
        <v>97.78</v>
      </c>
      <c r="O2681">
        <v>25.494071146245059</v>
      </c>
      <c r="P2681"/>
    </row>
    <row r="2682" spans="1:16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>
        <v>34</v>
      </c>
      <c r="N2682">
        <v>98.02</v>
      </c>
      <c r="O2682">
        <v>23.484848484848481</v>
      </c>
      <c r="P2682"/>
    </row>
    <row r="2683" spans="1:16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  <c r="P2683"/>
    </row>
    <row r="2684" spans="1:16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  <c r="P2684"/>
    </row>
    <row r="2685" spans="1:16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>
        <v>40</v>
      </c>
      <c r="N2685">
        <v>97.83</v>
      </c>
      <c r="O2685">
        <v>26.315789473684209</v>
      </c>
      <c r="P2685"/>
    </row>
    <row r="2686" spans="1:16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>
        <v>14</v>
      </c>
      <c r="N2686">
        <v>100</v>
      </c>
      <c r="O2686">
        <v>26.701570680628269</v>
      </c>
      <c r="P2686"/>
    </row>
    <row r="2687" spans="1:16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>
        <v>19</v>
      </c>
      <c r="N2687">
        <v>97.47</v>
      </c>
      <c r="O2687">
        <v>22.887323943661968</v>
      </c>
      <c r="P2687"/>
    </row>
    <row r="2688" spans="1:16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>
        <v>0</v>
      </c>
      <c r="N2688">
        <v>0</v>
      </c>
      <c r="O2688">
        <v>0</v>
      </c>
      <c r="P2688"/>
    </row>
    <row r="2689" spans="1:16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>
        <v>17</v>
      </c>
      <c r="N2689">
        <v>98.31</v>
      </c>
      <c r="O2689">
        <v>24.920127795527151</v>
      </c>
      <c r="P2689"/>
    </row>
    <row r="2690" spans="1:16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>
        <v>14</v>
      </c>
      <c r="N2690">
        <v>96.81</v>
      </c>
      <c r="O2690">
        <v>32.365145228215773</v>
      </c>
      <c r="P2690"/>
    </row>
    <row r="2691" spans="1:16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0</v>
      </c>
      <c r="N2691">
        <v>100</v>
      </c>
      <c r="O2691">
        <v>26.47058823529412</v>
      </c>
      <c r="P2691"/>
    </row>
    <row r="2692" spans="1:16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5</v>
      </c>
      <c r="N2692">
        <v>100</v>
      </c>
      <c r="O2692">
        <v>28.490028490028489</v>
      </c>
      <c r="P2692"/>
    </row>
    <row r="2693" spans="1:16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>
        <v>19</v>
      </c>
      <c r="N2693">
        <v>99.14</v>
      </c>
      <c r="O2693">
        <v>27.2289156626506</v>
      </c>
      <c r="P2693"/>
    </row>
    <row r="2694" spans="1:16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>
        <v>20</v>
      </c>
      <c r="N2694">
        <v>97.52</v>
      </c>
      <c r="O2694">
        <v>28.205128205128201</v>
      </c>
      <c r="P2694"/>
    </row>
    <row r="2695" spans="1:16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>
        <v>22</v>
      </c>
      <c r="N2695">
        <v>90</v>
      </c>
      <c r="O2695">
        <v>24.186046511627911</v>
      </c>
      <c r="P2695"/>
    </row>
    <row r="2696" spans="1:16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>
        <v>23</v>
      </c>
      <c r="N2696">
        <v>98.9</v>
      </c>
      <c r="O2696">
        <v>26.763990267639901</v>
      </c>
      <c r="P2696"/>
    </row>
    <row r="2697" spans="1:16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>
        <v>0</v>
      </c>
      <c r="N2697">
        <v>88.89</v>
      </c>
      <c r="O2697">
        <v>25.263157894736839</v>
      </c>
      <c r="P2697"/>
    </row>
    <row r="2698" spans="1:16" hidden="1" x14ac:dyDescent="0.25">
      <c r="A2698" s="11">
        <v>46085</v>
      </c>
      <c r="B2698" t="s">
        <v>43</v>
      </c>
      <c r="C2698" t="s">
        <v>32</v>
      </c>
      <c r="D2698">
        <v>11</v>
      </c>
      <c r="E2698">
        <v>11</v>
      </c>
      <c r="F2698">
        <v>24.12</v>
      </c>
      <c r="G2698">
        <v>0</v>
      </c>
      <c r="H2698">
        <v>0</v>
      </c>
      <c r="I2698" s="3">
        <f>E2698+G2698+H2698</f>
        <v>11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26</v>
      </c>
      <c r="K2698" s="3">
        <f>I2698-J2698</f>
        <v>-15</v>
      </c>
      <c r="L2698" s="3" t="str">
        <f>IF(K2698&lt;-5,"CRÍTICO",IF(K2698&lt;0,"ATENÇÃO",IF(K2698&lt;=5,"BOM","EXCELENTE")))</f>
        <v>CRÍTICO</v>
      </c>
      <c r="M2698">
        <v>38</v>
      </c>
      <c r="N2698">
        <v>98.86</v>
      </c>
      <c r="O2698">
        <v>28.959276018099551</v>
      </c>
      <c r="P2698"/>
    </row>
    <row r="2699" spans="1:16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>
        <v>30</v>
      </c>
      <c r="N2699">
        <v>98.06</v>
      </c>
      <c r="O2699">
        <v>22.40566037735849</v>
      </c>
      <c r="P2699"/>
    </row>
    <row r="2700" spans="1:16" hidden="1" x14ac:dyDescent="0.25">
      <c r="A2700" s="11">
        <v>46085</v>
      </c>
      <c r="B2700" t="s">
        <v>20</v>
      </c>
      <c r="C2700" t="s">
        <v>16</v>
      </c>
      <c r="D2700">
        <v>7</v>
      </c>
      <c r="E2700">
        <v>7</v>
      </c>
      <c r="F2700">
        <v>63.21</v>
      </c>
      <c r="G2700">
        <v>0</v>
      </c>
      <c r="H2700">
        <v>0</v>
      </c>
      <c r="I2700" s="3">
        <f>E2700+G2700+H2700</f>
        <v>7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8</v>
      </c>
      <c r="K2700" s="3">
        <f>I2700-J2700</f>
        <v>-1</v>
      </c>
      <c r="L2700" s="3" t="str">
        <f>IF(K2700&lt;-5,"CRÍTICO",IF(K2700&lt;0,"ATENÇÃO",IF(K2700&lt;=5,"BOM","EXCELENTE")))</f>
        <v>ATENÇÃO</v>
      </c>
      <c r="M2700">
        <v>2</v>
      </c>
      <c r="N2700">
        <v>95.83</v>
      </c>
      <c r="O2700">
        <v>25.773195876288661</v>
      </c>
      <c r="P2700"/>
    </row>
    <row r="2701" spans="1:16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>
        <v>0</v>
      </c>
      <c r="N2701">
        <v>100</v>
      </c>
      <c r="O2701">
        <v>15.38461538461539</v>
      </c>
      <c r="P2701"/>
    </row>
    <row r="2702" spans="1:16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>
        <v>20</v>
      </c>
      <c r="N2702">
        <v>100</v>
      </c>
      <c r="O2702">
        <v>27.514792899408281</v>
      </c>
      <c r="P2702"/>
    </row>
    <row r="2703" spans="1:16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>
        <v>0</v>
      </c>
      <c r="N2703">
        <v>100</v>
      </c>
      <c r="O2703">
        <v>24.875621890547269</v>
      </c>
      <c r="P2703"/>
    </row>
    <row r="2704" spans="1:16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28.108108108108109</v>
      </c>
      <c r="P2704"/>
    </row>
    <row r="2705" spans="1:16" hidden="1" x14ac:dyDescent="0.25">
      <c r="A2705" s="11">
        <v>46085</v>
      </c>
      <c r="B2705" t="s">
        <v>21</v>
      </c>
      <c r="C2705" t="s">
        <v>16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>IF(K2705&lt;-5,"CRÍTICO",IF(K2705&lt;0,"ATENÇÃO",IF(K2705&lt;=5,"BOM","EXCELENTE")))</f>
        <v>BOM</v>
      </c>
      <c r="M2705">
        <v>0</v>
      </c>
      <c r="N2705">
        <v>100</v>
      </c>
      <c r="O2705">
        <v>35</v>
      </c>
      <c r="P2705"/>
    </row>
    <row r="2706" spans="1:16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>
        <v>18</v>
      </c>
      <c r="N2706">
        <v>95.35</v>
      </c>
      <c r="O2706">
        <v>28.61538461538461</v>
      </c>
      <c r="P2706"/>
    </row>
    <row r="2707" spans="1:16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>
        <v>26</v>
      </c>
      <c r="N2707">
        <v>98.26</v>
      </c>
      <c r="O2707">
        <v>27.54491017964072</v>
      </c>
      <c r="P2707"/>
    </row>
    <row r="2708" spans="1:16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>
        <v>15</v>
      </c>
      <c r="N2708">
        <v>98.55</v>
      </c>
      <c r="O2708">
        <v>25.337837837837839</v>
      </c>
      <c r="P2708"/>
    </row>
    <row r="2709" spans="1:16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>
        <v>18</v>
      </c>
      <c r="N2709">
        <v>98.39</v>
      </c>
      <c r="O2709">
        <v>25.563909774436091</v>
      </c>
      <c r="P2709"/>
    </row>
    <row r="2710" spans="1:16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>
        <v>15</v>
      </c>
      <c r="N2710">
        <v>94.29</v>
      </c>
      <c r="O2710">
        <v>25.647668393782389</v>
      </c>
      <c r="P2710"/>
    </row>
    <row r="2711" spans="1:16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>
        <v>24</v>
      </c>
      <c r="N2711">
        <v>98.26</v>
      </c>
      <c r="O2711">
        <v>26.666666666666671</v>
      </c>
      <c r="P2711"/>
    </row>
    <row r="2712" spans="1:16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>
        <v>21</v>
      </c>
      <c r="N2712">
        <v>98.2</v>
      </c>
      <c r="O2712">
        <v>23.37962962962963</v>
      </c>
      <c r="P2712"/>
    </row>
    <row r="2713" spans="1:16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>
        <v>22</v>
      </c>
      <c r="N2713">
        <v>97.3</v>
      </c>
      <c r="O2713">
        <v>23.84769539078156</v>
      </c>
      <c r="P2713"/>
    </row>
    <row r="2714" spans="1:16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>
        <v>10</v>
      </c>
      <c r="N2714">
        <v>100</v>
      </c>
      <c r="O2714">
        <v>25.268817204301079</v>
      </c>
      <c r="P2714"/>
    </row>
    <row r="2715" spans="1:16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>
        <v>25</v>
      </c>
      <c r="N2715">
        <v>99.32</v>
      </c>
      <c r="O2715">
        <v>22.822822822822818</v>
      </c>
      <c r="P2715"/>
    </row>
    <row r="2716" spans="1:16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>
        <v>16</v>
      </c>
      <c r="N2716">
        <v>100</v>
      </c>
      <c r="O2716">
        <v>27.966101694915249</v>
      </c>
      <c r="P2716"/>
    </row>
    <row r="2717" spans="1:16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>
        <v>0</v>
      </c>
      <c r="N2717">
        <v>100</v>
      </c>
      <c r="O2717">
        <v>30.434782608695659</v>
      </c>
      <c r="P2717"/>
    </row>
    <row r="2718" spans="1:16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>
        <v>18</v>
      </c>
      <c r="N2718">
        <v>96.51</v>
      </c>
      <c r="O2718">
        <v>22.802850356294542</v>
      </c>
      <c r="P2718"/>
    </row>
    <row r="2719" spans="1:16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>
        <v>35</v>
      </c>
      <c r="N2719">
        <v>92.68</v>
      </c>
      <c r="O2719">
        <v>27.777777777777779</v>
      </c>
      <c r="P2719"/>
    </row>
    <row r="2720" spans="1:16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>
        <v>20</v>
      </c>
      <c r="N2720">
        <v>99.03</v>
      </c>
      <c r="O2720">
        <v>23.991507430997881</v>
      </c>
      <c r="P2720"/>
    </row>
    <row r="2721" spans="1:16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>
        <v>15</v>
      </c>
      <c r="N2721">
        <v>98.41</v>
      </c>
      <c r="O2721">
        <v>28.138528138528141</v>
      </c>
      <c r="P2721"/>
    </row>
    <row r="2722" spans="1:16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>
        <v>31</v>
      </c>
      <c r="N2722">
        <v>98.73</v>
      </c>
      <c r="O2722">
        <v>29.142857142857139</v>
      </c>
      <c r="P2722"/>
    </row>
    <row r="2723" spans="1:16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>
        <v>3</v>
      </c>
      <c r="N2723">
        <v>90.48</v>
      </c>
      <c r="O2723">
        <v>20.68965517241379</v>
      </c>
      <c r="P2723"/>
    </row>
    <row r="2724" spans="1:16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>
        <v>29</v>
      </c>
      <c r="N2724">
        <v>98.06</v>
      </c>
      <c r="O2724">
        <v>24.789915966386559</v>
      </c>
      <c r="P2724"/>
    </row>
    <row r="2725" spans="1:16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39</v>
      </c>
      <c r="N2725">
        <v>97.78</v>
      </c>
      <c r="O2725">
        <v>25.494071146245059</v>
      </c>
      <c r="P2725"/>
    </row>
    <row r="2726" spans="1:16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>
        <v>17</v>
      </c>
      <c r="N2726">
        <v>98.02</v>
      </c>
      <c r="O2726">
        <v>23.484848484848481</v>
      </c>
      <c r="P2726"/>
    </row>
    <row r="2727" spans="1:16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  <c r="P2727"/>
    </row>
    <row r="2728" spans="1:16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  <c r="P2728"/>
    </row>
    <row r="2729" spans="1:16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>
        <v>53</v>
      </c>
      <c r="N2729">
        <v>97.83</v>
      </c>
      <c r="O2729">
        <v>26.315789473684209</v>
      </c>
      <c r="P2729"/>
    </row>
    <row r="2730" spans="1:16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>
        <v>1</v>
      </c>
      <c r="N2730">
        <v>100</v>
      </c>
      <c r="O2730">
        <v>26.701570680628269</v>
      </c>
      <c r="P2730"/>
    </row>
    <row r="2731" spans="1:16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>
        <v>29</v>
      </c>
      <c r="N2731">
        <v>97.47</v>
      </c>
      <c r="O2731">
        <v>22.887323943661968</v>
      </c>
      <c r="P2731"/>
    </row>
    <row r="2732" spans="1:16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>
        <v>0</v>
      </c>
      <c r="N2732">
        <v>0</v>
      </c>
      <c r="O2732">
        <v>0</v>
      </c>
      <c r="P2732"/>
    </row>
    <row r="2733" spans="1:16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>
        <v>15</v>
      </c>
      <c r="N2733">
        <v>98.31</v>
      </c>
      <c r="O2733">
        <v>24.920127795527151</v>
      </c>
      <c r="P2733"/>
    </row>
    <row r="2734" spans="1:16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>
        <v>16</v>
      </c>
      <c r="N2734">
        <v>96.81</v>
      </c>
      <c r="O2734">
        <v>32.365145228215773</v>
      </c>
      <c r="P2734"/>
    </row>
    <row r="2735" spans="1:16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>
        <v>6</v>
      </c>
      <c r="N2735">
        <v>100</v>
      </c>
      <c r="O2735">
        <v>26.47058823529412</v>
      </c>
      <c r="P2735"/>
    </row>
    <row r="2736" spans="1:16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>
        <v>9</v>
      </c>
      <c r="N2736">
        <v>100</v>
      </c>
      <c r="O2736">
        <v>28.490028490028489</v>
      </c>
      <c r="P2736"/>
    </row>
    <row r="2737" spans="1:16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>
        <v>12</v>
      </c>
      <c r="N2737">
        <v>99.14</v>
      </c>
      <c r="O2737">
        <v>27.2289156626506</v>
      </c>
      <c r="P2737"/>
    </row>
    <row r="2738" spans="1:16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>
        <v>26</v>
      </c>
      <c r="N2738">
        <v>97.52</v>
      </c>
      <c r="O2738">
        <v>28.205128205128201</v>
      </c>
      <c r="P2738"/>
    </row>
    <row r="2739" spans="1:16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>
        <v>18</v>
      </c>
      <c r="N2739">
        <v>90</v>
      </c>
      <c r="O2739">
        <v>24.186046511627911</v>
      </c>
      <c r="P2739"/>
    </row>
    <row r="2740" spans="1:16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>
        <v>22</v>
      </c>
      <c r="N2740">
        <v>98.9</v>
      </c>
      <c r="O2740">
        <v>26.763990267639901</v>
      </c>
      <c r="P2740"/>
    </row>
    <row r="2741" spans="1:16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>
        <v>1</v>
      </c>
      <c r="N2741">
        <v>88.89</v>
      </c>
      <c r="O2741">
        <v>25.263157894736839</v>
      </c>
      <c r="P2741"/>
    </row>
    <row r="2742" spans="1:16" hidden="1" x14ac:dyDescent="0.25">
      <c r="A2742" s="11">
        <v>46086</v>
      </c>
      <c r="B2742" t="s">
        <v>43</v>
      </c>
      <c r="C2742" t="s">
        <v>32</v>
      </c>
      <c r="D2742">
        <v>7</v>
      </c>
      <c r="E2742">
        <v>7</v>
      </c>
      <c r="F2742">
        <v>10.57</v>
      </c>
      <c r="G2742">
        <v>0</v>
      </c>
      <c r="H2742">
        <v>0</v>
      </c>
      <c r="I2742" s="3">
        <f>E2742+G2742+H2742</f>
        <v>7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28</v>
      </c>
      <c r="K2742" s="3">
        <f>I2742-J2742</f>
        <v>-21</v>
      </c>
      <c r="L2742" s="3" t="str">
        <f>IF(K2742&lt;-5,"CRÍTICO",IF(K2742&lt;0,"ATENÇÃO",IF(K2742&lt;=5,"BOM","EXCELENTE")))</f>
        <v>CRÍTICO</v>
      </c>
      <c r="M2742">
        <v>52</v>
      </c>
      <c r="N2742">
        <v>98.86</v>
      </c>
      <c r="O2742">
        <v>28.959276018099551</v>
      </c>
      <c r="P2742"/>
    </row>
    <row r="2743" spans="1:16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>
        <v>30</v>
      </c>
      <c r="N2743">
        <v>98.06</v>
      </c>
      <c r="O2743">
        <v>22.40566037735849</v>
      </c>
      <c r="P2743"/>
    </row>
    <row r="2744" spans="1:16" hidden="1" x14ac:dyDescent="0.25">
      <c r="A2744" s="11">
        <v>46086</v>
      </c>
      <c r="B2744" t="s">
        <v>20</v>
      </c>
      <c r="C2744" t="s">
        <v>16</v>
      </c>
      <c r="D2744">
        <v>15</v>
      </c>
      <c r="E2744">
        <v>14</v>
      </c>
      <c r="F2744">
        <v>33.549999999999997</v>
      </c>
      <c r="G2744">
        <v>0</v>
      </c>
      <c r="H2744">
        <v>0</v>
      </c>
      <c r="I2744" s="3">
        <f>E2744+G2744+H2744</f>
        <v>14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8</v>
      </c>
      <c r="K2744" s="3">
        <f>I2744-J2744</f>
        <v>6</v>
      </c>
      <c r="L2744" s="3" t="str">
        <f>IF(K2744&lt;-5,"CRÍTICO",IF(K2744&lt;0,"ATENÇÃO",IF(K2744&lt;=5,"BOM","EXCELENTE")))</f>
        <v>EXCELENTE</v>
      </c>
      <c r="M2744">
        <v>12</v>
      </c>
      <c r="N2744">
        <v>95.83</v>
      </c>
      <c r="O2744">
        <v>25.773195876288661</v>
      </c>
      <c r="P2744"/>
    </row>
    <row r="2745" spans="1:16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>
        <v>0</v>
      </c>
      <c r="N2745">
        <v>100</v>
      </c>
      <c r="O2745">
        <v>15.38461538461539</v>
      </c>
      <c r="P2745"/>
    </row>
    <row r="2746" spans="1:16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  <c r="P2746"/>
    </row>
    <row r="2747" spans="1:16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>
        <v>6</v>
      </c>
      <c r="N2747">
        <v>100</v>
      </c>
      <c r="O2747">
        <v>24.875621890547269</v>
      </c>
      <c r="P2747"/>
    </row>
    <row r="2748" spans="1:16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>
        <v>4</v>
      </c>
      <c r="N2748">
        <v>100</v>
      </c>
      <c r="O2748">
        <v>28.108108108108109</v>
      </c>
      <c r="P2748"/>
    </row>
    <row r="2749" spans="1:16" hidden="1" x14ac:dyDescent="0.25">
      <c r="A2749" s="11">
        <v>46086</v>
      </c>
      <c r="B2749" t="s">
        <v>21</v>
      </c>
      <c r="C2749" t="s">
        <v>16</v>
      </c>
      <c r="D2749">
        <v>0</v>
      </c>
      <c r="E2749">
        <v>0</v>
      </c>
      <c r="F2749">
        <v>0</v>
      </c>
      <c r="G2749">
        <v>0</v>
      </c>
      <c r="H2749">
        <v>0</v>
      </c>
      <c r="I2749" s="3">
        <v>0</v>
      </c>
      <c r="J2749" s="3">
        <v>0</v>
      </c>
      <c r="K2749" s="3">
        <v>0</v>
      </c>
      <c r="L2749" s="3" t="str">
        <f>IF(K2749&lt;-5,"CRÍTICO",IF(K2749&lt;0,"ATENÇÃO",IF(K2749&lt;=5,"OPORTUNO","MUITO BOM")))</f>
        <v>OPORTUNO</v>
      </c>
      <c r="M2749">
        <v>0</v>
      </c>
      <c r="N2749">
        <v>100</v>
      </c>
      <c r="O2749">
        <v>35</v>
      </c>
      <c r="P2749"/>
    </row>
    <row r="2750" spans="1:16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>
        <v>20</v>
      </c>
      <c r="N2750">
        <v>95.35</v>
      </c>
      <c r="O2750">
        <v>28.61538461538461</v>
      </c>
      <c r="P2750"/>
    </row>
    <row r="2751" spans="1:16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>
        <v>32</v>
      </c>
      <c r="N2751">
        <v>98.26</v>
      </c>
      <c r="O2751">
        <v>27.54491017964072</v>
      </c>
      <c r="P2751"/>
    </row>
    <row r="2752" spans="1:16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>
        <v>22</v>
      </c>
      <c r="N2752">
        <v>98.55</v>
      </c>
      <c r="O2752">
        <v>25.337837837837839</v>
      </c>
      <c r="P2752"/>
    </row>
    <row r="2753" spans="1:16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>
        <v>27</v>
      </c>
      <c r="N2753">
        <v>98.39</v>
      </c>
      <c r="O2753">
        <v>25.563909774436091</v>
      </c>
      <c r="P2753"/>
    </row>
    <row r="2754" spans="1:16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>
        <v>16</v>
      </c>
      <c r="N2754">
        <v>94.29</v>
      </c>
      <c r="O2754">
        <v>25.647668393782389</v>
      </c>
      <c r="P2754"/>
    </row>
    <row r="2755" spans="1:16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>
        <v>27</v>
      </c>
      <c r="N2755">
        <v>98.26</v>
      </c>
      <c r="O2755">
        <v>26.666666666666671</v>
      </c>
      <c r="P2755"/>
    </row>
    <row r="2756" spans="1:16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>
        <v>22</v>
      </c>
      <c r="N2756">
        <v>98.2</v>
      </c>
      <c r="O2756">
        <v>23.37962962962963</v>
      </c>
      <c r="P2756"/>
    </row>
    <row r="2757" spans="1:16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>
        <v>27</v>
      </c>
      <c r="N2757">
        <v>97.3</v>
      </c>
      <c r="O2757">
        <v>23.84769539078156</v>
      </c>
      <c r="P2757"/>
    </row>
    <row r="2758" spans="1:16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5</v>
      </c>
      <c r="N2758">
        <v>100</v>
      </c>
      <c r="O2758">
        <v>25.268817204301079</v>
      </c>
      <c r="P2758"/>
    </row>
    <row r="2759" spans="1:16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>
        <v>42</v>
      </c>
      <c r="N2759">
        <v>99.32</v>
      </c>
      <c r="O2759">
        <v>22.822822822822818</v>
      </c>
      <c r="P2759"/>
    </row>
    <row r="2760" spans="1:16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>
        <v>24</v>
      </c>
      <c r="N2760">
        <v>100</v>
      </c>
      <c r="O2760">
        <v>27.966101694915249</v>
      </c>
      <c r="P2760"/>
    </row>
    <row r="2761" spans="1:16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>
        <v>0</v>
      </c>
      <c r="N2761">
        <v>100</v>
      </c>
      <c r="O2761">
        <v>30.434782608695659</v>
      </c>
      <c r="P2761"/>
    </row>
    <row r="2762" spans="1:16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>
        <v>15</v>
      </c>
      <c r="N2762">
        <v>96.51</v>
      </c>
      <c r="O2762">
        <v>22.802850356294542</v>
      </c>
      <c r="P2762"/>
    </row>
    <row r="2763" spans="1:16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>
        <v>0</v>
      </c>
      <c r="N2763">
        <v>92.68</v>
      </c>
      <c r="O2763">
        <v>27.777777777777779</v>
      </c>
      <c r="P2763"/>
    </row>
    <row r="2764" spans="1:16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27</v>
      </c>
      <c r="N2764">
        <v>99.03</v>
      </c>
      <c r="O2764">
        <v>23.991507430997881</v>
      </c>
      <c r="P2764"/>
    </row>
    <row r="2765" spans="1:16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>
        <v>17</v>
      </c>
      <c r="N2765">
        <v>98.41</v>
      </c>
      <c r="O2765">
        <v>28.138528138528141</v>
      </c>
      <c r="P2765"/>
    </row>
    <row r="2766" spans="1:16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>
        <v>29</v>
      </c>
      <c r="N2766">
        <v>98.73</v>
      </c>
      <c r="O2766">
        <v>29.142857142857139</v>
      </c>
      <c r="P2766"/>
    </row>
    <row r="2767" spans="1:16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>
        <v>5</v>
      </c>
      <c r="N2767">
        <v>90.48</v>
      </c>
      <c r="O2767">
        <v>20.68965517241379</v>
      </c>
      <c r="P2767"/>
    </row>
    <row r="2768" spans="1:16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>
        <v>22</v>
      </c>
      <c r="N2768">
        <v>98.06</v>
      </c>
      <c r="O2768">
        <v>24.789915966386559</v>
      </c>
      <c r="P2768"/>
    </row>
    <row r="2769" spans="1:16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>
        <v>21</v>
      </c>
      <c r="N2769">
        <v>97.78</v>
      </c>
      <c r="O2769">
        <v>25.494071146245059</v>
      </c>
      <c r="P2769"/>
    </row>
    <row r="2770" spans="1:16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>
        <v>27</v>
      </c>
      <c r="N2770">
        <v>98.02</v>
      </c>
      <c r="O2770">
        <v>23.484848484848481</v>
      </c>
      <c r="P2770"/>
    </row>
    <row r="2771" spans="1:16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>
        <v>22</v>
      </c>
      <c r="N2771">
        <v>99.28</v>
      </c>
      <c r="O2771">
        <v>27.689243027888441</v>
      </c>
      <c r="P2771"/>
    </row>
    <row r="2772" spans="1:16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>
        <v>26</v>
      </c>
      <c r="N2772">
        <v>100</v>
      </c>
      <c r="O2772">
        <v>27.04918032786885</v>
      </c>
      <c r="P2772"/>
    </row>
    <row r="2773" spans="1:16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>
        <v>48</v>
      </c>
      <c r="N2773">
        <v>97.83</v>
      </c>
      <c r="O2773">
        <v>26.315789473684209</v>
      </c>
      <c r="P2773"/>
    </row>
    <row r="2774" spans="1:16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>
        <v>6</v>
      </c>
      <c r="N2774">
        <v>100</v>
      </c>
      <c r="O2774">
        <v>26.701570680628269</v>
      </c>
      <c r="P2774"/>
    </row>
    <row r="2775" spans="1:16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>
        <v>29</v>
      </c>
      <c r="N2775">
        <v>97.47</v>
      </c>
      <c r="O2775">
        <v>22.887323943661968</v>
      </c>
      <c r="P2775"/>
    </row>
    <row r="2776" spans="1:16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>
        <v>0</v>
      </c>
      <c r="N2776">
        <v>0</v>
      </c>
      <c r="O2776">
        <v>0</v>
      </c>
      <c r="P2776"/>
    </row>
    <row r="2777" spans="1:16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>
        <v>22</v>
      </c>
      <c r="N2777">
        <v>98.31</v>
      </c>
      <c r="O2777">
        <v>24.920127795527151</v>
      </c>
      <c r="P2777"/>
    </row>
    <row r="2778" spans="1:16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>
        <v>9</v>
      </c>
      <c r="N2778">
        <v>96.81</v>
      </c>
      <c r="O2778">
        <v>32.365145228215773</v>
      </c>
      <c r="P2778"/>
    </row>
    <row r="2779" spans="1:16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>
        <v>9</v>
      </c>
      <c r="N2779">
        <v>100</v>
      </c>
      <c r="O2779">
        <v>26.47058823529412</v>
      </c>
      <c r="P2779"/>
    </row>
    <row r="2780" spans="1:16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>
        <v>5</v>
      </c>
      <c r="N2780">
        <v>100</v>
      </c>
      <c r="O2780">
        <v>28.490028490028489</v>
      </c>
      <c r="P2780"/>
    </row>
    <row r="2781" spans="1:16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>
        <v>19</v>
      </c>
      <c r="N2781">
        <v>99.14</v>
      </c>
      <c r="O2781">
        <v>27.2289156626506</v>
      </c>
      <c r="P2781"/>
    </row>
    <row r="2782" spans="1:16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>
        <v>25</v>
      </c>
      <c r="N2782">
        <v>97.52</v>
      </c>
      <c r="O2782">
        <v>28.205128205128201</v>
      </c>
      <c r="P2782"/>
    </row>
    <row r="2783" spans="1:16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>
        <v>19</v>
      </c>
      <c r="N2783">
        <v>90</v>
      </c>
      <c r="O2783">
        <v>24.186046511627911</v>
      </c>
      <c r="P2783"/>
    </row>
    <row r="2784" spans="1:16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>
        <v>20</v>
      </c>
      <c r="N2784">
        <v>98.9</v>
      </c>
      <c r="O2784">
        <v>26.763990267639901</v>
      </c>
      <c r="P2784"/>
    </row>
    <row r="2785" spans="1:16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>
        <v>1</v>
      </c>
      <c r="N2785">
        <v>88.89</v>
      </c>
      <c r="O2785">
        <v>25.263157894736839</v>
      </c>
      <c r="P2785"/>
    </row>
    <row r="2786" spans="1:16" hidden="1" x14ac:dyDescent="0.25">
      <c r="A2786" s="11">
        <v>46087</v>
      </c>
      <c r="B2786" t="s">
        <v>43</v>
      </c>
      <c r="C2786" t="s">
        <v>32</v>
      </c>
      <c r="D2786">
        <v>11</v>
      </c>
      <c r="E2786">
        <v>10</v>
      </c>
      <c r="F2786">
        <v>18.29</v>
      </c>
      <c r="G2786">
        <v>0</v>
      </c>
      <c r="H2786">
        <v>0</v>
      </c>
      <c r="I2786" s="3">
        <f>E2786+G2786+H2786</f>
        <v>10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27</v>
      </c>
      <c r="K2786" s="3">
        <f>I2786-J2786</f>
        <v>-17</v>
      </c>
      <c r="L2786" s="3" t="str">
        <f>IF(K2786&lt;-5,"CRÍTICO",IF(K2786&lt;0,"ATENÇÃO",IF(K2786&lt;=5,"OPORTUNO","MUITO BOM")))</f>
        <v>CRÍTICO</v>
      </c>
      <c r="M2786">
        <v>48</v>
      </c>
      <c r="N2786">
        <v>98.86</v>
      </c>
      <c r="O2786">
        <v>28.959276018099551</v>
      </c>
      <c r="P2786"/>
    </row>
    <row r="2787" spans="1:16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>
        <v>26</v>
      </c>
      <c r="N2787">
        <v>98.06</v>
      </c>
      <c r="O2787">
        <v>22.40566037735849</v>
      </c>
      <c r="P2787"/>
    </row>
    <row r="2788" spans="1:16" hidden="1" x14ac:dyDescent="0.25">
      <c r="A2788" s="11">
        <v>46087</v>
      </c>
      <c r="B2788" t="s">
        <v>20</v>
      </c>
      <c r="C2788" t="s">
        <v>16</v>
      </c>
      <c r="D2788">
        <v>5</v>
      </c>
      <c r="E2788">
        <v>4</v>
      </c>
      <c r="F2788">
        <v>75.33</v>
      </c>
      <c r="G2788">
        <v>0</v>
      </c>
      <c r="H2788">
        <v>0</v>
      </c>
      <c r="I2788" s="3">
        <f>E2788+G2788+H2788</f>
        <v>4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8</v>
      </c>
      <c r="K2788" s="3">
        <f>I2788-J2788</f>
        <v>-4</v>
      </c>
      <c r="L2788" s="3" t="str">
        <f>IF(K2788&lt;-5,"CRÍTICO",IF(K2788&lt;0,"ATENÇÃO",IF(K2788&lt;=5,"OPORTUNO","MUITO BOM")))</f>
        <v>ATENÇÃO</v>
      </c>
      <c r="M2788">
        <v>2</v>
      </c>
      <c r="N2788">
        <v>95.83</v>
      </c>
      <c r="O2788">
        <v>25.773195876288661</v>
      </c>
      <c r="P2788"/>
    </row>
    <row r="2789" spans="1:16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>
        <v>0</v>
      </c>
      <c r="N2789">
        <v>100</v>
      </c>
      <c r="O2789">
        <v>15.38461538461539</v>
      </c>
      <c r="P2789"/>
    </row>
    <row r="2790" spans="1:16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>
        <v>26</v>
      </c>
      <c r="N2790">
        <v>100</v>
      </c>
      <c r="O2790">
        <v>27.514792899408281</v>
      </c>
      <c r="P2790"/>
    </row>
    <row r="2791" spans="1:16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>
        <v>14</v>
      </c>
      <c r="N2791">
        <v>100</v>
      </c>
      <c r="O2791">
        <v>24.875621890547269</v>
      </c>
      <c r="P2791"/>
    </row>
    <row r="2792" spans="1:16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>
        <v>4</v>
      </c>
      <c r="N2792">
        <v>100</v>
      </c>
      <c r="O2792">
        <v>28.108108108108109</v>
      </c>
      <c r="P2792"/>
    </row>
    <row r="2793" spans="1:16" hidden="1" x14ac:dyDescent="0.25">
      <c r="A2793" s="11">
        <v>46087</v>
      </c>
      <c r="B2793" t="s">
        <v>21</v>
      </c>
      <c r="C2793" t="s">
        <v>16</v>
      </c>
      <c r="D2793">
        <v>0</v>
      </c>
      <c r="E2793">
        <v>0</v>
      </c>
      <c r="F2793">
        <v>0</v>
      </c>
      <c r="G2793">
        <v>0</v>
      </c>
      <c r="H279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>
        <v>0</v>
      </c>
      <c r="N2793">
        <v>100</v>
      </c>
      <c r="O2793">
        <v>35</v>
      </c>
      <c r="P2793"/>
    </row>
    <row r="2794" spans="1:16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>
        <v>14</v>
      </c>
      <c r="N2794">
        <v>95.35</v>
      </c>
      <c r="O2794">
        <v>28.61538461538461</v>
      </c>
      <c r="P2794"/>
    </row>
    <row r="2795" spans="1:16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>
        <v>39</v>
      </c>
      <c r="N2795">
        <v>98.26</v>
      </c>
      <c r="O2795">
        <v>27.54491017964072</v>
      </c>
      <c r="P2795"/>
    </row>
    <row r="2796" spans="1:16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>
        <v>13</v>
      </c>
      <c r="N2796">
        <v>98.55</v>
      </c>
      <c r="O2796">
        <v>25.337837837837839</v>
      </c>
      <c r="P2796"/>
    </row>
    <row r="2797" spans="1:16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>
        <v>29</v>
      </c>
      <c r="N2797">
        <v>98.39</v>
      </c>
      <c r="O2797">
        <v>25.563909774436091</v>
      </c>
      <c r="P2797"/>
    </row>
    <row r="2798" spans="1:16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>
        <v>18</v>
      </c>
      <c r="N2798">
        <v>94.29</v>
      </c>
      <c r="O2798">
        <v>25.647668393782389</v>
      </c>
      <c r="P2798"/>
    </row>
    <row r="2799" spans="1:16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>
        <v>24</v>
      </c>
      <c r="N2799">
        <v>98.26</v>
      </c>
      <c r="O2799">
        <v>26.666666666666671</v>
      </c>
      <c r="P2799"/>
    </row>
    <row r="2800" spans="1:16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>
        <v>18</v>
      </c>
      <c r="N2800">
        <v>98.2</v>
      </c>
      <c r="O2800">
        <v>23.37962962962963</v>
      </c>
      <c r="P2800"/>
    </row>
    <row r="2801" spans="1:16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>
        <v>19</v>
      </c>
      <c r="N2801">
        <v>97.3</v>
      </c>
      <c r="O2801">
        <v>23.84769539078156</v>
      </c>
      <c r="P2801"/>
    </row>
    <row r="2802" spans="1:16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>
        <v>8</v>
      </c>
      <c r="N2802">
        <v>100</v>
      </c>
      <c r="O2802">
        <v>25.268817204301079</v>
      </c>
      <c r="P2802"/>
    </row>
    <row r="2803" spans="1:16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>
        <v>36</v>
      </c>
      <c r="N2803">
        <v>99.32</v>
      </c>
      <c r="O2803">
        <v>22.822822822822818</v>
      </c>
      <c r="P2803"/>
    </row>
    <row r="2804" spans="1:16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>
        <v>9</v>
      </c>
      <c r="N2804">
        <v>100</v>
      </c>
      <c r="O2804">
        <v>27.966101694915249</v>
      </c>
      <c r="P2804"/>
    </row>
    <row r="2805" spans="1:16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>
        <v>0</v>
      </c>
      <c r="N2805">
        <v>100</v>
      </c>
      <c r="O2805">
        <v>30.434782608695659</v>
      </c>
      <c r="P2805"/>
    </row>
    <row r="2806" spans="1:16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>
        <v>18</v>
      </c>
      <c r="N2806">
        <v>96.51</v>
      </c>
      <c r="O2806">
        <v>22.802850356294542</v>
      </c>
      <c r="P2806"/>
    </row>
    <row r="2807" spans="1:16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>
        <v>29</v>
      </c>
      <c r="N2807">
        <v>92.68</v>
      </c>
      <c r="O2807">
        <v>27.777777777777779</v>
      </c>
      <c r="P2807"/>
    </row>
    <row r="2808" spans="1:16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>
        <v>21</v>
      </c>
      <c r="N2808">
        <v>99.03</v>
      </c>
      <c r="O2808">
        <v>23.991507430997881</v>
      </c>
      <c r="P2808"/>
    </row>
    <row r="2809" spans="1:16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>
        <v>12</v>
      </c>
      <c r="N2809">
        <v>98.41</v>
      </c>
      <c r="O2809">
        <v>28.138528138528141</v>
      </c>
      <c r="P2809"/>
    </row>
    <row r="2810" spans="1:16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  <c r="P2810"/>
    </row>
    <row r="2811" spans="1:16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>
        <v>4</v>
      </c>
      <c r="N2811">
        <v>90.48</v>
      </c>
      <c r="O2811">
        <v>20.68965517241379</v>
      </c>
      <c r="P2811"/>
    </row>
    <row r="2812" spans="1:16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>
        <v>23</v>
      </c>
      <c r="N2812">
        <v>98.06</v>
      </c>
      <c r="O2812">
        <v>24.789915966386559</v>
      </c>
      <c r="P2812"/>
    </row>
    <row r="2813" spans="1:16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>
        <v>23</v>
      </c>
      <c r="N2813">
        <v>97.78</v>
      </c>
      <c r="O2813">
        <v>25.494071146245059</v>
      </c>
      <c r="P2813"/>
    </row>
    <row r="2814" spans="1:16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>
        <v>0</v>
      </c>
      <c r="N2814">
        <v>98.02</v>
      </c>
      <c r="O2814">
        <v>23.484848484848481</v>
      </c>
      <c r="P2814"/>
    </row>
    <row r="2815" spans="1:16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>
        <v>18</v>
      </c>
      <c r="N2815">
        <v>99.28</v>
      </c>
      <c r="O2815">
        <v>27.689243027888441</v>
      </c>
      <c r="P2815"/>
    </row>
    <row r="2816" spans="1:16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>
        <v>16</v>
      </c>
      <c r="N2816">
        <v>100</v>
      </c>
      <c r="O2816">
        <v>27.04918032786885</v>
      </c>
      <c r="P2816"/>
    </row>
    <row r="2817" spans="1:16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>
        <v>41</v>
      </c>
      <c r="N2817">
        <v>97.83</v>
      </c>
      <c r="O2817">
        <v>26.315789473684209</v>
      </c>
      <c r="P2817"/>
    </row>
    <row r="2818" spans="1:16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>
        <v>6</v>
      </c>
      <c r="N2818">
        <v>100</v>
      </c>
      <c r="O2818">
        <v>26.701570680628269</v>
      </c>
      <c r="P2818"/>
    </row>
    <row r="2819" spans="1:16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>
        <v>24</v>
      </c>
      <c r="N2819">
        <v>97.47</v>
      </c>
      <c r="O2819">
        <v>22.887323943661968</v>
      </c>
      <c r="P2819"/>
    </row>
    <row r="2820" spans="1:16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>
        <v>0</v>
      </c>
      <c r="N2820">
        <v>0</v>
      </c>
      <c r="O2820">
        <v>0</v>
      </c>
      <c r="P2820"/>
    </row>
    <row r="2821" spans="1:16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>
        <v>9</v>
      </c>
      <c r="N2821">
        <v>98.31</v>
      </c>
      <c r="O2821">
        <v>24.920127795527151</v>
      </c>
      <c r="P2821"/>
    </row>
    <row r="2822" spans="1:16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>
        <v>12</v>
      </c>
      <c r="N2822">
        <v>96.81</v>
      </c>
      <c r="O2822">
        <v>32.365145228215773</v>
      </c>
      <c r="P2822"/>
    </row>
    <row r="2823" spans="1:16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3</v>
      </c>
      <c r="N2823">
        <v>100</v>
      </c>
      <c r="O2823">
        <v>26.47058823529412</v>
      </c>
      <c r="P2823"/>
    </row>
    <row r="2824" spans="1:16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>
        <v>13</v>
      </c>
      <c r="N2824">
        <v>100</v>
      </c>
      <c r="O2824">
        <v>28.490028490028489</v>
      </c>
      <c r="P2824"/>
    </row>
    <row r="2825" spans="1:16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>
        <v>12</v>
      </c>
      <c r="N2825">
        <v>99.14</v>
      </c>
      <c r="O2825">
        <v>27.2289156626506</v>
      </c>
      <c r="P2825"/>
    </row>
    <row r="2826" spans="1:16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>
        <v>8</v>
      </c>
      <c r="N2826">
        <v>97.52</v>
      </c>
      <c r="O2826">
        <v>28.205128205128201</v>
      </c>
      <c r="P2826"/>
    </row>
    <row r="2827" spans="1:16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>
        <v>15</v>
      </c>
      <c r="N2827">
        <v>90</v>
      </c>
      <c r="O2827">
        <v>24.186046511627911</v>
      </c>
      <c r="P2827"/>
    </row>
    <row r="2828" spans="1:16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>
        <v>18</v>
      </c>
      <c r="N2828">
        <v>98.9</v>
      </c>
      <c r="O2828">
        <v>26.763990267639901</v>
      </c>
      <c r="P2828"/>
    </row>
    <row r="2829" spans="1:16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>
        <v>0</v>
      </c>
      <c r="N2829">
        <v>88.89</v>
      </c>
      <c r="O2829">
        <v>25.263157894736839</v>
      </c>
      <c r="P2829"/>
    </row>
    <row r="2830" spans="1:16" hidden="1" x14ac:dyDescent="0.25">
      <c r="A2830" s="11">
        <v>46090</v>
      </c>
      <c r="B2830" t="s">
        <v>43</v>
      </c>
      <c r="C2830" t="s">
        <v>32</v>
      </c>
      <c r="D2830">
        <v>35</v>
      </c>
      <c r="E2830">
        <v>35</v>
      </c>
      <c r="F2830">
        <v>20.02</v>
      </c>
      <c r="G2830">
        <v>0</v>
      </c>
      <c r="H2830">
        <v>0</v>
      </c>
      <c r="I2830" s="3">
        <f>E2830+G2830+H2830</f>
        <v>35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21</v>
      </c>
      <c r="K2830" s="3">
        <f>I2830-J2830</f>
        <v>14</v>
      </c>
      <c r="L2830" s="3" t="str">
        <f>IF(K2830&lt;-5,"CRÍTICO",IF(K2830&lt;0,"ATENÇÃO",IF(K2830&lt;=5,"OPORTUNO","MUITO BOM")))</f>
        <v>MUITO BOM</v>
      </c>
      <c r="M2830">
        <v>30</v>
      </c>
      <c r="N2830">
        <v>98.86</v>
      </c>
      <c r="O2830">
        <v>28.959276018099551</v>
      </c>
      <c r="P2830"/>
    </row>
    <row r="2831" spans="1:16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>
        <v>20</v>
      </c>
      <c r="N2831">
        <v>98.06</v>
      </c>
      <c r="O2831">
        <v>22.40566037735849</v>
      </c>
      <c r="P2831"/>
    </row>
    <row r="2832" spans="1:16" hidden="1" x14ac:dyDescent="0.25">
      <c r="A2832" s="11">
        <v>46090</v>
      </c>
      <c r="B2832" t="s">
        <v>20</v>
      </c>
      <c r="C2832" t="s">
        <v>16</v>
      </c>
      <c r="D2832">
        <v>3</v>
      </c>
      <c r="E2832">
        <v>3</v>
      </c>
      <c r="F2832">
        <v>90.51</v>
      </c>
      <c r="G2832">
        <v>0</v>
      </c>
      <c r="H2832">
        <v>0</v>
      </c>
      <c r="I2832" s="3">
        <f>E2832+G2832+H2832</f>
        <v>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6</v>
      </c>
      <c r="K2832" s="3">
        <f>I2832-J2832</f>
        <v>-3</v>
      </c>
      <c r="L2832" s="3" t="str">
        <f>IF(K2832&lt;-5,"CRÍTICO",IF(K2832&lt;0,"ATENÇÃO",IF(K2832&lt;=5,"OPORTUNO","MUITO BOM")))</f>
        <v>ATENÇÃO</v>
      </c>
      <c r="M2832">
        <v>3</v>
      </c>
      <c r="N2832">
        <v>95.83</v>
      </c>
      <c r="O2832">
        <v>25.773195876288661</v>
      </c>
      <c r="P2832"/>
    </row>
    <row r="2833" spans="1:16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>
        <v>0</v>
      </c>
      <c r="N2833">
        <v>100</v>
      </c>
      <c r="O2833">
        <v>15.38461538461539</v>
      </c>
      <c r="P2833"/>
    </row>
    <row r="2834" spans="1:16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>
        <v>11</v>
      </c>
      <c r="N2834">
        <v>100</v>
      </c>
      <c r="O2834">
        <v>27.514792899408281</v>
      </c>
      <c r="P2834"/>
    </row>
    <row r="2835" spans="1:16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>
        <v>3</v>
      </c>
      <c r="N2835">
        <v>100</v>
      </c>
      <c r="O2835">
        <v>24.875621890547269</v>
      </c>
      <c r="P2835"/>
    </row>
    <row r="2836" spans="1:16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>
        <v>4</v>
      </c>
      <c r="N2836">
        <v>100</v>
      </c>
      <c r="O2836">
        <v>28.108108108108109</v>
      </c>
      <c r="P2836"/>
    </row>
    <row r="2837" spans="1:16" hidden="1" x14ac:dyDescent="0.25">
      <c r="A2837" s="11">
        <v>46090</v>
      </c>
      <c r="B2837" t="s">
        <v>21</v>
      </c>
      <c r="C2837" t="s">
        <v>16</v>
      </c>
      <c r="D2837">
        <v>0</v>
      </c>
      <c r="E2837">
        <v>0</v>
      </c>
      <c r="F2837">
        <v>0</v>
      </c>
      <c r="G2837">
        <v>0</v>
      </c>
      <c r="H2837">
        <v>0</v>
      </c>
      <c r="I2837" s="3">
        <v>0</v>
      </c>
      <c r="J2837" s="3">
        <v>0</v>
      </c>
      <c r="K2837" s="3">
        <v>0</v>
      </c>
      <c r="L2837" s="3" t="str">
        <f>IF(K2837&lt;-5,"CRÍTICO",IF(K2837&lt;0,"ATENÇÃO",IF(K2837&lt;=5,"OPORTUNO","MUITO BOM")))</f>
        <v>OPORTUNO</v>
      </c>
      <c r="M2837">
        <v>0</v>
      </c>
      <c r="N2837">
        <v>100</v>
      </c>
      <c r="O2837">
        <v>35</v>
      </c>
      <c r="P2837"/>
    </row>
    <row r="2838" spans="1:16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>
        <v>0</v>
      </c>
      <c r="N2838">
        <v>95.35</v>
      </c>
      <c r="O2838">
        <v>28.61538461538461</v>
      </c>
      <c r="P2838"/>
    </row>
    <row r="2839" spans="1:16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>
        <v>32</v>
      </c>
      <c r="N2839">
        <v>98.26</v>
      </c>
      <c r="O2839">
        <v>27.54491017964072</v>
      </c>
      <c r="P2839"/>
    </row>
    <row r="2840" spans="1:16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>
        <v>8</v>
      </c>
      <c r="N2840">
        <v>98.55</v>
      </c>
      <c r="O2840">
        <v>25.337837837837839</v>
      </c>
      <c r="P2840"/>
    </row>
    <row r="2841" spans="1:16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>
        <v>22</v>
      </c>
      <c r="N2841">
        <v>98.39</v>
      </c>
      <c r="O2841">
        <v>25.563909774436091</v>
      </c>
      <c r="P2841"/>
    </row>
    <row r="2842" spans="1:16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>
        <v>20</v>
      </c>
      <c r="N2842">
        <v>94.29</v>
      </c>
      <c r="O2842">
        <v>25.647668393782389</v>
      </c>
      <c r="P2842"/>
    </row>
    <row r="2843" spans="1:16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>
        <v>24</v>
      </c>
      <c r="N2843">
        <v>98.26</v>
      </c>
      <c r="O2843">
        <v>26.666666666666671</v>
      </c>
      <c r="P2843"/>
    </row>
    <row r="2844" spans="1:16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>
        <v>17</v>
      </c>
      <c r="N2844">
        <v>98.2</v>
      </c>
      <c r="O2844">
        <v>23.37962962962963</v>
      </c>
      <c r="P2844"/>
    </row>
    <row r="2845" spans="1:16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>
        <v>17</v>
      </c>
      <c r="N2845">
        <v>97.3</v>
      </c>
      <c r="O2845">
        <v>23.84769539078156</v>
      </c>
      <c r="P2845"/>
    </row>
    <row r="2846" spans="1:16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>
        <v>7</v>
      </c>
      <c r="N2846">
        <v>100</v>
      </c>
      <c r="O2846">
        <v>25.268817204301079</v>
      </c>
      <c r="P2846"/>
    </row>
    <row r="2847" spans="1:16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>
        <v>33</v>
      </c>
      <c r="N2847">
        <v>99.32</v>
      </c>
      <c r="O2847">
        <v>22.822822822822818</v>
      </c>
      <c r="P2847"/>
    </row>
    <row r="2848" spans="1:16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>
        <v>18</v>
      </c>
      <c r="N2848">
        <v>100</v>
      </c>
      <c r="O2848">
        <v>27.966101694915249</v>
      </c>
      <c r="P2848"/>
    </row>
    <row r="2849" spans="1:16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>
        <v>0</v>
      </c>
      <c r="N2849">
        <v>100</v>
      </c>
      <c r="O2849">
        <v>30.434782608695659</v>
      </c>
      <c r="P2849"/>
    </row>
    <row r="2850" spans="1:16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>
        <v>23</v>
      </c>
      <c r="N2850">
        <v>96.51</v>
      </c>
      <c r="O2850">
        <v>22.802850356294542</v>
      </c>
      <c r="P2850"/>
    </row>
    <row r="2851" spans="1:16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>
        <v>20</v>
      </c>
      <c r="N2851">
        <v>92.68</v>
      </c>
      <c r="O2851">
        <v>27.777777777777779</v>
      </c>
      <c r="P2851"/>
    </row>
    <row r="2852" spans="1:16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>
        <v>19</v>
      </c>
      <c r="N2852">
        <v>99.03</v>
      </c>
      <c r="O2852">
        <v>23.991507430997881</v>
      </c>
      <c r="P2852"/>
    </row>
    <row r="2853" spans="1:16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>
        <v>12</v>
      </c>
      <c r="N2853">
        <v>98.41</v>
      </c>
      <c r="O2853">
        <v>28.138528138528141</v>
      </c>
      <c r="P2853"/>
    </row>
    <row r="2854" spans="1:16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>
        <v>31</v>
      </c>
      <c r="N2854">
        <v>98.73</v>
      </c>
      <c r="O2854">
        <v>29.142857142857139</v>
      </c>
      <c r="P2854"/>
    </row>
    <row r="2855" spans="1:16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>
        <v>5</v>
      </c>
      <c r="N2855">
        <v>90.48</v>
      </c>
      <c r="O2855">
        <v>20.68965517241379</v>
      </c>
      <c r="P2855"/>
    </row>
    <row r="2856" spans="1:16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>
        <v>14</v>
      </c>
      <c r="N2856">
        <v>98.06</v>
      </c>
      <c r="O2856">
        <v>24.789915966386559</v>
      </c>
      <c r="P2856"/>
    </row>
    <row r="2857" spans="1:16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>
        <v>12</v>
      </c>
      <c r="N2857">
        <v>97.78</v>
      </c>
      <c r="O2857">
        <v>25.494071146245059</v>
      </c>
      <c r="P2857"/>
    </row>
    <row r="2858" spans="1:16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>
        <v>14</v>
      </c>
      <c r="N2858">
        <v>98.02</v>
      </c>
      <c r="O2858">
        <v>23.484848484848481</v>
      </c>
      <c r="P2858"/>
    </row>
    <row r="2859" spans="1:16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>
        <v>22</v>
      </c>
      <c r="N2859">
        <v>99.28</v>
      </c>
      <c r="O2859">
        <v>27.689243027888441</v>
      </c>
      <c r="P2859"/>
    </row>
    <row r="2860" spans="1:16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23</v>
      </c>
      <c r="N2860">
        <v>100</v>
      </c>
      <c r="O2860">
        <v>27.04918032786885</v>
      </c>
      <c r="P2860"/>
    </row>
    <row r="2861" spans="1:16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>
        <v>35</v>
      </c>
      <c r="N2861">
        <v>97.83</v>
      </c>
      <c r="O2861">
        <v>26.315789473684209</v>
      </c>
      <c r="P2861"/>
    </row>
    <row r="2862" spans="1:16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>
        <v>10</v>
      </c>
      <c r="N2862">
        <v>100</v>
      </c>
      <c r="O2862">
        <v>26.701570680628269</v>
      </c>
      <c r="P2862"/>
    </row>
    <row r="2863" spans="1:16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>
        <v>16</v>
      </c>
      <c r="N2863">
        <v>97.47</v>
      </c>
      <c r="O2863">
        <v>22.887323943661968</v>
      </c>
      <c r="P2863"/>
    </row>
    <row r="2864" spans="1:16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>
        <v>0</v>
      </c>
      <c r="N2864">
        <v>0</v>
      </c>
      <c r="O2864">
        <v>0</v>
      </c>
      <c r="P2864"/>
    </row>
    <row r="2865" spans="1:16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>
        <v>8</v>
      </c>
      <c r="N2865">
        <v>98.31</v>
      </c>
      <c r="O2865">
        <v>24.920127795527151</v>
      </c>
      <c r="P2865"/>
    </row>
    <row r="2866" spans="1:16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>
        <v>14</v>
      </c>
      <c r="N2866">
        <v>96.81</v>
      </c>
      <c r="O2866">
        <v>32.365145228215773</v>
      </c>
      <c r="P2866"/>
    </row>
    <row r="2867" spans="1:16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>
        <v>10</v>
      </c>
      <c r="N2867">
        <v>100</v>
      </c>
      <c r="O2867">
        <v>26.47058823529412</v>
      </c>
      <c r="P2867"/>
    </row>
    <row r="2868" spans="1:16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>
        <v>19</v>
      </c>
      <c r="N2868">
        <v>100</v>
      </c>
      <c r="O2868">
        <v>28.490028490028489</v>
      </c>
      <c r="P2868"/>
    </row>
    <row r="2869" spans="1:16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>
        <v>16</v>
      </c>
      <c r="N2869">
        <v>99.14</v>
      </c>
      <c r="O2869">
        <v>27.2289156626506</v>
      </c>
      <c r="P2869"/>
    </row>
    <row r="2870" spans="1:16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>
        <v>27</v>
      </c>
      <c r="N2870">
        <v>97.52</v>
      </c>
      <c r="O2870">
        <v>28.205128205128201</v>
      </c>
      <c r="P2870"/>
    </row>
    <row r="2871" spans="1:16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>
        <v>17</v>
      </c>
      <c r="N2871">
        <v>90</v>
      </c>
      <c r="O2871">
        <v>24.186046511627911</v>
      </c>
      <c r="P2871"/>
    </row>
    <row r="2872" spans="1:16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>
        <v>17</v>
      </c>
      <c r="N2872">
        <v>98.9</v>
      </c>
      <c r="O2872">
        <v>26.763990267639901</v>
      </c>
      <c r="P2872"/>
    </row>
    <row r="2873" spans="1:16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>
        <v>6</v>
      </c>
      <c r="N2873">
        <v>88.89</v>
      </c>
      <c r="O2873">
        <v>25.263157894736839</v>
      </c>
      <c r="P2873"/>
    </row>
    <row r="2874" spans="1:16" hidden="1" x14ac:dyDescent="0.25">
      <c r="A2874" s="11">
        <v>46091</v>
      </c>
      <c r="B2874" t="s">
        <v>43</v>
      </c>
      <c r="C2874" t="s">
        <v>32</v>
      </c>
      <c r="D2874">
        <v>25</v>
      </c>
      <c r="E2874">
        <v>24</v>
      </c>
      <c r="F2874">
        <v>18.29</v>
      </c>
      <c r="G2874">
        <v>0</v>
      </c>
      <c r="H2874">
        <v>0</v>
      </c>
      <c r="I2874" s="3">
        <f>E2874+G2874+H2874</f>
        <v>24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21</v>
      </c>
      <c r="K2874" s="3">
        <f>I2874-J2874</f>
        <v>3</v>
      </c>
      <c r="L2874" s="3" t="str">
        <f>IF(K2874&lt;-5,"CRÍTICO",IF(K2874&lt;0,"ATENÇÃO",IF(K2874&lt;=5,"OPORTUNO","MUITO BOM")))</f>
        <v>OPORTUNO</v>
      </c>
      <c r="M2874">
        <v>22</v>
      </c>
      <c r="N2874">
        <v>98.86</v>
      </c>
      <c r="O2874">
        <v>28.959276018099551</v>
      </c>
      <c r="P2874"/>
    </row>
    <row r="2875" spans="1:16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>
        <v>24</v>
      </c>
      <c r="N2875">
        <v>98.06</v>
      </c>
      <c r="O2875">
        <v>22.40566037735849</v>
      </c>
      <c r="P2875"/>
    </row>
    <row r="2876" spans="1:16" hidden="1" x14ac:dyDescent="0.25">
      <c r="A2876" s="11">
        <v>46091</v>
      </c>
      <c r="B2876" t="s">
        <v>20</v>
      </c>
      <c r="C2876" t="s">
        <v>16</v>
      </c>
      <c r="D2876">
        <v>4</v>
      </c>
      <c r="E2876">
        <v>4</v>
      </c>
      <c r="F2876">
        <v>85.25</v>
      </c>
      <c r="G2876">
        <v>0</v>
      </c>
      <c r="H2876">
        <v>0</v>
      </c>
      <c r="I2876" s="3">
        <f>E2876+G2876+H2876</f>
        <v>4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6</v>
      </c>
      <c r="K2876" s="3">
        <f>I2876-J2876</f>
        <v>-2</v>
      </c>
      <c r="L2876" s="3" t="str">
        <f>IF(K2876&lt;-5,"CRÍTICO",IF(K2876&lt;0,"ATENÇÃO",IF(K2876&lt;=5,"OPORTUNO","MUITO BOM")))</f>
        <v>ATENÇÃO</v>
      </c>
      <c r="M2876">
        <v>3</v>
      </c>
      <c r="N2876">
        <v>95.83</v>
      </c>
      <c r="O2876">
        <v>25.773195876288661</v>
      </c>
      <c r="P2876"/>
    </row>
    <row r="2877" spans="1:16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>
        <v>0</v>
      </c>
      <c r="N2877">
        <v>100</v>
      </c>
      <c r="O2877">
        <v>15.38461538461539</v>
      </c>
      <c r="P2877"/>
    </row>
    <row r="2878" spans="1:16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>
        <v>16</v>
      </c>
      <c r="N2878">
        <v>100</v>
      </c>
      <c r="O2878">
        <v>27.514792899408281</v>
      </c>
      <c r="P2878"/>
    </row>
    <row r="2879" spans="1:16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>
        <v>6</v>
      </c>
      <c r="N2879">
        <v>100</v>
      </c>
      <c r="O2879">
        <v>24.875621890547269</v>
      </c>
      <c r="P2879"/>
    </row>
    <row r="2880" spans="1:16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>
        <v>8</v>
      </c>
      <c r="N2880">
        <v>100</v>
      </c>
      <c r="O2880">
        <v>28.108108108108109</v>
      </c>
      <c r="P2880"/>
    </row>
    <row r="2881" spans="1:16" hidden="1" x14ac:dyDescent="0.25">
      <c r="A2881" s="11">
        <v>46091</v>
      </c>
      <c r="B2881" t="s">
        <v>21</v>
      </c>
      <c r="C2881" t="s">
        <v>16</v>
      </c>
      <c r="D2881">
        <v>0</v>
      </c>
      <c r="E2881">
        <v>0</v>
      </c>
      <c r="F2881">
        <v>0</v>
      </c>
      <c r="G2881">
        <v>0</v>
      </c>
      <c r="H2881">
        <v>0</v>
      </c>
      <c r="I2881" s="3">
        <v>0</v>
      </c>
      <c r="J2881" s="3">
        <v>0</v>
      </c>
      <c r="K2881" s="3">
        <v>0</v>
      </c>
      <c r="L2881" s="3" t="str">
        <f>IF(K2881&lt;-5,"CRÍTICO",IF(K2881&lt;0,"ATENÇÃO",IF(K2881&lt;=5,"OPORTUNO","MUITO BOM")))</f>
        <v>OPORTUNO</v>
      </c>
      <c r="M2881">
        <v>0</v>
      </c>
      <c r="N2881">
        <v>100</v>
      </c>
      <c r="O2881">
        <v>35</v>
      </c>
      <c r="P2881"/>
    </row>
    <row r="2882" spans="1:16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95.35</v>
      </c>
      <c r="O2882">
        <v>28.61538461538461</v>
      </c>
      <c r="P2882"/>
    </row>
    <row r="2883" spans="1:16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>
        <v>38</v>
      </c>
      <c r="N2883">
        <v>98.26</v>
      </c>
      <c r="O2883">
        <v>27.54491017964072</v>
      </c>
      <c r="P2883"/>
    </row>
    <row r="2884" spans="1:16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>
        <v>14</v>
      </c>
      <c r="N2884">
        <v>98.55</v>
      </c>
      <c r="O2884">
        <v>25.337837837837839</v>
      </c>
      <c r="P2884"/>
    </row>
    <row r="2885" spans="1:16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>
        <v>18</v>
      </c>
      <c r="N2885">
        <v>98.39</v>
      </c>
      <c r="O2885">
        <v>25.563909774436091</v>
      </c>
      <c r="P2885"/>
    </row>
    <row r="2886" spans="1:16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>
        <v>24</v>
      </c>
      <c r="N2886">
        <v>94.29</v>
      </c>
      <c r="O2886">
        <v>25.647668393782389</v>
      </c>
      <c r="P2886"/>
    </row>
    <row r="2887" spans="1:16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>
        <v>18</v>
      </c>
      <c r="N2887">
        <v>98.26</v>
      </c>
      <c r="O2887">
        <v>26.666666666666671</v>
      </c>
      <c r="P2887"/>
    </row>
    <row r="2888" spans="1:16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>
        <v>16</v>
      </c>
      <c r="N2888">
        <v>98.2</v>
      </c>
      <c r="O2888">
        <v>23.37962962962963</v>
      </c>
      <c r="P2888"/>
    </row>
    <row r="2889" spans="1:16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>
        <v>24</v>
      </c>
      <c r="N2889">
        <v>97.3</v>
      </c>
      <c r="O2889">
        <v>23.84769539078156</v>
      </c>
      <c r="P2889"/>
    </row>
    <row r="2890" spans="1:16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>
        <v>7</v>
      </c>
      <c r="N2890">
        <v>100</v>
      </c>
      <c r="O2890">
        <v>25.268817204301079</v>
      </c>
      <c r="P2890"/>
    </row>
    <row r="2891" spans="1:16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>
        <v>33</v>
      </c>
      <c r="N2891">
        <v>99.32</v>
      </c>
      <c r="O2891">
        <v>22.822822822822818</v>
      </c>
      <c r="P2891"/>
    </row>
    <row r="2892" spans="1:16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>
        <v>11</v>
      </c>
      <c r="N2892">
        <v>100</v>
      </c>
      <c r="O2892">
        <v>27.966101694915249</v>
      </c>
      <c r="P2892"/>
    </row>
    <row r="2893" spans="1:16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>
        <v>0</v>
      </c>
      <c r="N2893">
        <v>100</v>
      </c>
      <c r="O2893">
        <v>30.434782608695659</v>
      </c>
      <c r="P2893"/>
    </row>
    <row r="2894" spans="1:16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>
        <v>17</v>
      </c>
      <c r="N2894">
        <v>96.51</v>
      </c>
      <c r="O2894">
        <v>22.802850356294542</v>
      </c>
      <c r="P2894"/>
    </row>
    <row r="2895" spans="1:16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>
        <v>12</v>
      </c>
      <c r="N2895">
        <v>92.68</v>
      </c>
      <c r="O2895">
        <v>27.777777777777779</v>
      </c>
      <c r="P2895"/>
    </row>
    <row r="2896" spans="1:16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18</v>
      </c>
      <c r="N2896">
        <v>99.03</v>
      </c>
      <c r="O2896">
        <v>23.991507430997881</v>
      </c>
      <c r="P2896"/>
    </row>
    <row r="2897" spans="1:16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>
        <v>11</v>
      </c>
      <c r="N2897">
        <v>98.41</v>
      </c>
      <c r="O2897">
        <v>28.138528138528141</v>
      </c>
      <c r="P2897"/>
    </row>
    <row r="2898" spans="1:16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>
        <v>28</v>
      </c>
      <c r="N2898">
        <v>98.73</v>
      </c>
      <c r="O2898">
        <v>29.142857142857139</v>
      </c>
      <c r="P2898"/>
    </row>
    <row r="2899" spans="1:16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>
        <v>5</v>
      </c>
      <c r="N2899">
        <v>90.48</v>
      </c>
      <c r="O2899">
        <v>20.68965517241379</v>
      </c>
      <c r="P2899"/>
    </row>
    <row r="2900" spans="1:16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>
        <v>14</v>
      </c>
      <c r="N2900">
        <v>98.06</v>
      </c>
      <c r="O2900">
        <v>24.789915966386559</v>
      </c>
      <c r="P2900"/>
    </row>
    <row r="2901" spans="1:16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>
        <v>26</v>
      </c>
      <c r="N2901">
        <v>97.78</v>
      </c>
      <c r="O2901">
        <v>25.494071146245059</v>
      </c>
      <c r="P2901"/>
    </row>
    <row r="2902" spans="1:16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>
        <v>27</v>
      </c>
      <c r="N2902">
        <v>98.02</v>
      </c>
      <c r="O2902">
        <v>23.484848484848481</v>
      </c>
      <c r="P2902"/>
    </row>
    <row r="2903" spans="1:16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>
        <v>27</v>
      </c>
      <c r="N2903">
        <v>99.28</v>
      </c>
      <c r="O2903">
        <v>27.689243027888441</v>
      </c>
      <c r="P2903"/>
    </row>
    <row r="2904" spans="1:16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>
        <v>20</v>
      </c>
      <c r="N2904">
        <v>100</v>
      </c>
      <c r="O2904">
        <v>27.04918032786885</v>
      </c>
      <c r="P2904"/>
    </row>
    <row r="2905" spans="1:16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>
        <v>33</v>
      </c>
      <c r="N2905">
        <v>97.83</v>
      </c>
      <c r="O2905">
        <v>26.315789473684209</v>
      </c>
      <c r="P2905"/>
    </row>
    <row r="2906" spans="1:16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>
        <v>6</v>
      </c>
      <c r="N2906">
        <v>100</v>
      </c>
      <c r="O2906">
        <v>26.701570680628269</v>
      </c>
      <c r="P2906"/>
    </row>
    <row r="2907" spans="1:16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>
        <v>19</v>
      </c>
      <c r="N2907">
        <v>97.47</v>
      </c>
      <c r="O2907">
        <v>22.887323943661968</v>
      </c>
      <c r="P2907"/>
    </row>
    <row r="2908" spans="1:16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>
        <v>0</v>
      </c>
      <c r="N2908">
        <v>0</v>
      </c>
      <c r="O2908">
        <v>0</v>
      </c>
      <c r="P2908"/>
    </row>
    <row r="2909" spans="1:16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>
        <v>6</v>
      </c>
      <c r="N2909">
        <v>98.31</v>
      </c>
      <c r="O2909">
        <v>24.920127795527151</v>
      </c>
      <c r="P2909"/>
    </row>
    <row r="2910" spans="1:16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>
        <v>1</v>
      </c>
      <c r="N2910">
        <v>96.81</v>
      </c>
      <c r="O2910">
        <v>32.365145228215773</v>
      </c>
      <c r="P2910"/>
    </row>
    <row r="2911" spans="1:16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>
        <v>7</v>
      </c>
      <c r="N2911">
        <v>100</v>
      </c>
      <c r="O2911">
        <v>26.47058823529412</v>
      </c>
      <c r="P2911"/>
    </row>
    <row r="2912" spans="1:16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>
        <v>5</v>
      </c>
      <c r="N2912">
        <v>100</v>
      </c>
      <c r="O2912">
        <v>28.490028490028489</v>
      </c>
      <c r="P2912"/>
    </row>
    <row r="2913" spans="1:16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>
        <v>18</v>
      </c>
      <c r="N2913">
        <v>99.14</v>
      </c>
      <c r="O2913">
        <v>27.2289156626506</v>
      </c>
      <c r="P2913"/>
    </row>
    <row r="2914" spans="1:16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>
        <v>18</v>
      </c>
      <c r="N2914">
        <v>97.52</v>
      </c>
      <c r="O2914">
        <v>28.205128205128201</v>
      </c>
      <c r="P2914"/>
    </row>
    <row r="2915" spans="1:16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>
        <v>25</v>
      </c>
      <c r="N2915">
        <v>90</v>
      </c>
      <c r="O2915">
        <v>24.186046511627911</v>
      </c>
      <c r="P2915"/>
    </row>
    <row r="2916" spans="1:16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>
        <v>12</v>
      </c>
      <c r="N2916">
        <v>98.9</v>
      </c>
      <c r="O2916">
        <v>26.763990267639901</v>
      </c>
      <c r="P2916"/>
    </row>
    <row r="2917" spans="1:16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>
        <v>0</v>
      </c>
      <c r="N2917">
        <v>88.89</v>
      </c>
      <c r="O2917">
        <v>25.263157894736839</v>
      </c>
      <c r="P2917"/>
    </row>
    <row r="2918" spans="1:16" hidden="1" x14ac:dyDescent="0.25">
      <c r="A2918" s="11">
        <v>46092</v>
      </c>
      <c r="B2918" t="s">
        <v>43</v>
      </c>
      <c r="C2918" t="s">
        <v>32</v>
      </c>
      <c r="D2918">
        <v>39</v>
      </c>
      <c r="E2918">
        <v>36</v>
      </c>
      <c r="F2918">
        <v>17.07</v>
      </c>
      <c r="G2918">
        <v>0</v>
      </c>
      <c r="H2918">
        <v>0</v>
      </c>
      <c r="I2918" s="3">
        <f>E2918+G2918+H2918</f>
        <v>36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25</v>
      </c>
      <c r="K2918" s="3">
        <f>I2918-J2918</f>
        <v>11</v>
      </c>
      <c r="L2918" s="3" t="str">
        <f>IF(K2918&lt;-5,"CRÍTICO",IF(K2918&lt;0,"ATENÇÃO",IF(K2918&lt;=5,"OPORTUNO","MUITO BOM")))</f>
        <v>MUITO BOM</v>
      </c>
      <c r="M2918">
        <v>33</v>
      </c>
      <c r="N2918">
        <v>98.86</v>
      </c>
      <c r="O2918">
        <v>28.959276018099551</v>
      </c>
      <c r="P2918"/>
    </row>
    <row r="2919" spans="1:16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>
        <v>23</v>
      </c>
      <c r="N2919">
        <v>98.06</v>
      </c>
      <c r="O2919">
        <v>22.40566037735849</v>
      </c>
      <c r="P2919"/>
    </row>
    <row r="2920" spans="1:16" hidden="1" x14ac:dyDescent="0.25">
      <c r="A2920" s="11">
        <v>46092</v>
      </c>
      <c r="B2920" t="s">
        <v>20</v>
      </c>
      <c r="C2920" t="s">
        <v>16</v>
      </c>
      <c r="D2920">
        <v>6</v>
      </c>
      <c r="E2920">
        <v>5</v>
      </c>
      <c r="F2920">
        <v>46.5</v>
      </c>
      <c r="G2920">
        <v>0</v>
      </c>
      <c r="H2920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7</v>
      </c>
      <c r="K2920" s="3">
        <f>I2920-J2920</f>
        <v>-2</v>
      </c>
      <c r="L2920" s="3" t="str">
        <f>IF(K2920&lt;-5,"CRÍTICO",IF(K2920&lt;0,"ATENÇÃO",IF(K2920&lt;=5,"OPORTUNO","MUITO BOM")))</f>
        <v>ATENÇÃO</v>
      </c>
      <c r="M2920">
        <v>5</v>
      </c>
      <c r="N2920">
        <v>95.83</v>
      </c>
      <c r="O2920">
        <v>25.773195876288661</v>
      </c>
      <c r="P2920"/>
    </row>
    <row r="2921" spans="1:16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>
        <v>0</v>
      </c>
      <c r="N2921">
        <v>100</v>
      </c>
      <c r="O2921">
        <v>15.38461538461539</v>
      </c>
      <c r="P2921"/>
    </row>
    <row r="2922" spans="1:16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>
        <v>9</v>
      </c>
      <c r="N2922">
        <v>100</v>
      </c>
      <c r="O2922">
        <v>27.514792899408281</v>
      </c>
      <c r="P2922"/>
    </row>
    <row r="2923" spans="1:16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>
        <v>7</v>
      </c>
      <c r="N2923">
        <v>100</v>
      </c>
      <c r="O2923">
        <v>24.875621890547269</v>
      </c>
      <c r="P2923"/>
    </row>
    <row r="2924" spans="1:16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>
        <v>10</v>
      </c>
      <c r="N2924">
        <v>100</v>
      </c>
      <c r="O2924">
        <v>28.108108108108109</v>
      </c>
      <c r="P2924"/>
    </row>
    <row r="2925" spans="1:16" hidden="1" x14ac:dyDescent="0.25">
      <c r="A2925" s="11">
        <v>46092</v>
      </c>
      <c r="B2925" t="s">
        <v>21</v>
      </c>
      <c r="C2925" t="s">
        <v>16</v>
      </c>
      <c r="D2925">
        <v>0</v>
      </c>
      <c r="E2925">
        <v>0</v>
      </c>
      <c r="F2925">
        <v>0</v>
      </c>
      <c r="G2925">
        <v>0</v>
      </c>
      <c r="H2925">
        <v>0</v>
      </c>
      <c r="I2925" s="3">
        <v>0</v>
      </c>
      <c r="J2925" s="3">
        <v>0</v>
      </c>
      <c r="K2925" s="3">
        <v>0</v>
      </c>
      <c r="L2925" s="3" t="str">
        <f>IF(K2925&lt;-5,"CRÍTICO",IF(K2925&lt;0,"ATENÇÃO",IF(K2925&lt;=5,"OPORTUNO","MUITO BOM")))</f>
        <v>OPORTUNO</v>
      </c>
      <c r="M2925">
        <v>0</v>
      </c>
      <c r="N2925">
        <v>100</v>
      </c>
      <c r="O2925">
        <v>35</v>
      </c>
      <c r="P2925"/>
    </row>
    <row r="2926" spans="1:16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>
        <v>19</v>
      </c>
      <c r="N2926">
        <v>95.35</v>
      </c>
      <c r="O2926">
        <v>28.61538461538461</v>
      </c>
      <c r="P2926"/>
    </row>
    <row r="2927" spans="1:16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>
        <v>27</v>
      </c>
      <c r="N2927">
        <v>98.26</v>
      </c>
      <c r="O2927">
        <v>27.54491017964072</v>
      </c>
      <c r="P2927"/>
    </row>
    <row r="2928" spans="1:16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>
        <v>15</v>
      </c>
      <c r="N2928">
        <v>98.55</v>
      </c>
      <c r="O2928">
        <v>25.337837837837839</v>
      </c>
      <c r="P2928"/>
    </row>
    <row r="2929" spans="1:16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>
        <v>27</v>
      </c>
      <c r="N2929">
        <v>98.39</v>
      </c>
      <c r="O2929">
        <v>25.563909774436091</v>
      </c>
      <c r="P2929"/>
    </row>
    <row r="2930" spans="1:16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>
        <v>8</v>
      </c>
      <c r="N2930">
        <v>94.29</v>
      </c>
      <c r="O2930">
        <v>25.647668393782389</v>
      </c>
      <c r="P2930"/>
    </row>
    <row r="2931" spans="1:16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>
        <v>22</v>
      </c>
      <c r="N2931">
        <v>98.26</v>
      </c>
      <c r="O2931">
        <v>26.666666666666671</v>
      </c>
      <c r="P2931"/>
    </row>
    <row r="2932" spans="1:16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>
        <v>15</v>
      </c>
      <c r="N2932">
        <v>98.2</v>
      </c>
      <c r="O2932">
        <v>23.37962962962963</v>
      </c>
      <c r="P2932"/>
    </row>
    <row r="2933" spans="1:16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23</v>
      </c>
      <c r="N2933">
        <v>97.3</v>
      </c>
      <c r="O2933">
        <v>23.84769539078156</v>
      </c>
      <c r="P2933"/>
    </row>
    <row r="2934" spans="1:16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>
        <v>8</v>
      </c>
      <c r="N2934">
        <v>100</v>
      </c>
      <c r="O2934">
        <v>25.268817204301079</v>
      </c>
      <c r="P2934"/>
    </row>
    <row r="2935" spans="1:16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>
        <v>34</v>
      </c>
      <c r="N2935">
        <v>99.32</v>
      </c>
      <c r="O2935">
        <v>22.822822822822818</v>
      </c>
      <c r="P2935"/>
    </row>
    <row r="2936" spans="1:16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>
        <v>13</v>
      </c>
      <c r="N2936">
        <v>100</v>
      </c>
      <c r="O2936">
        <v>27.966101694915249</v>
      </c>
      <c r="P2936"/>
    </row>
    <row r="2937" spans="1:16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>
        <v>0</v>
      </c>
      <c r="N2937">
        <v>100</v>
      </c>
      <c r="O2937">
        <v>30.434782608695659</v>
      </c>
      <c r="P2937"/>
    </row>
    <row r="2938" spans="1:16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  <c r="P2938"/>
    </row>
    <row r="2939" spans="1:16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>
        <v>12</v>
      </c>
      <c r="N2939">
        <v>92.68</v>
      </c>
      <c r="O2939">
        <v>27.777777777777779</v>
      </c>
      <c r="P2939"/>
    </row>
    <row r="2940" spans="1:16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25</v>
      </c>
      <c r="N2940">
        <v>99.03</v>
      </c>
      <c r="O2940">
        <v>23.991507430997881</v>
      </c>
      <c r="P2940"/>
    </row>
    <row r="2941" spans="1:16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>
        <v>13</v>
      </c>
      <c r="N2941">
        <v>98.41</v>
      </c>
      <c r="O2941">
        <v>28.138528138528141</v>
      </c>
      <c r="P2941"/>
    </row>
    <row r="2942" spans="1:16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>
        <v>29</v>
      </c>
      <c r="N2942">
        <v>98.73</v>
      </c>
      <c r="O2942">
        <v>29.142857142857139</v>
      </c>
      <c r="P2942"/>
    </row>
    <row r="2943" spans="1:16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>
        <v>7</v>
      </c>
      <c r="N2943">
        <v>90.48</v>
      </c>
      <c r="O2943">
        <v>20.68965517241379</v>
      </c>
      <c r="P2943"/>
    </row>
    <row r="2944" spans="1:16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>
        <v>19</v>
      </c>
      <c r="N2944">
        <v>98.06</v>
      </c>
      <c r="O2944">
        <v>24.789915966386559</v>
      </c>
      <c r="P2944"/>
    </row>
    <row r="2945" spans="1:16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>
        <v>27</v>
      </c>
      <c r="N2945">
        <v>97.78</v>
      </c>
      <c r="O2945">
        <v>25.494071146245059</v>
      </c>
      <c r="P2945"/>
    </row>
    <row r="2946" spans="1:16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>
        <v>20</v>
      </c>
      <c r="N2946">
        <v>98.02</v>
      </c>
      <c r="O2946">
        <v>23.484848484848481</v>
      </c>
      <c r="P2946"/>
    </row>
    <row r="2947" spans="1:16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>
        <v>39</v>
      </c>
      <c r="N2947">
        <v>99.28</v>
      </c>
      <c r="O2947">
        <v>27.689243027888441</v>
      </c>
      <c r="P2947"/>
    </row>
    <row r="2948" spans="1:16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>
        <v>17</v>
      </c>
      <c r="N2948">
        <v>100</v>
      </c>
      <c r="O2948">
        <v>27.04918032786885</v>
      </c>
      <c r="P2948"/>
    </row>
    <row r="2949" spans="1:16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>
        <v>39</v>
      </c>
      <c r="N2949">
        <v>97.83</v>
      </c>
      <c r="O2949">
        <v>26.315789473684209</v>
      </c>
      <c r="P2949"/>
    </row>
    <row r="2950" spans="1:16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>
        <v>6</v>
      </c>
      <c r="N2950">
        <v>100</v>
      </c>
      <c r="O2950">
        <v>26.701570680628269</v>
      </c>
      <c r="P2950"/>
    </row>
    <row r="2951" spans="1:16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>
        <v>21</v>
      </c>
      <c r="N2951">
        <v>97.47</v>
      </c>
      <c r="O2951">
        <v>22.887323943661968</v>
      </c>
      <c r="P2951"/>
    </row>
    <row r="2952" spans="1:16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>
        <v>0</v>
      </c>
      <c r="N2952">
        <v>0</v>
      </c>
      <c r="O2952">
        <v>0</v>
      </c>
      <c r="P2952"/>
    </row>
    <row r="2953" spans="1:16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>
        <v>10</v>
      </c>
      <c r="N2953">
        <v>98.31</v>
      </c>
      <c r="O2953">
        <v>24.920127795527151</v>
      </c>
      <c r="P2953"/>
    </row>
    <row r="2954" spans="1:16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>
        <v>1</v>
      </c>
      <c r="N2954">
        <v>96.81</v>
      </c>
      <c r="O2954">
        <v>32.365145228215773</v>
      </c>
      <c r="P2954"/>
    </row>
    <row r="2955" spans="1:16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>
        <v>7</v>
      </c>
      <c r="N2955">
        <v>100</v>
      </c>
      <c r="O2955">
        <v>26.47058823529412</v>
      </c>
      <c r="P2955"/>
    </row>
    <row r="2956" spans="1:16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>
        <v>8</v>
      </c>
      <c r="N2956">
        <v>100</v>
      </c>
      <c r="O2956">
        <v>28.490028490028489</v>
      </c>
      <c r="P2956"/>
    </row>
    <row r="2957" spans="1:16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>
        <v>14</v>
      </c>
      <c r="N2957">
        <v>99.14</v>
      </c>
      <c r="O2957">
        <v>27.2289156626506</v>
      </c>
      <c r="P2957"/>
    </row>
    <row r="2958" spans="1:16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>
        <v>16</v>
      </c>
      <c r="N2958">
        <v>97.52</v>
      </c>
      <c r="O2958">
        <v>28.205128205128201</v>
      </c>
      <c r="P2958"/>
    </row>
    <row r="2959" spans="1:16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>
        <v>17</v>
      </c>
      <c r="N2959">
        <v>90</v>
      </c>
      <c r="O2959">
        <v>24.186046511627911</v>
      </c>
      <c r="P2959"/>
    </row>
    <row r="2960" spans="1:16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>
        <v>17</v>
      </c>
      <c r="N2960">
        <v>98.9</v>
      </c>
      <c r="O2960">
        <v>26.763990267639901</v>
      </c>
      <c r="P2960"/>
    </row>
    <row r="2961" spans="1:16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>
        <v>3</v>
      </c>
      <c r="N2961">
        <v>88.89</v>
      </c>
      <c r="O2961">
        <v>25.263157894736839</v>
      </c>
      <c r="P2961"/>
    </row>
    <row r="2962" spans="1:16" hidden="1" x14ac:dyDescent="0.25">
      <c r="A2962" s="11">
        <v>46093</v>
      </c>
      <c r="B2962" t="s">
        <v>43</v>
      </c>
      <c r="C2962" t="s">
        <v>32</v>
      </c>
      <c r="D2962">
        <v>25</v>
      </c>
      <c r="E2962">
        <v>25</v>
      </c>
      <c r="F2962">
        <v>20.52</v>
      </c>
      <c r="G2962">
        <v>0</v>
      </c>
      <c r="H2962">
        <v>0</v>
      </c>
      <c r="I2962" s="3">
        <f>E2962+G2962+H2962</f>
        <v>25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22</v>
      </c>
      <c r="K2962" s="3">
        <f>I2962-J2962</f>
        <v>3</v>
      </c>
      <c r="L2962" s="3" t="str">
        <f>IF(K2962&lt;-5,"CRÍTICO",IF(K2962&lt;0,"ATENÇÃO",IF(K2962&lt;=5,"OPORTUNO","MUITO BOM")))</f>
        <v>OPORTUNO</v>
      </c>
      <c r="M2962">
        <v>22</v>
      </c>
      <c r="N2962">
        <v>98.86</v>
      </c>
      <c r="O2962">
        <v>28.959276018099551</v>
      </c>
      <c r="P2962"/>
    </row>
    <row r="2963" spans="1:16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>
        <v>22</v>
      </c>
      <c r="N2963">
        <v>98.06</v>
      </c>
      <c r="O2963">
        <v>22.40566037735849</v>
      </c>
      <c r="P2963"/>
    </row>
    <row r="2964" spans="1:16" hidden="1" x14ac:dyDescent="0.25">
      <c r="A2964" s="11">
        <v>46093</v>
      </c>
      <c r="B2964" t="s">
        <v>20</v>
      </c>
      <c r="C2964" t="s">
        <v>16</v>
      </c>
      <c r="D2964">
        <v>6</v>
      </c>
      <c r="E2964">
        <v>6</v>
      </c>
      <c r="F2964">
        <v>43.49</v>
      </c>
      <c r="G2964">
        <v>0</v>
      </c>
      <c r="H2964">
        <v>0</v>
      </c>
      <c r="I2964" s="3">
        <f>E2964+G2964+H2964</f>
        <v>6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6</v>
      </c>
      <c r="K2964" s="3">
        <f>I2964-J2964</f>
        <v>0</v>
      </c>
      <c r="L2964" s="3" t="str">
        <f>IF(K2964&lt;-5,"CRÍTICO",IF(K2964&lt;0,"ATENÇÃO",IF(K2964&lt;=5,"OPORTUNO","MUITO BOM")))</f>
        <v>OPORTUNO</v>
      </c>
      <c r="M2964">
        <v>3</v>
      </c>
      <c r="N2964">
        <v>95.83</v>
      </c>
      <c r="O2964">
        <v>25.773195876288661</v>
      </c>
      <c r="P2964"/>
    </row>
    <row r="2965" spans="1:16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>
        <v>0</v>
      </c>
      <c r="N2965">
        <v>100</v>
      </c>
      <c r="O2965">
        <v>15.38461538461539</v>
      </c>
      <c r="P2965"/>
    </row>
    <row r="2966" spans="1:16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>
        <v>11</v>
      </c>
      <c r="N2966">
        <v>100</v>
      </c>
      <c r="O2966">
        <v>27.514792899408281</v>
      </c>
      <c r="P2966"/>
    </row>
    <row r="2967" spans="1:16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>
        <v>10</v>
      </c>
      <c r="N2967">
        <v>100</v>
      </c>
      <c r="O2967">
        <v>24.875621890547269</v>
      </c>
      <c r="P2967"/>
    </row>
    <row r="2968" spans="1:16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6</v>
      </c>
      <c r="N2968">
        <v>100</v>
      </c>
      <c r="O2968">
        <v>28.108108108108109</v>
      </c>
      <c r="P2968"/>
    </row>
    <row r="2969" spans="1:16" hidden="1" x14ac:dyDescent="0.25">
      <c r="A2969" s="11">
        <v>46093</v>
      </c>
      <c r="B2969" t="s">
        <v>21</v>
      </c>
      <c r="C2969" t="s">
        <v>16</v>
      </c>
      <c r="D2969">
        <v>0</v>
      </c>
      <c r="E2969">
        <v>0</v>
      </c>
      <c r="F2969">
        <v>0</v>
      </c>
      <c r="G2969">
        <v>0</v>
      </c>
      <c r="H2969">
        <v>0</v>
      </c>
      <c r="I2969" s="3">
        <v>0</v>
      </c>
      <c r="J2969" s="3">
        <v>0</v>
      </c>
      <c r="K2969" s="3">
        <v>0</v>
      </c>
      <c r="L2969" s="3" t="str">
        <f>IF(K2969&lt;-5,"CRÍTICO",IF(K2969&lt;0,"ATENÇÃO",IF(K2969&lt;=5,"OPORTUNO","MUITO BOM")))</f>
        <v>OPORTUNO</v>
      </c>
      <c r="M2969">
        <v>0</v>
      </c>
      <c r="N2969">
        <v>100</v>
      </c>
      <c r="O2969">
        <v>35</v>
      </c>
      <c r="P2969"/>
    </row>
    <row r="2970" spans="1:16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>
        <v>21</v>
      </c>
      <c r="N2970">
        <v>95.35</v>
      </c>
      <c r="O2970">
        <v>28.61538461538461</v>
      </c>
      <c r="P2970"/>
    </row>
    <row r="2971" spans="1:16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>
        <v>34</v>
      </c>
      <c r="N2971">
        <v>98.26</v>
      </c>
      <c r="O2971">
        <v>27.54491017964072</v>
      </c>
      <c r="P2971"/>
    </row>
    <row r="2972" spans="1:16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>
        <v>16</v>
      </c>
      <c r="N2972">
        <v>98.55</v>
      </c>
      <c r="O2972">
        <v>25.337837837837839</v>
      </c>
      <c r="P2972"/>
    </row>
    <row r="2973" spans="1:16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>
        <v>28</v>
      </c>
      <c r="N2973">
        <v>98.39</v>
      </c>
      <c r="O2973">
        <v>25.563909774436091</v>
      </c>
      <c r="P2973"/>
    </row>
    <row r="2974" spans="1:16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>
        <v>22</v>
      </c>
      <c r="N2974">
        <v>94.29</v>
      </c>
      <c r="O2974">
        <v>25.647668393782389</v>
      </c>
      <c r="P2974"/>
    </row>
    <row r="2975" spans="1:16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>
        <v>15</v>
      </c>
      <c r="N2975">
        <v>98.26</v>
      </c>
      <c r="O2975">
        <v>26.666666666666671</v>
      </c>
      <c r="P2975"/>
    </row>
    <row r="2976" spans="1:16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>
        <v>15</v>
      </c>
      <c r="N2976">
        <v>98.2</v>
      </c>
      <c r="O2976">
        <v>23.37962962962963</v>
      </c>
      <c r="P2976"/>
    </row>
    <row r="2977" spans="1:16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>
        <v>17</v>
      </c>
      <c r="N2977">
        <v>97.3</v>
      </c>
      <c r="O2977">
        <v>23.84769539078156</v>
      </c>
      <c r="P2977"/>
    </row>
    <row r="2978" spans="1:16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>
        <v>0</v>
      </c>
      <c r="N2978">
        <v>100</v>
      </c>
      <c r="O2978">
        <v>25.268817204301079</v>
      </c>
      <c r="P2978"/>
    </row>
    <row r="2979" spans="1:16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>
        <v>40</v>
      </c>
      <c r="N2979">
        <v>99.32</v>
      </c>
      <c r="O2979">
        <v>22.822822822822818</v>
      </c>
      <c r="P2979"/>
    </row>
    <row r="2980" spans="1:16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>
        <v>14</v>
      </c>
      <c r="N2980">
        <v>100</v>
      </c>
      <c r="O2980">
        <v>27.966101694915249</v>
      </c>
      <c r="P2980"/>
    </row>
    <row r="2981" spans="1:16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>
        <v>0</v>
      </c>
      <c r="N2981">
        <v>100</v>
      </c>
      <c r="O2981">
        <v>30.434782608695659</v>
      </c>
      <c r="P2981"/>
    </row>
    <row r="2982" spans="1:16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>
        <v>19</v>
      </c>
      <c r="N2982">
        <v>96.51</v>
      </c>
      <c r="O2982">
        <v>22.802850356294542</v>
      </c>
      <c r="P2982"/>
    </row>
    <row r="2983" spans="1:16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>
        <v>6</v>
      </c>
      <c r="N2983">
        <v>92.68</v>
      </c>
      <c r="O2983">
        <v>27.777777777777779</v>
      </c>
      <c r="P2983"/>
    </row>
    <row r="2984" spans="1:16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17</v>
      </c>
      <c r="N2984">
        <v>99.03</v>
      </c>
      <c r="O2984">
        <v>23.991507430997881</v>
      </c>
      <c r="P2984"/>
    </row>
    <row r="2985" spans="1:16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>
        <v>11</v>
      </c>
      <c r="N2985">
        <v>98.41</v>
      </c>
      <c r="O2985">
        <v>28.138528138528141</v>
      </c>
      <c r="P2985"/>
    </row>
    <row r="2986" spans="1:16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>
        <v>22</v>
      </c>
      <c r="N2986">
        <v>98.73</v>
      </c>
      <c r="O2986">
        <v>29.142857142857139</v>
      </c>
      <c r="P2986"/>
    </row>
    <row r="2987" spans="1:16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>
        <v>5</v>
      </c>
      <c r="N2987">
        <v>90.48</v>
      </c>
      <c r="O2987">
        <v>20.68965517241379</v>
      </c>
      <c r="P2987"/>
    </row>
    <row r="2988" spans="1:16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>
        <v>15</v>
      </c>
      <c r="N2988">
        <v>98.06</v>
      </c>
      <c r="O2988">
        <v>24.789915966386559</v>
      </c>
      <c r="P2988"/>
    </row>
    <row r="2989" spans="1:16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>
        <v>24</v>
      </c>
      <c r="N2989">
        <v>97.78</v>
      </c>
      <c r="O2989">
        <v>25.494071146245059</v>
      </c>
      <c r="P2989"/>
    </row>
    <row r="2990" spans="1:16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>
        <v>13</v>
      </c>
      <c r="N2990">
        <v>98.02</v>
      </c>
      <c r="O2990">
        <v>23.484848484848481</v>
      </c>
      <c r="P2990"/>
    </row>
    <row r="2991" spans="1:16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>
        <v>32</v>
      </c>
      <c r="N2991">
        <v>99.28</v>
      </c>
      <c r="O2991">
        <v>27.689243027888441</v>
      </c>
      <c r="P2991"/>
    </row>
    <row r="2992" spans="1:16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>
        <v>22</v>
      </c>
      <c r="N2992">
        <v>100</v>
      </c>
      <c r="O2992">
        <v>27.04918032786885</v>
      </c>
      <c r="P2992"/>
    </row>
    <row r="2993" spans="1:16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>
        <v>34</v>
      </c>
      <c r="N2993">
        <v>97.83</v>
      </c>
      <c r="O2993">
        <v>26.315789473684209</v>
      </c>
      <c r="P2993"/>
    </row>
    <row r="2994" spans="1:16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>
        <v>8</v>
      </c>
      <c r="N2994">
        <v>100</v>
      </c>
      <c r="O2994">
        <v>26.701570680628269</v>
      </c>
      <c r="P2994"/>
    </row>
    <row r="2995" spans="1:16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>
        <v>19</v>
      </c>
      <c r="N2995">
        <v>97.47</v>
      </c>
      <c r="O2995">
        <v>22.887323943661968</v>
      </c>
      <c r="P2995"/>
    </row>
    <row r="2996" spans="1:16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>
        <v>0</v>
      </c>
      <c r="N2996">
        <v>0</v>
      </c>
      <c r="O2996">
        <v>0</v>
      </c>
      <c r="P2996"/>
    </row>
    <row r="2997" spans="1:16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>
        <v>5</v>
      </c>
      <c r="N2997">
        <v>98.31</v>
      </c>
      <c r="O2997">
        <v>24.920127795527151</v>
      </c>
      <c r="P2997"/>
    </row>
    <row r="2998" spans="1:16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>
        <v>0</v>
      </c>
      <c r="N2998">
        <v>96.81</v>
      </c>
      <c r="O2998">
        <v>32.365145228215773</v>
      </c>
      <c r="P2998"/>
    </row>
    <row r="2999" spans="1:16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>
        <v>12</v>
      </c>
      <c r="N2999">
        <v>100</v>
      </c>
      <c r="O2999">
        <v>26.47058823529412</v>
      </c>
      <c r="P2999"/>
    </row>
    <row r="3000" spans="1:16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>
        <v>8</v>
      </c>
      <c r="N3000">
        <v>100</v>
      </c>
      <c r="O3000">
        <v>28.490028490028489</v>
      </c>
      <c r="P3000"/>
    </row>
    <row r="3001" spans="1:16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>
        <v>11</v>
      </c>
      <c r="N3001">
        <v>99.14</v>
      </c>
      <c r="O3001">
        <v>27.2289156626506</v>
      </c>
      <c r="P3001"/>
    </row>
    <row r="3002" spans="1:16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  <c r="P3002"/>
    </row>
    <row r="3003" spans="1:16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>
        <v>15</v>
      </c>
      <c r="N3003">
        <v>90</v>
      </c>
      <c r="O3003">
        <v>24.186046511627911</v>
      </c>
      <c r="P3003"/>
    </row>
    <row r="3004" spans="1:16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>
        <v>11</v>
      </c>
      <c r="N3004">
        <v>98.9</v>
      </c>
      <c r="O3004">
        <v>26.763990267639901</v>
      </c>
      <c r="P3004"/>
    </row>
    <row r="3005" spans="1:16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>
        <v>3</v>
      </c>
      <c r="N3005">
        <v>88.89</v>
      </c>
      <c r="O3005">
        <v>25.263157894736839</v>
      </c>
      <c r="P3005"/>
    </row>
    <row r="3006" spans="1:16" hidden="1" x14ac:dyDescent="0.25">
      <c r="A3006" s="11">
        <v>46094</v>
      </c>
      <c r="B3006" t="s">
        <v>43</v>
      </c>
      <c r="C3006" t="s">
        <v>32</v>
      </c>
      <c r="D3006">
        <v>18</v>
      </c>
      <c r="E3006">
        <v>17</v>
      </c>
      <c r="F3006">
        <v>22.09</v>
      </c>
      <c r="G3006">
        <v>0</v>
      </c>
      <c r="H3006">
        <v>0</v>
      </c>
      <c r="I3006" s="3">
        <f>E3006+G3006+H3006</f>
        <v>17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20</v>
      </c>
      <c r="K3006" s="3">
        <f>I3006-J3006</f>
        <v>-3</v>
      </c>
      <c r="L3006" s="3" t="str">
        <f>IF(K3006&lt;-5,"CRÍTICO",IF(K3006&lt;0,"ATENÇÃO",IF(K3006&lt;=5,"OPORTUNO","MUITO BOM")))</f>
        <v>ATENÇÃO</v>
      </c>
      <c r="M3006">
        <v>22</v>
      </c>
      <c r="N3006">
        <v>98.86</v>
      </c>
      <c r="O3006">
        <v>28.959276018099551</v>
      </c>
      <c r="P3006"/>
    </row>
    <row r="3007" spans="1:16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>
        <v>25</v>
      </c>
      <c r="N3007">
        <v>98.06</v>
      </c>
      <c r="O3007">
        <v>22.40566037735849</v>
      </c>
      <c r="P3007"/>
    </row>
    <row r="3008" spans="1:16" hidden="1" x14ac:dyDescent="0.25">
      <c r="A3008" s="11">
        <v>46094</v>
      </c>
      <c r="B3008" t="s">
        <v>20</v>
      </c>
      <c r="C3008" t="s">
        <v>16</v>
      </c>
      <c r="D3008">
        <v>6</v>
      </c>
      <c r="E3008">
        <v>6</v>
      </c>
      <c r="F3008">
        <v>48.34</v>
      </c>
      <c r="G3008">
        <v>0</v>
      </c>
      <c r="H3008">
        <v>0</v>
      </c>
      <c r="I3008" s="3">
        <f>E3008+G3008+H3008</f>
        <v>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6</v>
      </c>
      <c r="K3008" s="3">
        <f>I3008-J3008</f>
        <v>0</v>
      </c>
      <c r="L3008" s="3" t="str">
        <f>IF(K3008&lt;-5,"CRÍTICO",IF(K3008&lt;0,"ATENÇÃO",IF(K3008&lt;=5,"OPORTUNO","MUITO BOM")))</f>
        <v>OPORTUNO</v>
      </c>
      <c r="M3008">
        <v>5</v>
      </c>
      <c r="N3008">
        <v>95.83</v>
      </c>
      <c r="O3008">
        <v>25.773195876288661</v>
      </c>
      <c r="P3008"/>
    </row>
    <row r="3009" spans="1:16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>
        <v>0</v>
      </c>
      <c r="N3009">
        <v>100</v>
      </c>
      <c r="O3009">
        <v>15.38461538461539</v>
      </c>
      <c r="P3009"/>
    </row>
    <row r="3010" spans="1:16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>
        <v>23</v>
      </c>
      <c r="N3010">
        <v>100</v>
      </c>
      <c r="O3010">
        <v>27.514792899408281</v>
      </c>
      <c r="P3010"/>
    </row>
    <row r="3011" spans="1:16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>
        <v>7</v>
      </c>
      <c r="N3011">
        <v>100</v>
      </c>
      <c r="O3011">
        <v>24.875621890547269</v>
      </c>
      <c r="P3011"/>
    </row>
    <row r="3012" spans="1:16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>
        <v>13</v>
      </c>
      <c r="N3012">
        <v>100</v>
      </c>
      <c r="O3012">
        <v>28.108108108108109</v>
      </c>
      <c r="P3012"/>
    </row>
    <row r="3013" spans="1:16" hidden="1" x14ac:dyDescent="0.25">
      <c r="A3013" s="11">
        <v>46094</v>
      </c>
      <c r="B3013" t="s">
        <v>21</v>
      </c>
      <c r="C3013" t="s">
        <v>16</v>
      </c>
      <c r="D3013">
        <v>0</v>
      </c>
      <c r="E3013">
        <v>0</v>
      </c>
      <c r="F3013">
        <v>0</v>
      </c>
      <c r="G3013">
        <v>0</v>
      </c>
      <c r="H3013">
        <v>0</v>
      </c>
      <c r="I3013" s="3">
        <v>0</v>
      </c>
      <c r="J3013" s="3">
        <v>0</v>
      </c>
      <c r="K3013" s="3">
        <v>0</v>
      </c>
      <c r="L3013" s="3" t="str">
        <f>IF(K3013&lt;-5,"CRÍTICO",IF(K3013&lt;0,"ATENÇÃO",IF(K3013&lt;=5,"OPORTUNO","MUITO BOM")))</f>
        <v>OPORTUNO</v>
      </c>
      <c r="M3013">
        <v>0</v>
      </c>
      <c r="N3013">
        <v>100</v>
      </c>
      <c r="O3013">
        <v>35</v>
      </c>
      <c r="P3013"/>
    </row>
    <row r="3014" spans="1:16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>
        <v>12</v>
      </c>
      <c r="N3014">
        <v>95.35</v>
      </c>
      <c r="O3014">
        <v>28.61538461538461</v>
      </c>
      <c r="P3014"/>
    </row>
    <row r="3015" spans="1:16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>
        <v>33</v>
      </c>
      <c r="N3015">
        <v>98.26</v>
      </c>
      <c r="O3015">
        <v>27.54491017964072</v>
      </c>
      <c r="P3015"/>
    </row>
    <row r="3016" spans="1:16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>
        <v>13</v>
      </c>
      <c r="N3016">
        <v>98.55</v>
      </c>
      <c r="O3016">
        <v>25.337837837837839</v>
      </c>
      <c r="P3016"/>
    </row>
    <row r="3017" spans="1:16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>
        <v>25</v>
      </c>
      <c r="N3017">
        <v>98.39</v>
      </c>
      <c r="O3017">
        <v>25.563909774436091</v>
      </c>
      <c r="P3017"/>
    </row>
    <row r="3018" spans="1:16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>
        <v>15</v>
      </c>
      <c r="N3018">
        <v>94.29</v>
      </c>
      <c r="O3018">
        <v>25.647668393782389</v>
      </c>
      <c r="P3018"/>
    </row>
    <row r="3019" spans="1:16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>
        <v>22</v>
      </c>
      <c r="N3019">
        <v>98.26</v>
      </c>
      <c r="O3019">
        <v>26.666666666666671</v>
      </c>
      <c r="P3019"/>
    </row>
    <row r="3020" spans="1:16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>
        <v>30</v>
      </c>
      <c r="N3020">
        <v>98.2</v>
      </c>
      <c r="O3020">
        <v>23.37962962962963</v>
      </c>
      <c r="P3020"/>
    </row>
    <row r="3021" spans="1:16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>
        <v>23</v>
      </c>
      <c r="N3021">
        <v>97.3</v>
      </c>
      <c r="O3021">
        <v>23.84769539078156</v>
      </c>
      <c r="P3021"/>
    </row>
    <row r="3022" spans="1:16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>
        <v>6</v>
      </c>
      <c r="N3022">
        <v>100</v>
      </c>
      <c r="O3022">
        <v>25.268817204301079</v>
      </c>
      <c r="P3022"/>
    </row>
    <row r="3023" spans="1:16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>
        <v>20</v>
      </c>
      <c r="N3023">
        <v>99.32</v>
      </c>
      <c r="O3023">
        <v>22.822822822822818</v>
      </c>
      <c r="P3023"/>
    </row>
    <row r="3024" spans="1:16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>
        <v>23</v>
      </c>
      <c r="N3024">
        <v>100</v>
      </c>
      <c r="O3024">
        <v>27.966101694915249</v>
      </c>
      <c r="P3024"/>
    </row>
    <row r="3025" spans="1:16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>
        <v>0</v>
      </c>
      <c r="N3025">
        <v>100</v>
      </c>
      <c r="O3025">
        <v>30.434782608695659</v>
      </c>
      <c r="P3025"/>
    </row>
    <row r="3026" spans="1:16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>
        <v>20</v>
      </c>
      <c r="N3026">
        <v>96.51</v>
      </c>
      <c r="O3026">
        <v>22.802850356294542</v>
      </c>
      <c r="P3026"/>
    </row>
    <row r="3027" spans="1:16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23</v>
      </c>
      <c r="N3027">
        <v>92.68</v>
      </c>
      <c r="O3027">
        <v>27.777777777777779</v>
      </c>
      <c r="P3027"/>
    </row>
    <row r="3028" spans="1:16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>
        <v>23</v>
      </c>
      <c r="N3028">
        <v>99.03</v>
      </c>
      <c r="O3028">
        <v>23.991507430997881</v>
      </c>
      <c r="P3028"/>
    </row>
    <row r="3029" spans="1:16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>
        <v>12</v>
      </c>
      <c r="N3029">
        <v>98.41</v>
      </c>
      <c r="O3029">
        <v>28.138528138528141</v>
      </c>
      <c r="P3029"/>
    </row>
    <row r="3030" spans="1:16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>
        <v>17</v>
      </c>
      <c r="N3030">
        <v>98.73</v>
      </c>
      <c r="O3030">
        <v>29.142857142857139</v>
      </c>
      <c r="P3030"/>
    </row>
    <row r="3031" spans="1:16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0</v>
      </c>
      <c r="N3031">
        <v>90.48</v>
      </c>
      <c r="O3031">
        <v>20.68965517241379</v>
      </c>
      <c r="P3031"/>
    </row>
    <row r="3032" spans="1:16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>
        <v>22</v>
      </c>
      <c r="N3032">
        <v>98.06</v>
      </c>
      <c r="O3032">
        <v>24.789915966386559</v>
      </c>
      <c r="P3032"/>
    </row>
    <row r="3033" spans="1:16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>
        <v>25</v>
      </c>
      <c r="N3033">
        <v>97.78</v>
      </c>
      <c r="O3033">
        <v>25.494071146245059</v>
      </c>
      <c r="P3033"/>
    </row>
    <row r="3034" spans="1:16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>
        <v>11</v>
      </c>
      <c r="N3034">
        <v>98.02</v>
      </c>
      <c r="O3034">
        <v>23.484848484848481</v>
      </c>
      <c r="P3034"/>
    </row>
    <row r="3035" spans="1:16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>
        <v>23</v>
      </c>
      <c r="N3035">
        <v>99.28</v>
      </c>
      <c r="O3035">
        <v>27.689243027888441</v>
      </c>
      <c r="P3035"/>
    </row>
    <row r="3036" spans="1:16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>
        <v>21</v>
      </c>
      <c r="N3036">
        <v>100</v>
      </c>
      <c r="O3036">
        <v>27.04918032786885</v>
      </c>
      <c r="P3036"/>
    </row>
    <row r="3037" spans="1:16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>
        <v>43</v>
      </c>
      <c r="N3037">
        <v>97.83</v>
      </c>
      <c r="O3037">
        <v>26.315789473684209</v>
      </c>
      <c r="P3037"/>
    </row>
    <row r="3038" spans="1:16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>
        <v>16</v>
      </c>
      <c r="N3038">
        <v>100</v>
      </c>
      <c r="O3038">
        <v>26.701570680628269</v>
      </c>
      <c r="P3038"/>
    </row>
    <row r="3039" spans="1:16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>
        <v>7</v>
      </c>
      <c r="N3039">
        <v>97.47</v>
      </c>
      <c r="O3039">
        <v>22.887323943661968</v>
      </c>
      <c r="P3039"/>
    </row>
    <row r="3040" spans="1:16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>
        <v>0</v>
      </c>
      <c r="N3040">
        <v>0</v>
      </c>
      <c r="O3040">
        <v>0</v>
      </c>
      <c r="P3040"/>
    </row>
    <row r="3041" spans="1:16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>
        <v>6</v>
      </c>
      <c r="N3041">
        <v>98.31</v>
      </c>
      <c r="O3041">
        <v>24.920127795527151</v>
      </c>
      <c r="P3041"/>
    </row>
    <row r="3042" spans="1:16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>
        <v>2</v>
      </c>
      <c r="N3042">
        <v>96.81</v>
      </c>
      <c r="O3042">
        <v>32.365145228215773</v>
      </c>
      <c r="P3042"/>
    </row>
    <row r="3043" spans="1:16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>
        <v>7</v>
      </c>
      <c r="N3043">
        <v>100</v>
      </c>
      <c r="O3043">
        <v>26.47058823529412</v>
      </c>
      <c r="P3043"/>
    </row>
    <row r="3044" spans="1:16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>
        <v>18</v>
      </c>
      <c r="N3044">
        <v>100</v>
      </c>
      <c r="O3044">
        <v>28.490028490028489</v>
      </c>
      <c r="P3044"/>
    </row>
    <row r="3045" spans="1:16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>
        <v>15</v>
      </c>
      <c r="N3045">
        <v>99.14</v>
      </c>
      <c r="O3045">
        <v>27.2289156626506</v>
      </c>
      <c r="P3045"/>
    </row>
    <row r="3046" spans="1:16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>
        <v>29</v>
      </c>
      <c r="N3046">
        <v>97.52</v>
      </c>
      <c r="O3046">
        <v>28.205128205128201</v>
      </c>
      <c r="P3046"/>
    </row>
    <row r="3047" spans="1:16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0</v>
      </c>
      <c r="N3047">
        <v>90</v>
      </c>
      <c r="O3047">
        <v>24.186046511627911</v>
      </c>
      <c r="P3047"/>
    </row>
    <row r="3048" spans="1:16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>
        <v>9</v>
      </c>
      <c r="N3048">
        <v>98.9</v>
      </c>
      <c r="O3048">
        <v>26.763990267639901</v>
      </c>
      <c r="P3048"/>
    </row>
    <row r="3049" spans="1:16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>
        <v>4</v>
      </c>
      <c r="N3049">
        <v>88.89</v>
      </c>
      <c r="O3049">
        <v>25.263157894736839</v>
      </c>
      <c r="P3049"/>
    </row>
    <row r="3050" spans="1:16" hidden="1" x14ac:dyDescent="0.25">
      <c r="A3050" s="11">
        <v>46097</v>
      </c>
      <c r="B3050" t="s">
        <v>43</v>
      </c>
      <c r="C3050" t="s">
        <v>32</v>
      </c>
      <c r="D3050">
        <v>31</v>
      </c>
      <c r="E3050">
        <v>29</v>
      </c>
      <c r="F3050">
        <v>17.25</v>
      </c>
      <c r="G3050">
        <v>0</v>
      </c>
      <c r="H3050">
        <v>0</v>
      </c>
      <c r="I3050" s="3">
        <f>E3050+G3050+H3050</f>
        <v>29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23</v>
      </c>
      <c r="K3050" s="3">
        <f>I3050-J3050</f>
        <v>6</v>
      </c>
      <c r="L3050" s="3" t="str">
        <f>IF(K3050&lt;-5,"CRÍTICO",IF(K3050&lt;0,"ATENÇÃO",IF(K3050&lt;=5,"OPORTUNO","MUITO BOM")))</f>
        <v>MUITO BOM</v>
      </c>
      <c r="M3050">
        <v>31</v>
      </c>
      <c r="N3050">
        <v>98.86</v>
      </c>
      <c r="O3050">
        <v>28.959276018099551</v>
      </c>
      <c r="P3050"/>
    </row>
    <row r="3051" spans="1:16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>
        <v>29</v>
      </c>
      <c r="N3051">
        <v>98.06</v>
      </c>
      <c r="O3051">
        <v>22.40566037735849</v>
      </c>
      <c r="P3051"/>
    </row>
    <row r="3052" spans="1:16" hidden="1" x14ac:dyDescent="0.25">
      <c r="A3052" s="11">
        <v>46097</v>
      </c>
      <c r="B3052" t="s">
        <v>20</v>
      </c>
      <c r="C3052" t="s">
        <v>16</v>
      </c>
      <c r="D3052">
        <v>4</v>
      </c>
      <c r="E3052">
        <v>4</v>
      </c>
      <c r="F3052">
        <v>77.19</v>
      </c>
      <c r="G3052">
        <v>0</v>
      </c>
      <c r="H3052">
        <v>0</v>
      </c>
      <c r="I3052" s="3">
        <f>E3052+G3052+H3052</f>
        <v>4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6</v>
      </c>
      <c r="K3052" s="3">
        <f>I3052-J3052</f>
        <v>-2</v>
      </c>
      <c r="L3052" s="3" t="str">
        <f>IF(K3052&lt;-5,"CRÍTICO",IF(K3052&lt;0,"ATENÇÃO",IF(K3052&lt;=5,"OPORTUNO","MUITO BOM")))</f>
        <v>ATENÇÃO</v>
      </c>
      <c r="M3052">
        <v>2</v>
      </c>
      <c r="N3052">
        <v>95.83</v>
      </c>
      <c r="O3052">
        <v>25.773195876288661</v>
      </c>
      <c r="P3052"/>
    </row>
    <row r="3053" spans="1:16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>
        <v>0</v>
      </c>
      <c r="N3053">
        <v>100</v>
      </c>
      <c r="O3053">
        <v>15.38461538461539</v>
      </c>
      <c r="P3053"/>
    </row>
    <row r="3054" spans="1:16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>
        <v>3</v>
      </c>
      <c r="N3054">
        <v>100</v>
      </c>
      <c r="O3054">
        <v>27.514792899408281</v>
      </c>
      <c r="P3054"/>
    </row>
    <row r="3055" spans="1:16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>
        <v>5</v>
      </c>
      <c r="N3055">
        <v>100</v>
      </c>
      <c r="O3055">
        <v>24.875621890547269</v>
      </c>
      <c r="P3055"/>
    </row>
    <row r="3056" spans="1:16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>
        <v>6</v>
      </c>
      <c r="N3056">
        <v>100</v>
      </c>
      <c r="O3056">
        <v>28.108108108108109</v>
      </c>
      <c r="P3056"/>
    </row>
    <row r="3057" spans="1:16" hidden="1" x14ac:dyDescent="0.25">
      <c r="A3057" s="11">
        <v>46097</v>
      </c>
      <c r="B3057" t="s">
        <v>21</v>
      </c>
      <c r="C3057" t="s">
        <v>16</v>
      </c>
      <c r="D3057">
        <v>0</v>
      </c>
      <c r="E3057">
        <v>0</v>
      </c>
      <c r="F3057">
        <v>0</v>
      </c>
      <c r="G3057">
        <v>0</v>
      </c>
      <c r="H3057">
        <v>0</v>
      </c>
      <c r="I3057" s="3">
        <v>0</v>
      </c>
      <c r="J3057" s="3">
        <v>0</v>
      </c>
      <c r="K3057" s="3">
        <v>0</v>
      </c>
      <c r="L3057" s="3" t="str">
        <f>IF(K3057&lt;-5,"CRÍTICO",IF(K3057&lt;0,"ATENÇÃO",IF(K3057&lt;=5,"OPORTUNO","MUITO BOM")))</f>
        <v>OPORTUNO</v>
      </c>
      <c r="M3057">
        <v>0</v>
      </c>
      <c r="N3057">
        <v>100</v>
      </c>
      <c r="O3057">
        <v>35</v>
      </c>
      <c r="P3057"/>
    </row>
    <row r="3058" spans="1:16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>
        <v>11</v>
      </c>
      <c r="N3058">
        <v>95.35</v>
      </c>
      <c r="O3058">
        <v>28.61538461538461</v>
      </c>
      <c r="P3058"/>
    </row>
    <row r="3059" spans="1:16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>
        <v>29</v>
      </c>
      <c r="N3059">
        <v>98.26</v>
      </c>
      <c r="O3059">
        <v>27.54491017964072</v>
      </c>
      <c r="P3059"/>
    </row>
    <row r="3060" spans="1:16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>
        <v>13</v>
      </c>
      <c r="N3060">
        <v>98.55</v>
      </c>
      <c r="O3060">
        <v>25.337837837837839</v>
      </c>
      <c r="P3060"/>
    </row>
    <row r="3061" spans="1:16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>
        <v>25</v>
      </c>
      <c r="N3061">
        <v>98.39</v>
      </c>
      <c r="O3061">
        <v>25.563909774436091</v>
      </c>
      <c r="P3061"/>
    </row>
    <row r="3062" spans="1:16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>
        <v>19</v>
      </c>
      <c r="N3062">
        <v>94.29</v>
      </c>
      <c r="O3062">
        <v>25.647668393782389</v>
      </c>
      <c r="P3062"/>
    </row>
    <row r="3063" spans="1:16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>
        <v>24</v>
      </c>
      <c r="N3063">
        <v>98.26</v>
      </c>
      <c r="O3063">
        <v>26.666666666666671</v>
      </c>
      <c r="P3063"/>
    </row>
    <row r="3064" spans="1:16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>
        <v>13</v>
      </c>
      <c r="N3064">
        <v>98.2</v>
      </c>
      <c r="O3064">
        <v>23.37962962962963</v>
      </c>
      <c r="P3064"/>
    </row>
    <row r="3065" spans="1:16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>
        <v>28</v>
      </c>
      <c r="N3065">
        <v>97.3</v>
      </c>
      <c r="O3065">
        <v>23.84769539078156</v>
      </c>
      <c r="P3065"/>
    </row>
    <row r="3066" spans="1:16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  <c r="P3066"/>
    </row>
    <row r="3067" spans="1:16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>
        <v>30</v>
      </c>
      <c r="N3067">
        <v>99.32</v>
      </c>
      <c r="O3067">
        <v>22.822822822822818</v>
      </c>
      <c r="P3067"/>
    </row>
    <row r="3068" spans="1:16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>
        <v>5</v>
      </c>
      <c r="N3068">
        <v>100</v>
      </c>
      <c r="O3068">
        <v>27.966101694915249</v>
      </c>
      <c r="P3068"/>
    </row>
    <row r="3069" spans="1:16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>
        <v>0</v>
      </c>
      <c r="N3069">
        <v>100</v>
      </c>
      <c r="O3069">
        <v>30.434782608695659</v>
      </c>
      <c r="P3069"/>
    </row>
    <row r="3070" spans="1:16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>
        <v>22</v>
      </c>
      <c r="N3070">
        <v>96.51</v>
      </c>
      <c r="O3070">
        <v>22.802850356294542</v>
      </c>
      <c r="P3070"/>
    </row>
    <row r="3071" spans="1:16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>
        <v>9</v>
      </c>
      <c r="N3071">
        <v>92.68</v>
      </c>
      <c r="O3071">
        <v>27.777777777777779</v>
      </c>
      <c r="P3071"/>
    </row>
    <row r="3072" spans="1:16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26</v>
      </c>
      <c r="N3072">
        <v>99.03</v>
      </c>
      <c r="O3072">
        <v>23.991507430997881</v>
      </c>
      <c r="P3072"/>
    </row>
    <row r="3073" spans="1:16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>
        <v>13</v>
      </c>
      <c r="N3073">
        <v>98.41</v>
      </c>
      <c r="O3073">
        <v>28.138528138528141</v>
      </c>
      <c r="P3073"/>
    </row>
    <row r="3074" spans="1:16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>
        <v>20</v>
      </c>
      <c r="N3074">
        <v>98.73</v>
      </c>
      <c r="O3074">
        <v>29.142857142857139</v>
      </c>
      <c r="P3074"/>
    </row>
    <row r="3075" spans="1:16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>
        <v>5</v>
      </c>
      <c r="N3075">
        <v>90.48</v>
      </c>
      <c r="O3075">
        <v>20.68965517241379</v>
      </c>
      <c r="P3075"/>
    </row>
    <row r="3076" spans="1:16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>
        <v>25</v>
      </c>
      <c r="N3076">
        <v>98.06</v>
      </c>
      <c r="O3076">
        <v>24.789915966386559</v>
      </c>
      <c r="P3076"/>
    </row>
    <row r="3077" spans="1:16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>
        <v>27</v>
      </c>
      <c r="N3077">
        <v>97.78</v>
      </c>
      <c r="O3077">
        <v>25.494071146245059</v>
      </c>
      <c r="P3077"/>
    </row>
    <row r="3078" spans="1:16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>
        <v>18</v>
      </c>
      <c r="N3078">
        <v>98.02</v>
      </c>
      <c r="O3078">
        <v>23.484848484848481</v>
      </c>
      <c r="P3078"/>
    </row>
    <row r="3079" spans="1:16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>
        <v>11</v>
      </c>
      <c r="N3079">
        <v>99.28</v>
      </c>
      <c r="O3079">
        <v>27.689243027888441</v>
      </c>
      <c r="P3079"/>
    </row>
    <row r="3080" spans="1:16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>
        <v>26</v>
      </c>
      <c r="N3080">
        <v>100</v>
      </c>
      <c r="O3080">
        <v>27.04918032786885</v>
      </c>
      <c r="P3080"/>
    </row>
    <row r="3081" spans="1:16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>
        <v>38</v>
      </c>
      <c r="N3081">
        <v>97.83</v>
      </c>
      <c r="O3081">
        <v>26.315789473684209</v>
      </c>
      <c r="P3081"/>
    </row>
    <row r="3082" spans="1:16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>
        <v>16</v>
      </c>
      <c r="N3082">
        <v>100</v>
      </c>
      <c r="O3082">
        <v>26.701570680628269</v>
      </c>
      <c r="P3082"/>
    </row>
    <row r="3083" spans="1:16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>
        <v>24</v>
      </c>
      <c r="N3083">
        <v>97.47</v>
      </c>
      <c r="O3083">
        <v>22.887323943661968</v>
      </c>
      <c r="P3083"/>
    </row>
    <row r="3084" spans="1:16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>
        <v>0</v>
      </c>
      <c r="N3084">
        <v>0</v>
      </c>
      <c r="O3084">
        <v>0</v>
      </c>
      <c r="P3084"/>
    </row>
    <row r="3085" spans="1:16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>
        <v>7</v>
      </c>
      <c r="N3085">
        <v>98.31</v>
      </c>
      <c r="O3085">
        <v>24.920127795527151</v>
      </c>
      <c r="P3085"/>
    </row>
    <row r="3086" spans="1:16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>
        <v>2</v>
      </c>
      <c r="N3086">
        <v>96.81</v>
      </c>
      <c r="O3086">
        <v>32.365145228215773</v>
      </c>
      <c r="P3086"/>
    </row>
    <row r="3087" spans="1:16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>
        <v>8</v>
      </c>
      <c r="N3087">
        <v>100</v>
      </c>
      <c r="O3087">
        <v>26.47058823529412</v>
      </c>
      <c r="P3087"/>
    </row>
    <row r="3088" spans="1:16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>
        <v>16</v>
      </c>
      <c r="N3088">
        <v>100</v>
      </c>
      <c r="O3088">
        <v>28.490028490028489</v>
      </c>
      <c r="P3088"/>
    </row>
    <row r="3089" spans="1:16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>
        <v>40</v>
      </c>
      <c r="N3089">
        <v>99.14</v>
      </c>
      <c r="O3089">
        <v>27.2289156626506</v>
      </c>
      <c r="P3089"/>
    </row>
    <row r="3090" spans="1:16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>
        <v>22</v>
      </c>
      <c r="N3090">
        <v>97.52</v>
      </c>
      <c r="O3090">
        <v>28.205128205128201</v>
      </c>
      <c r="P3090"/>
    </row>
    <row r="3091" spans="1:16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0</v>
      </c>
      <c r="N3091">
        <v>90</v>
      </c>
      <c r="O3091">
        <v>24.186046511627911</v>
      </c>
      <c r="P3091"/>
    </row>
    <row r="3092" spans="1:16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>
        <v>16</v>
      </c>
      <c r="N3092">
        <v>98.9</v>
      </c>
      <c r="O3092">
        <v>26.763990267639901</v>
      </c>
      <c r="P3092"/>
    </row>
    <row r="3093" spans="1:16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7</v>
      </c>
      <c r="N3093">
        <v>88.89</v>
      </c>
      <c r="O3093">
        <v>25.263157894736839</v>
      </c>
      <c r="P3093"/>
    </row>
    <row r="3094" spans="1:16" hidden="1" x14ac:dyDescent="0.25">
      <c r="A3094" s="11">
        <v>46098</v>
      </c>
      <c r="B3094" t="s">
        <v>43</v>
      </c>
      <c r="C3094" t="s">
        <v>32</v>
      </c>
      <c r="D3094">
        <v>34</v>
      </c>
      <c r="E3094">
        <v>32</v>
      </c>
      <c r="F3094">
        <v>17</v>
      </c>
      <c r="G3094">
        <v>0</v>
      </c>
      <c r="H3094">
        <v>0</v>
      </c>
      <c r="I3094" s="3">
        <f>E3094+G3094+H3094</f>
        <v>32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23</v>
      </c>
      <c r="K3094" s="3">
        <f>I3094-J3094</f>
        <v>9</v>
      </c>
      <c r="L3094" s="3" t="str">
        <f>IF(K3094&lt;-5,"CRÍTICO",IF(K3094&lt;0,"ATENÇÃO",IF(K3094&lt;=5,"OPORTUNO","MUITO BOM")))</f>
        <v>MUITO BOM</v>
      </c>
      <c r="M3094">
        <v>30</v>
      </c>
      <c r="N3094">
        <v>98.86</v>
      </c>
      <c r="O3094">
        <v>28.959276018099551</v>
      </c>
      <c r="P3094"/>
    </row>
    <row r="3095" spans="1:16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>
        <v>1</v>
      </c>
      <c r="N3095">
        <v>98.06</v>
      </c>
      <c r="O3095">
        <v>22.40566037735849</v>
      </c>
      <c r="P3095"/>
    </row>
    <row r="3096" spans="1:16" hidden="1" x14ac:dyDescent="0.25">
      <c r="A3096" s="11">
        <v>46098</v>
      </c>
      <c r="B3096" t="s">
        <v>20</v>
      </c>
      <c r="C3096" t="s">
        <v>16</v>
      </c>
      <c r="D3096">
        <v>0</v>
      </c>
      <c r="E3096">
        <v>0</v>
      </c>
      <c r="F3096">
        <v>0</v>
      </c>
      <c r="G3096">
        <v>0</v>
      </c>
      <c r="H3096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>
        <v>0</v>
      </c>
      <c r="N3096">
        <v>95.83</v>
      </c>
      <c r="O3096">
        <v>25.773195876288661</v>
      </c>
      <c r="P3096"/>
    </row>
    <row r="3097" spans="1:16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100</v>
      </c>
      <c r="O3097">
        <v>15.38461538461539</v>
      </c>
      <c r="P3097"/>
    </row>
    <row r="3098" spans="1:16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>
        <v>29</v>
      </c>
      <c r="N3098">
        <v>100</v>
      </c>
      <c r="O3098">
        <v>27.514792899408281</v>
      </c>
      <c r="P3098"/>
    </row>
    <row r="3099" spans="1:16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>
        <v>11</v>
      </c>
      <c r="N3099">
        <v>100</v>
      </c>
      <c r="O3099">
        <v>24.875621890547269</v>
      </c>
      <c r="P3099"/>
    </row>
    <row r="3100" spans="1:16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>
        <v>12</v>
      </c>
      <c r="N3100">
        <v>100</v>
      </c>
      <c r="O3100">
        <v>28.108108108108109</v>
      </c>
      <c r="P3100"/>
    </row>
    <row r="3101" spans="1:16" hidden="1" x14ac:dyDescent="0.25">
      <c r="A3101" s="11">
        <v>46098</v>
      </c>
      <c r="B3101" t="s">
        <v>21</v>
      </c>
      <c r="C3101" t="s">
        <v>16</v>
      </c>
      <c r="D3101">
        <v>0</v>
      </c>
      <c r="E3101">
        <v>0</v>
      </c>
      <c r="F3101">
        <v>0</v>
      </c>
      <c r="G3101">
        <v>0</v>
      </c>
      <c r="H3101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>
        <v>0</v>
      </c>
      <c r="N3101">
        <v>100</v>
      </c>
      <c r="O3101">
        <v>35</v>
      </c>
      <c r="P3101"/>
    </row>
    <row r="3102" spans="1:16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>
        <v>14</v>
      </c>
      <c r="N3102">
        <v>95.35</v>
      </c>
      <c r="O3102">
        <v>28.61538461538461</v>
      </c>
      <c r="P3102"/>
    </row>
    <row r="3103" spans="1:16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>
        <v>27</v>
      </c>
      <c r="N3103">
        <v>98.26</v>
      </c>
      <c r="O3103">
        <v>27.54491017964072</v>
      </c>
      <c r="P3103"/>
    </row>
    <row r="3104" spans="1:16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>
        <v>10</v>
      </c>
      <c r="N3104">
        <v>98.55</v>
      </c>
      <c r="O3104">
        <v>25.337837837837839</v>
      </c>
      <c r="P3104"/>
    </row>
    <row r="3105" spans="1:16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>
        <v>23</v>
      </c>
      <c r="N3105">
        <v>98.39</v>
      </c>
      <c r="O3105">
        <v>25.563909774436091</v>
      </c>
      <c r="P3105"/>
    </row>
    <row r="3106" spans="1:16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>
        <v>18</v>
      </c>
      <c r="N3106">
        <v>94.29</v>
      </c>
      <c r="O3106">
        <v>25.647668393782389</v>
      </c>
      <c r="P3106"/>
    </row>
    <row r="3107" spans="1:16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>
        <v>24</v>
      </c>
      <c r="N3107">
        <v>98.26</v>
      </c>
      <c r="O3107">
        <v>26.666666666666671</v>
      </c>
      <c r="P3107"/>
    </row>
    <row r="3108" spans="1:16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>
        <v>9</v>
      </c>
      <c r="N3108">
        <v>98.2</v>
      </c>
      <c r="O3108">
        <v>23.37962962962963</v>
      </c>
      <c r="P3108"/>
    </row>
    <row r="3109" spans="1:16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>
        <v>25</v>
      </c>
      <c r="N3109">
        <v>97.3</v>
      </c>
      <c r="O3109">
        <v>23.84769539078156</v>
      </c>
      <c r="P3109"/>
    </row>
    <row r="3110" spans="1:16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>
        <v>5</v>
      </c>
      <c r="N3110">
        <v>100</v>
      </c>
      <c r="O3110">
        <v>25.268817204301079</v>
      </c>
      <c r="P3110"/>
    </row>
    <row r="3111" spans="1:16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>
        <v>24</v>
      </c>
      <c r="N3111">
        <v>99.32</v>
      </c>
      <c r="O3111">
        <v>22.822822822822818</v>
      </c>
      <c r="P3111"/>
    </row>
    <row r="3112" spans="1:16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>
        <v>16</v>
      </c>
      <c r="N3112">
        <v>100</v>
      </c>
      <c r="O3112">
        <v>27.966101694915249</v>
      </c>
      <c r="P3112"/>
    </row>
    <row r="3113" spans="1:16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>
        <v>0</v>
      </c>
      <c r="N3113">
        <v>100</v>
      </c>
      <c r="O3113">
        <v>30.434782608695659</v>
      </c>
      <c r="P3113"/>
    </row>
    <row r="3114" spans="1:16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>
        <v>14</v>
      </c>
      <c r="N3114">
        <v>96.51</v>
      </c>
      <c r="O3114">
        <v>22.802850356294542</v>
      </c>
      <c r="P3114"/>
    </row>
    <row r="3115" spans="1:16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>
        <v>9</v>
      </c>
      <c r="N3115">
        <v>92.68</v>
      </c>
      <c r="O3115">
        <v>27.777777777777779</v>
      </c>
      <c r="P3115"/>
    </row>
    <row r="3116" spans="1:16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22</v>
      </c>
      <c r="N3116">
        <v>99.03</v>
      </c>
      <c r="O3116">
        <v>23.991507430997881</v>
      </c>
      <c r="P3116"/>
    </row>
    <row r="3117" spans="1:16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>
        <v>8</v>
      </c>
      <c r="N3117">
        <v>98.41</v>
      </c>
      <c r="O3117">
        <v>28.138528138528141</v>
      </c>
      <c r="P3117"/>
    </row>
    <row r="3118" spans="1:16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>
        <v>17</v>
      </c>
      <c r="N3118">
        <v>98.73</v>
      </c>
      <c r="O3118">
        <v>29.142857142857139</v>
      </c>
      <c r="P3118"/>
    </row>
    <row r="3119" spans="1:16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>
        <v>4</v>
      </c>
      <c r="N3119">
        <v>90.48</v>
      </c>
      <c r="O3119">
        <v>20.68965517241379</v>
      </c>
      <c r="P3119"/>
    </row>
    <row r="3120" spans="1:16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>
        <v>28</v>
      </c>
      <c r="N3120">
        <v>98.06</v>
      </c>
      <c r="O3120">
        <v>24.789915966386559</v>
      </c>
      <c r="P3120"/>
    </row>
    <row r="3121" spans="1:16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29</v>
      </c>
      <c r="N3121">
        <v>97.78</v>
      </c>
      <c r="O3121">
        <v>25.494071146245059</v>
      </c>
      <c r="P3121"/>
    </row>
    <row r="3122" spans="1:16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>
        <v>22</v>
      </c>
      <c r="N3122">
        <v>98.02</v>
      </c>
      <c r="O3122">
        <v>23.484848484848481</v>
      </c>
      <c r="P3122"/>
    </row>
    <row r="3123" spans="1:16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>
        <v>15</v>
      </c>
      <c r="N3123">
        <v>99.28</v>
      </c>
      <c r="O3123">
        <v>27.689243027888441</v>
      </c>
      <c r="P3123"/>
    </row>
    <row r="3124" spans="1:16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>
        <v>24</v>
      </c>
      <c r="N3124">
        <v>100</v>
      </c>
      <c r="O3124">
        <v>27.04918032786885</v>
      </c>
      <c r="P3124"/>
    </row>
    <row r="3125" spans="1:16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>
        <v>35</v>
      </c>
      <c r="N3125">
        <v>97.83</v>
      </c>
      <c r="O3125">
        <v>26.315789473684209</v>
      </c>
      <c r="P3125"/>
    </row>
    <row r="3126" spans="1:16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>
        <v>7</v>
      </c>
      <c r="N3126">
        <v>100</v>
      </c>
      <c r="O3126">
        <v>26.701570680628269</v>
      </c>
      <c r="P3126"/>
    </row>
    <row r="3127" spans="1:16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>
        <v>16</v>
      </c>
      <c r="N3127">
        <v>97.47</v>
      </c>
      <c r="O3127">
        <v>22.887323943661968</v>
      </c>
      <c r="P3127"/>
    </row>
    <row r="3128" spans="1:16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>
        <v>0</v>
      </c>
      <c r="N3128">
        <v>0</v>
      </c>
      <c r="O3128">
        <v>0</v>
      </c>
      <c r="P3128"/>
    </row>
    <row r="3129" spans="1:16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>
        <v>14</v>
      </c>
      <c r="N3129">
        <v>98.31</v>
      </c>
      <c r="O3129">
        <v>24.920127795527151</v>
      </c>
      <c r="P3129"/>
    </row>
    <row r="3130" spans="1:16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  <c r="P3130"/>
    </row>
    <row r="3131" spans="1:16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>
        <v>7</v>
      </c>
      <c r="N3131">
        <v>100</v>
      </c>
      <c r="O3131">
        <v>26.47058823529412</v>
      </c>
      <c r="P3131"/>
    </row>
    <row r="3132" spans="1:16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>
        <v>16</v>
      </c>
      <c r="N3132">
        <v>100</v>
      </c>
      <c r="O3132">
        <v>28.490028490028489</v>
      </c>
      <c r="P3132"/>
    </row>
    <row r="3133" spans="1:16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>
        <v>31</v>
      </c>
      <c r="N3133">
        <v>99.14</v>
      </c>
      <c r="O3133">
        <v>27.2289156626506</v>
      </c>
      <c r="P3133"/>
    </row>
    <row r="3134" spans="1:16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>
        <v>26</v>
      </c>
      <c r="N3134">
        <v>97.52</v>
      </c>
      <c r="O3134">
        <v>28.205128205128201</v>
      </c>
      <c r="P3134"/>
    </row>
    <row r="3135" spans="1:16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0</v>
      </c>
      <c r="N3135">
        <v>90</v>
      </c>
      <c r="O3135">
        <v>24.186046511627911</v>
      </c>
      <c r="P3135"/>
    </row>
    <row r="3136" spans="1:16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>
        <v>17</v>
      </c>
      <c r="N3136">
        <v>98.9</v>
      </c>
      <c r="O3136">
        <v>26.763990267639901</v>
      </c>
      <c r="P3136"/>
    </row>
    <row r="3137" spans="1:16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>
        <v>4</v>
      </c>
      <c r="N3137">
        <v>88.89</v>
      </c>
      <c r="O3137">
        <v>25.263157894736839</v>
      </c>
      <c r="P3137"/>
    </row>
    <row r="3138" spans="1:16" hidden="1" x14ac:dyDescent="0.25">
      <c r="A3138" s="11">
        <v>46099</v>
      </c>
      <c r="B3138" t="s">
        <v>43</v>
      </c>
      <c r="C3138" t="s">
        <v>32</v>
      </c>
      <c r="D3138">
        <v>32</v>
      </c>
      <c r="E3138">
        <v>31</v>
      </c>
      <c r="F3138">
        <v>17.18</v>
      </c>
      <c r="G3138">
        <v>0</v>
      </c>
      <c r="H3138">
        <v>0</v>
      </c>
      <c r="I3138" s="3">
        <f>E3138+G3138+H3138</f>
        <v>31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22</v>
      </c>
      <c r="K3138" s="3">
        <f>I3138-J3138</f>
        <v>9</v>
      </c>
      <c r="L3138" s="3" t="str">
        <f>IF(K3138&lt;-5,"CRÍTICO",IF(K3138&lt;0,"ATENÇÃO",IF(K3138&lt;=5,"OPORTUNO","MUITO BOM")))</f>
        <v>MUITO BOM</v>
      </c>
      <c r="M3138">
        <v>33</v>
      </c>
      <c r="N3138">
        <v>98.86</v>
      </c>
      <c r="O3138">
        <v>28.959276018099551</v>
      </c>
      <c r="P3138"/>
    </row>
    <row r="3139" spans="1:16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>
        <v>3</v>
      </c>
      <c r="N3139">
        <v>98.06</v>
      </c>
      <c r="O3139">
        <v>22.40566037735849</v>
      </c>
      <c r="P3139"/>
    </row>
    <row r="3140" spans="1:16" hidden="1" x14ac:dyDescent="0.25">
      <c r="A3140" s="11">
        <v>46099</v>
      </c>
      <c r="B3140" t="s">
        <v>20</v>
      </c>
      <c r="C3140" t="s">
        <v>16</v>
      </c>
      <c r="D3140">
        <v>6</v>
      </c>
      <c r="E3140">
        <v>6</v>
      </c>
      <c r="F3140">
        <v>94.02</v>
      </c>
      <c r="G3140">
        <v>0</v>
      </c>
      <c r="H3140">
        <v>0</v>
      </c>
      <c r="I3140" s="3">
        <f>E3140+G3140+H3140</f>
        <v>6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6</v>
      </c>
      <c r="K3140" s="3">
        <f>I3140-J3140</f>
        <v>0</v>
      </c>
      <c r="L3140" s="3" t="str">
        <f>IF(K3140&lt;-5,"CRÍTICO",IF(K3140&lt;0,"ATENÇÃO",IF(K3140&lt;=5,"OPORTUNO","MUITO BOM")))</f>
        <v>OPORTUNO</v>
      </c>
      <c r="M3140">
        <v>3</v>
      </c>
      <c r="N3140">
        <v>95.83</v>
      </c>
      <c r="O3140">
        <v>25.773195876288661</v>
      </c>
      <c r="P3140"/>
    </row>
    <row r="3141" spans="1:16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>
        <v>0</v>
      </c>
      <c r="N3141">
        <v>100</v>
      </c>
      <c r="O3141">
        <v>15.38461538461539</v>
      </c>
      <c r="P3141"/>
    </row>
    <row r="3142" spans="1:16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>
        <v>10</v>
      </c>
      <c r="N3142">
        <v>100</v>
      </c>
      <c r="O3142">
        <v>27.514792899408281</v>
      </c>
      <c r="P3142"/>
    </row>
    <row r="3143" spans="1:16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>
        <v>9</v>
      </c>
      <c r="N3143">
        <v>100</v>
      </c>
      <c r="O3143">
        <v>24.875621890547269</v>
      </c>
      <c r="P3143"/>
    </row>
    <row r="3144" spans="1:16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>
        <v>10</v>
      </c>
      <c r="N3144">
        <v>100</v>
      </c>
      <c r="O3144">
        <v>28.108108108108109</v>
      </c>
      <c r="P3144"/>
    </row>
    <row r="3145" spans="1:16" hidden="1" x14ac:dyDescent="0.25">
      <c r="A3145" s="11">
        <v>46099</v>
      </c>
      <c r="B3145" t="s">
        <v>21</v>
      </c>
      <c r="C3145" t="s">
        <v>16</v>
      </c>
      <c r="D3145">
        <v>0</v>
      </c>
      <c r="E3145">
        <v>0</v>
      </c>
      <c r="F3145">
        <v>0</v>
      </c>
      <c r="G3145">
        <v>0</v>
      </c>
      <c r="H3145">
        <v>0</v>
      </c>
      <c r="I3145" s="3">
        <v>0</v>
      </c>
      <c r="J3145" s="3">
        <v>0</v>
      </c>
      <c r="K3145" s="3">
        <v>0</v>
      </c>
      <c r="L3145" s="3" t="str">
        <f>IF(K3145&lt;-5,"CRÍTICO",IF(K3145&lt;0,"ATENÇÃO",IF(K3145&lt;=5,"OPORTUNO","MUITO BOM")))</f>
        <v>OPORTUNO</v>
      </c>
      <c r="M3145">
        <v>0</v>
      </c>
      <c r="N3145">
        <v>100</v>
      </c>
      <c r="O3145">
        <v>35</v>
      </c>
      <c r="P3145"/>
    </row>
    <row r="3146" spans="1:16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>
        <v>13</v>
      </c>
      <c r="N3146">
        <v>95.35</v>
      </c>
      <c r="O3146">
        <v>28.61538461538461</v>
      </c>
      <c r="P3146"/>
    </row>
    <row r="3147" spans="1:16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>
        <v>32</v>
      </c>
      <c r="N3147">
        <v>98.26</v>
      </c>
      <c r="O3147">
        <v>27.54491017964072</v>
      </c>
      <c r="P3147"/>
    </row>
    <row r="3148" spans="1:16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>
        <v>10</v>
      </c>
      <c r="N3148">
        <v>98.55</v>
      </c>
      <c r="O3148">
        <v>25.337837837837839</v>
      </c>
      <c r="P3148"/>
    </row>
    <row r="3149" spans="1:16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>
        <v>22</v>
      </c>
      <c r="N3149">
        <v>98.39</v>
      </c>
      <c r="O3149">
        <v>25.563909774436091</v>
      </c>
      <c r="P3149"/>
    </row>
    <row r="3150" spans="1:16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>
        <v>12</v>
      </c>
      <c r="N3150">
        <v>94.29</v>
      </c>
      <c r="O3150">
        <v>25.647668393782389</v>
      </c>
      <c r="P3150"/>
    </row>
    <row r="3151" spans="1:16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>
        <v>10</v>
      </c>
      <c r="N3151">
        <v>98.26</v>
      </c>
      <c r="O3151">
        <v>26.666666666666671</v>
      </c>
      <c r="P3151"/>
    </row>
    <row r="3152" spans="1:16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>
        <v>39</v>
      </c>
      <c r="N3152">
        <v>98.2</v>
      </c>
      <c r="O3152">
        <v>23.37962962962963</v>
      </c>
      <c r="P3152"/>
    </row>
    <row r="3153" spans="1:16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>
        <v>9</v>
      </c>
      <c r="N3153">
        <v>97.3</v>
      </c>
      <c r="O3153">
        <v>23.84769539078156</v>
      </c>
      <c r="P3153"/>
    </row>
    <row r="3154" spans="1:16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>
        <v>11</v>
      </c>
      <c r="N3154">
        <v>100</v>
      </c>
      <c r="O3154">
        <v>25.268817204301079</v>
      </c>
      <c r="P3154"/>
    </row>
    <row r="3155" spans="1:16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>
        <v>22</v>
      </c>
      <c r="N3155">
        <v>99.32</v>
      </c>
      <c r="O3155">
        <v>22.822822822822818</v>
      </c>
      <c r="P3155"/>
    </row>
    <row r="3156" spans="1:16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>
        <v>24</v>
      </c>
      <c r="N3156">
        <v>100</v>
      </c>
      <c r="O3156">
        <v>27.966101694915249</v>
      </c>
      <c r="P3156"/>
    </row>
    <row r="3157" spans="1:16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>
        <v>0</v>
      </c>
      <c r="N3157">
        <v>100</v>
      </c>
      <c r="O3157">
        <v>30.434782608695659</v>
      </c>
      <c r="P3157"/>
    </row>
    <row r="3158" spans="1:16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>
        <v>26</v>
      </c>
      <c r="N3158">
        <v>96.51</v>
      </c>
      <c r="O3158">
        <v>22.802850356294542</v>
      </c>
      <c r="P3158"/>
    </row>
    <row r="3159" spans="1:16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>
        <v>10</v>
      </c>
      <c r="N3159">
        <v>92.68</v>
      </c>
      <c r="O3159">
        <v>27.777777777777779</v>
      </c>
      <c r="P3159"/>
    </row>
    <row r="3160" spans="1:16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17</v>
      </c>
      <c r="N3160">
        <v>99.03</v>
      </c>
      <c r="O3160">
        <v>23.991507430997881</v>
      </c>
      <c r="P3160"/>
    </row>
    <row r="3161" spans="1:16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>
        <v>9</v>
      </c>
      <c r="N3161">
        <v>98.41</v>
      </c>
      <c r="O3161">
        <v>28.138528138528141</v>
      </c>
      <c r="P3161"/>
    </row>
    <row r="3162" spans="1:16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>
        <v>22</v>
      </c>
      <c r="N3162">
        <v>98.73</v>
      </c>
      <c r="O3162">
        <v>29.142857142857139</v>
      </c>
      <c r="P3162"/>
    </row>
    <row r="3163" spans="1:16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>
        <v>6</v>
      </c>
      <c r="N3163">
        <v>90.48</v>
      </c>
      <c r="O3163">
        <v>20.68965517241379</v>
      </c>
      <c r="P3163"/>
    </row>
    <row r="3164" spans="1:16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>
        <v>16</v>
      </c>
      <c r="N3164">
        <v>98.06</v>
      </c>
      <c r="O3164">
        <v>24.789915966386559</v>
      </c>
      <c r="P3164"/>
    </row>
    <row r="3165" spans="1:16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>
        <v>23</v>
      </c>
      <c r="N3165">
        <v>97.78</v>
      </c>
      <c r="O3165">
        <v>25.494071146245059</v>
      </c>
      <c r="P3165"/>
    </row>
    <row r="3166" spans="1:16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>
        <v>10</v>
      </c>
      <c r="N3166">
        <v>98.02</v>
      </c>
      <c r="O3166">
        <v>23.484848484848481</v>
      </c>
      <c r="P3166"/>
    </row>
    <row r="3167" spans="1:16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>
        <v>18</v>
      </c>
      <c r="N3167">
        <v>99.28</v>
      </c>
      <c r="O3167">
        <v>27.689243027888441</v>
      </c>
      <c r="P3167"/>
    </row>
    <row r="3168" spans="1:16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>
        <v>18</v>
      </c>
      <c r="N3168">
        <v>100</v>
      </c>
      <c r="O3168">
        <v>27.04918032786885</v>
      </c>
      <c r="P3168"/>
    </row>
    <row r="3169" spans="1:16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>
        <v>33</v>
      </c>
      <c r="N3169">
        <v>97.83</v>
      </c>
      <c r="O3169">
        <v>26.315789473684209</v>
      </c>
      <c r="P3169"/>
    </row>
    <row r="3170" spans="1:16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>
        <v>8</v>
      </c>
      <c r="N3170">
        <v>100</v>
      </c>
      <c r="O3170">
        <v>26.701570680628269</v>
      </c>
      <c r="P3170"/>
    </row>
    <row r="3171" spans="1:16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>
        <v>1</v>
      </c>
      <c r="N3171">
        <v>97.47</v>
      </c>
      <c r="O3171">
        <v>22.887323943661968</v>
      </c>
      <c r="P3171"/>
    </row>
    <row r="3172" spans="1:16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>
        <v>0</v>
      </c>
      <c r="N3172">
        <v>0</v>
      </c>
      <c r="O3172">
        <v>0</v>
      </c>
      <c r="P3172"/>
    </row>
    <row r="3173" spans="1:16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>
        <v>18</v>
      </c>
      <c r="N3173">
        <v>98.31</v>
      </c>
      <c r="O3173">
        <v>24.920127795527151</v>
      </c>
      <c r="P3173"/>
    </row>
    <row r="3174" spans="1:16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>
        <v>18</v>
      </c>
      <c r="N3174">
        <v>96.81</v>
      </c>
      <c r="O3174">
        <v>32.365145228215773</v>
      </c>
      <c r="P3174"/>
    </row>
    <row r="3175" spans="1:16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>
        <v>8</v>
      </c>
      <c r="N3175">
        <v>100</v>
      </c>
      <c r="O3175">
        <v>26.47058823529412</v>
      </c>
      <c r="P3175"/>
    </row>
    <row r="3176" spans="1:16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>
        <v>13</v>
      </c>
      <c r="N3176">
        <v>100</v>
      </c>
      <c r="O3176">
        <v>28.490028490028489</v>
      </c>
      <c r="P3176"/>
    </row>
    <row r="3177" spans="1:16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>
        <v>10</v>
      </c>
      <c r="N3177">
        <v>99.14</v>
      </c>
      <c r="O3177">
        <v>27.2289156626506</v>
      </c>
      <c r="P3177"/>
    </row>
    <row r="3178" spans="1:16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>
        <v>20</v>
      </c>
      <c r="N3178">
        <v>97.52</v>
      </c>
      <c r="O3178">
        <v>28.205128205128201</v>
      </c>
      <c r="P3178"/>
    </row>
    <row r="3179" spans="1:16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0</v>
      </c>
      <c r="N3179">
        <v>90</v>
      </c>
      <c r="O3179">
        <v>24.186046511627911</v>
      </c>
      <c r="P3179"/>
    </row>
    <row r="3180" spans="1:16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>
        <v>12</v>
      </c>
      <c r="N3180">
        <v>98.9</v>
      </c>
      <c r="O3180">
        <v>26.763990267639901</v>
      </c>
      <c r="P3180"/>
    </row>
    <row r="3181" spans="1:16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>
        <v>0</v>
      </c>
      <c r="N3181">
        <v>88.89</v>
      </c>
      <c r="O3181">
        <v>25.263157894736839</v>
      </c>
      <c r="P3181"/>
    </row>
    <row r="3182" spans="1:16" hidden="1" x14ac:dyDescent="0.25">
      <c r="A3182" s="11">
        <v>46100</v>
      </c>
      <c r="B3182" t="s">
        <v>43</v>
      </c>
      <c r="C3182" t="s">
        <v>32</v>
      </c>
      <c r="D3182">
        <v>34</v>
      </c>
      <c r="E3182">
        <v>30</v>
      </c>
      <c r="F3182">
        <v>20.07</v>
      </c>
      <c r="G3182">
        <v>0</v>
      </c>
      <c r="H3182">
        <v>0</v>
      </c>
      <c r="I3182" s="3">
        <f>E3182+G3182+H3182</f>
        <v>30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22</v>
      </c>
      <c r="K3182" s="3">
        <f>I3182-J3182</f>
        <v>8</v>
      </c>
      <c r="L3182" s="3" t="str">
        <f>IF(K3182&lt;-5,"CRÍTICO",IF(K3182&lt;0,"ATENÇÃO",IF(K3182&lt;=5,"OPORTUNO","MUITO BOM")))</f>
        <v>MUITO BOM</v>
      </c>
      <c r="M3182">
        <v>28</v>
      </c>
      <c r="N3182">
        <v>98.86</v>
      </c>
      <c r="O3182">
        <v>28.959276018099551</v>
      </c>
      <c r="P3182"/>
    </row>
    <row r="3183" spans="1:16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>
        <v>0</v>
      </c>
      <c r="N3183">
        <v>98.06</v>
      </c>
      <c r="O3183">
        <v>22.40566037735849</v>
      </c>
      <c r="P3183"/>
    </row>
    <row r="3184" spans="1:16" hidden="1" x14ac:dyDescent="0.25">
      <c r="A3184" s="11">
        <v>46100</v>
      </c>
      <c r="B3184" t="s">
        <v>20</v>
      </c>
      <c r="C3184" t="s">
        <v>16</v>
      </c>
      <c r="D3184">
        <v>6</v>
      </c>
      <c r="E3184">
        <v>6</v>
      </c>
      <c r="F3184">
        <v>48.35</v>
      </c>
      <c r="G3184">
        <v>0</v>
      </c>
      <c r="H3184">
        <v>0</v>
      </c>
      <c r="I3184" s="3">
        <f>E3184+G3184+H3184</f>
        <v>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6</v>
      </c>
      <c r="K3184" s="3">
        <f>I3184-J3184</f>
        <v>0</v>
      </c>
      <c r="L3184" s="3" t="str">
        <f>IF(K3184&lt;-5,"CRÍTICO",IF(K3184&lt;0,"ATENÇÃO",IF(K3184&lt;=5,"OPORTUNO","MUITO BOM")))</f>
        <v>OPORTUNO</v>
      </c>
      <c r="M3184">
        <v>4</v>
      </c>
      <c r="N3184">
        <v>95.83</v>
      </c>
      <c r="O3184">
        <v>25.773195876288661</v>
      </c>
      <c r="P3184"/>
    </row>
    <row r="3185" spans="1:16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>
        <v>0</v>
      </c>
      <c r="N3185">
        <v>100</v>
      </c>
      <c r="O3185">
        <v>15.38461538461539</v>
      </c>
      <c r="P3185"/>
    </row>
    <row r="3186" spans="1:16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27.514792899408281</v>
      </c>
      <c r="P3186"/>
    </row>
    <row r="3187" spans="1:16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>
        <v>9</v>
      </c>
      <c r="N3187">
        <v>100</v>
      </c>
      <c r="O3187">
        <v>24.875621890547269</v>
      </c>
      <c r="P3187"/>
    </row>
    <row r="3188" spans="1:16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>
        <v>7</v>
      </c>
      <c r="N3188">
        <v>100</v>
      </c>
      <c r="O3188">
        <v>28.108108108108109</v>
      </c>
      <c r="P3188"/>
    </row>
    <row r="3189" spans="1:16" hidden="1" x14ac:dyDescent="0.25">
      <c r="A3189" s="11">
        <v>46100</v>
      </c>
      <c r="B3189" t="s">
        <v>21</v>
      </c>
      <c r="C3189" t="s">
        <v>16</v>
      </c>
      <c r="D3189">
        <v>0</v>
      </c>
      <c r="E3189">
        <v>0</v>
      </c>
      <c r="F3189">
        <v>0</v>
      </c>
      <c r="G3189">
        <v>0</v>
      </c>
      <c r="H3189">
        <v>0</v>
      </c>
      <c r="I3189" s="3">
        <v>0</v>
      </c>
      <c r="J3189" s="3">
        <v>0</v>
      </c>
      <c r="K3189" s="3">
        <v>0</v>
      </c>
      <c r="L3189" s="3" t="str">
        <f>IF(K3189&lt;-5,"CRÍTICO",IF(K3189&lt;0,"ATENÇÃO",IF(K3189&lt;=5,"OPORTUNO","MUITO BOM")))</f>
        <v>OPORTUNO</v>
      </c>
      <c r="M3189">
        <v>0</v>
      </c>
      <c r="N3189">
        <v>100</v>
      </c>
      <c r="O3189">
        <v>35</v>
      </c>
      <c r="P3189"/>
    </row>
    <row r="3190" spans="1:16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>
        <v>21</v>
      </c>
      <c r="N3190">
        <v>95.35</v>
      </c>
      <c r="O3190">
        <v>28.61538461538461</v>
      </c>
      <c r="P3190"/>
    </row>
    <row r="3191" spans="1:16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>
        <v>33</v>
      </c>
      <c r="N3191">
        <v>98.26</v>
      </c>
      <c r="O3191">
        <v>27.54491017964072</v>
      </c>
      <c r="P3191"/>
    </row>
    <row r="3192" spans="1:16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>
        <v>18</v>
      </c>
      <c r="N3192">
        <v>98.55</v>
      </c>
      <c r="O3192">
        <v>25.337837837837839</v>
      </c>
      <c r="P3192"/>
    </row>
    <row r="3193" spans="1:16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>
        <v>20</v>
      </c>
      <c r="N3193">
        <v>98.39</v>
      </c>
      <c r="O3193">
        <v>25.563909774436091</v>
      </c>
      <c r="P3193"/>
    </row>
    <row r="3194" spans="1:16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  <c r="P3194"/>
    </row>
    <row r="3195" spans="1:16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>
        <v>7</v>
      </c>
      <c r="N3195">
        <v>98.26</v>
      </c>
      <c r="O3195">
        <v>26.666666666666671</v>
      </c>
      <c r="P3195"/>
    </row>
    <row r="3196" spans="1:16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>
        <v>14</v>
      </c>
      <c r="N3196">
        <v>98.2</v>
      </c>
      <c r="O3196">
        <v>23.37962962962963</v>
      </c>
      <c r="P3196"/>
    </row>
    <row r="3197" spans="1:16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>
        <v>17</v>
      </c>
      <c r="N3197">
        <v>97.3</v>
      </c>
      <c r="O3197">
        <v>23.84769539078156</v>
      </c>
      <c r="P3197"/>
    </row>
    <row r="3198" spans="1:16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>
        <v>9</v>
      </c>
      <c r="N3198">
        <v>100</v>
      </c>
      <c r="O3198">
        <v>25.268817204301079</v>
      </c>
      <c r="P3198"/>
    </row>
    <row r="3199" spans="1:16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>
        <v>12</v>
      </c>
      <c r="N3199">
        <v>99.32</v>
      </c>
      <c r="O3199">
        <v>22.822822822822818</v>
      </c>
      <c r="P3199"/>
    </row>
    <row r="3200" spans="1:16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>
        <v>23</v>
      </c>
      <c r="N3200">
        <v>100</v>
      </c>
      <c r="O3200">
        <v>27.966101694915249</v>
      </c>
      <c r="P3200"/>
    </row>
    <row r="3201" spans="1:16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>
        <v>0</v>
      </c>
      <c r="N3201">
        <v>100</v>
      </c>
      <c r="O3201">
        <v>30.434782608695659</v>
      </c>
      <c r="P3201"/>
    </row>
    <row r="3202" spans="1:16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>
        <v>20</v>
      </c>
      <c r="N3202">
        <v>96.51</v>
      </c>
      <c r="O3202">
        <v>22.802850356294542</v>
      </c>
      <c r="P3202"/>
    </row>
    <row r="3203" spans="1:16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>
        <v>0</v>
      </c>
      <c r="N3203">
        <v>92.68</v>
      </c>
      <c r="O3203">
        <v>27.777777777777779</v>
      </c>
      <c r="P3203"/>
    </row>
    <row r="3204" spans="1:16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24</v>
      </c>
      <c r="N3204">
        <v>99.03</v>
      </c>
      <c r="O3204">
        <v>23.991507430997881</v>
      </c>
      <c r="P3204"/>
    </row>
    <row r="3205" spans="1:16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>
        <v>12</v>
      </c>
      <c r="N3205">
        <v>98.41</v>
      </c>
      <c r="O3205">
        <v>28.138528138528141</v>
      </c>
      <c r="P3205"/>
    </row>
    <row r="3206" spans="1:16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>
        <v>22</v>
      </c>
      <c r="N3206">
        <v>98.73</v>
      </c>
      <c r="O3206">
        <v>29.142857142857139</v>
      </c>
      <c r="P3206"/>
    </row>
    <row r="3207" spans="1:16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>
        <v>7</v>
      </c>
      <c r="N3207">
        <v>90.48</v>
      </c>
      <c r="O3207">
        <v>20.68965517241379</v>
      </c>
      <c r="P3207"/>
    </row>
    <row r="3208" spans="1:16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>
        <v>11</v>
      </c>
      <c r="N3208">
        <v>98.06</v>
      </c>
      <c r="O3208">
        <v>24.789915966386559</v>
      </c>
      <c r="P3208"/>
    </row>
    <row r="3209" spans="1:16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>
        <v>28</v>
      </c>
      <c r="N3209">
        <v>97.78</v>
      </c>
      <c r="O3209">
        <v>25.494071146245059</v>
      </c>
      <c r="P3209"/>
    </row>
    <row r="3210" spans="1:16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>
        <v>10</v>
      </c>
      <c r="N3210">
        <v>98.02</v>
      </c>
      <c r="O3210">
        <v>23.484848484848481</v>
      </c>
      <c r="P3210"/>
    </row>
    <row r="3211" spans="1:16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>
        <v>21</v>
      </c>
      <c r="N3211">
        <v>99.28</v>
      </c>
      <c r="O3211">
        <v>27.689243027888441</v>
      </c>
      <c r="P3211"/>
    </row>
    <row r="3212" spans="1:16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>
        <v>27</v>
      </c>
      <c r="N3212">
        <v>100</v>
      </c>
      <c r="O3212">
        <v>27.04918032786885</v>
      </c>
      <c r="P3212"/>
    </row>
    <row r="3213" spans="1:16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>
        <v>33</v>
      </c>
      <c r="N3213">
        <v>97.83</v>
      </c>
      <c r="O3213">
        <v>26.315789473684209</v>
      </c>
      <c r="P3213"/>
    </row>
    <row r="3214" spans="1:16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>
        <v>9</v>
      </c>
      <c r="N3214">
        <v>100</v>
      </c>
      <c r="O3214">
        <v>26.701570680628269</v>
      </c>
      <c r="P3214"/>
    </row>
    <row r="3215" spans="1:16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>
        <v>0</v>
      </c>
      <c r="N3215">
        <v>97.47</v>
      </c>
      <c r="O3215">
        <v>22.887323943661968</v>
      </c>
      <c r="P3215"/>
    </row>
    <row r="3216" spans="1:16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0</v>
      </c>
      <c r="O3216">
        <v>0</v>
      </c>
      <c r="P3216"/>
    </row>
    <row r="3217" spans="1:16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>
        <v>23</v>
      </c>
      <c r="N3217">
        <v>98.31</v>
      </c>
      <c r="O3217">
        <v>24.920127795527151</v>
      </c>
      <c r="P3217"/>
    </row>
    <row r="3218" spans="1:16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>
        <v>5</v>
      </c>
      <c r="N3218">
        <v>96.81</v>
      </c>
      <c r="O3218">
        <v>32.365145228215773</v>
      </c>
      <c r="P3218"/>
    </row>
    <row r="3219" spans="1:16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>
        <v>6</v>
      </c>
      <c r="N3219">
        <v>100</v>
      </c>
      <c r="O3219">
        <v>26.47058823529412</v>
      </c>
      <c r="P3219"/>
    </row>
    <row r="3220" spans="1:16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>
        <v>22</v>
      </c>
      <c r="N3220">
        <v>100</v>
      </c>
      <c r="O3220">
        <v>28.490028490028489</v>
      </c>
      <c r="P3220"/>
    </row>
    <row r="3221" spans="1:16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>
        <v>22</v>
      </c>
      <c r="N3221">
        <v>99.14</v>
      </c>
      <c r="O3221">
        <v>27.2289156626506</v>
      </c>
      <c r="P3221"/>
    </row>
    <row r="3222" spans="1:16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>
        <v>26</v>
      </c>
      <c r="N3222">
        <v>97.52</v>
      </c>
      <c r="O3222">
        <v>28.205128205128201</v>
      </c>
      <c r="P3222"/>
    </row>
    <row r="3223" spans="1:16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0</v>
      </c>
      <c r="N3223">
        <v>90</v>
      </c>
      <c r="O3223">
        <v>24.186046511627911</v>
      </c>
      <c r="P3223"/>
    </row>
    <row r="3224" spans="1:16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>
        <v>23</v>
      </c>
      <c r="N3224">
        <v>98.9</v>
      </c>
      <c r="O3224">
        <v>26.763990267639901</v>
      </c>
      <c r="P3224"/>
    </row>
    <row r="3225" spans="1:16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>
        <v>7</v>
      </c>
      <c r="N3225">
        <v>88.89</v>
      </c>
      <c r="O3225">
        <v>25.263157894736839</v>
      </c>
      <c r="P3225"/>
    </row>
    <row r="3226" spans="1:16" hidden="1" x14ac:dyDescent="0.25">
      <c r="A3226" s="11">
        <v>46101</v>
      </c>
      <c r="B3226" t="s">
        <v>43</v>
      </c>
      <c r="C3226" t="s">
        <v>32</v>
      </c>
      <c r="D3226">
        <v>42</v>
      </c>
      <c r="E3226">
        <v>40</v>
      </c>
      <c r="F3226">
        <v>13.39</v>
      </c>
      <c r="G3226">
        <v>0</v>
      </c>
      <c r="H3226">
        <v>0</v>
      </c>
      <c r="I3226" s="3">
        <f>E3226+G3226+H3226</f>
        <v>40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22</v>
      </c>
      <c r="K3226" s="3">
        <f>I3226-J3226</f>
        <v>18</v>
      </c>
      <c r="L3226" s="3" t="str">
        <f>IF(K3226&lt;-5,"CRÍTICO",IF(K3226&lt;0,"ATENÇÃO",IF(K3226&lt;=5,"OPORTUNO","MUITO BOM")))</f>
        <v>MUITO BOM</v>
      </c>
      <c r="M3226">
        <v>32</v>
      </c>
      <c r="N3226">
        <v>98.86</v>
      </c>
      <c r="O3226">
        <v>28.959276018099551</v>
      </c>
      <c r="P3226"/>
    </row>
    <row r="3227" spans="1:16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>
        <v>0</v>
      </c>
      <c r="N3227">
        <v>98.06</v>
      </c>
      <c r="O3227">
        <v>22.40566037735849</v>
      </c>
      <c r="P3227"/>
    </row>
    <row r="3228" spans="1:16" hidden="1" x14ac:dyDescent="0.25">
      <c r="A3228" s="11">
        <v>46101</v>
      </c>
      <c r="B3228" t="s">
        <v>20</v>
      </c>
      <c r="C3228" t="s">
        <v>16</v>
      </c>
      <c r="D3228">
        <v>4</v>
      </c>
      <c r="E3228">
        <v>4</v>
      </c>
      <c r="F3228">
        <v>63.47</v>
      </c>
      <c r="G3228">
        <v>0</v>
      </c>
      <c r="H3228">
        <v>0</v>
      </c>
      <c r="I3228" s="3">
        <f>E3228+G3228+H3228</f>
        <v>4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6</v>
      </c>
      <c r="K3228" s="3">
        <f>I3228-J3228</f>
        <v>-2</v>
      </c>
      <c r="L3228" s="3" t="str">
        <f>IF(K3228&lt;-5,"CRÍTICO",IF(K3228&lt;0,"ATENÇÃO",IF(K3228&lt;=5,"OPORTUNO","MUITO BOM")))</f>
        <v>ATENÇÃO</v>
      </c>
      <c r="M3228">
        <v>1</v>
      </c>
      <c r="N3228">
        <v>95.83</v>
      </c>
      <c r="O3228">
        <v>25.773195876288661</v>
      </c>
      <c r="P3228"/>
    </row>
    <row r="3229" spans="1:16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>
        <v>0</v>
      </c>
      <c r="N3229">
        <v>100</v>
      </c>
      <c r="O3229">
        <v>15.38461538461539</v>
      </c>
      <c r="P3229"/>
    </row>
    <row r="3230" spans="1:16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>
        <v>27</v>
      </c>
      <c r="N3230">
        <v>100</v>
      </c>
      <c r="O3230">
        <v>27.514792899408281</v>
      </c>
      <c r="P3230"/>
    </row>
    <row r="3231" spans="1:16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>
        <v>12</v>
      </c>
      <c r="N3231">
        <v>100</v>
      </c>
      <c r="O3231">
        <v>24.875621890547269</v>
      </c>
      <c r="P3231"/>
    </row>
    <row r="3232" spans="1:16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>
        <v>9</v>
      </c>
      <c r="N3232">
        <v>100</v>
      </c>
      <c r="O3232">
        <v>28.108108108108109</v>
      </c>
      <c r="P3232"/>
    </row>
    <row r="3233" spans="1:16" hidden="1" x14ac:dyDescent="0.25">
      <c r="A3233" s="11">
        <v>46101</v>
      </c>
      <c r="B3233" t="s">
        <v>21</v>
      </c>
      <c r="C3233" t="s">
        <v>16</v>
      </c>
      <c r="D3233">
        <v>0</v>
      </c>
      <c r="E3233">
        <v>0</v>
      </c>
      <c r="F3233">
        <v>0</v>
      </c>
      <c r="G3233">
        <v>0</v>
      </c>
      <c r="H3233">
        <v>0</v>
      </c>
      <c r="I3233" s="3">
        <v>0</v>
      </c>
      <c r="J3233" s="3">
        <v>0</v>
      </c>
      <c r="K3233" s="3">
        <v>0</v>
      </c>
      <c r="L3233" s="3" t="str">
        <f>IF(K3233&lt;-5,"CRÍTICO",IF(K3233&lt;0,"ATENÇÃO",IF(K3233&lt;=5,"OPORTUNO","MUITO BOM")))</f>
        <v>OPORTUNO</v>
      </c>
      <c r="M3233">
        <v>0</v>
      </c>
      <c r="N3233">
        <v>100</v>
      </c>
      <c r="O3233">
        <v>35</v>
      </c>
      <c r="P3233"/>
    </row>
    <row r="3234" spans="1:16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>
        <v>12</v>
      </c>
      <c r="N3234">
        <v>95.35</v>
      </c>
      <c r="O3234">
        <v>28.61538461538461</v>
      </c>
      <c r="P3234"/>
    </row>
    <row r="3235" spans="1:16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>
        <v>32</v>
      </c>
      <c r="N3235">
        <v>98.26</v>
      </c>
      <c r="O3235">
        <v>27.54491017964072</v>
      </c>
      <c r="P3235"/>
    </row>
    <row r="3236" spans="1:16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>
        <v>16</v>
      </c>
      <c r="N3236">
        <v>98.55</v>
      </c>
      <c r="O3236">
        <v>25.337837837837839</v>
      </c>
      <c r="P3236"/>
    </row>
    <row r="3237" spans="1:16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>
        <v>26</v>
      </c>
      <c r="N3237">
        <v>98.39</v>
      </c>
      <c r="O3237">
        <v>25.563909774436091</v>
      </c>
      <c r="P3237"/>
    </row>
    <row r="3238" spans="1:16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>
        <v>17</v>
      </c>
      <c r="N3238">
        <v>94.29</v>
      </c>
      <c r="O3238">
        <v>25.647668393782389</v>
      </c>
      <c r="P3238"/>
    </row>
    <row r="3239" spans="1:16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>
        <v>20</v>
      </c>
      <c r="N3239">
        <v>98.26</v>
      </c>
      <c r="O3239">
        <v>26.666666666666671</v>
      </c>
      <c r="P3239"/>
    </row>
    <row r="3240" spans="1:16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>
        <v>20</v>
      </c>
      <c r="N3240">
        <v>98.2</v>
      </c>
      <c r="O3240">
        <v>23.37962962962963</v>
      </c>
      <c r="P3240"/>
    </row>
    <row r="3241" spans="1:16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>
        <v>19</v>
      </c>
      <c r="N3241">
        <v>97.3</v>
      </c>
      <c r="O3241">
        <v>23.84769539078156</v>
      </c>
      <c r="P3241"/>
    </row>
    <row r="3242" spans="1:16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>
        <v>10</v>
      </c>
      <c r="N3242">
        <v>100</v>
      </c>
      <c r="O3242">
        <v>25.268817204301079</v>
      </c>
      <c r="P3242"/>
    </row>
    <row r="3243" spans="1:16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>
        <v>22</v>
      </c>
      <c r="N3243">
        <v>99.32</v>
      </c>
      <c r="O3243">
        <v>22.822822822822818</v>
      </c>
      <c r="P3243"/>
    </row>
    <row r="3244" spans="1:16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>
        <v>14</v>
      </c>
      <c r="N3244">
        <v>100</v>
      </c>
      <c r="O3244">
        <v>27.966101694915249</v>
      </c>
      <c r="P3244"/>
    </row>
    <row r="3245" spans="1:16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>
        <v>0</v>
      </c>
      <c r="N3245">
        <v>100</v>
      </c>
      <c r="O3245">
        <v>30.434782608695659</v>
      </c>
      <c r="P3245"/>
    </row>
    <row r="3246" spans="1:16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>
        <v>20</v>
      </c>
      <c r="N3246">
        <v>96.51</v>
      </c>
      <c r="O3246">
        <v>22.802850356294542</v>
      </c>
      <c r="P3246"/>
    </row>
    <row r="3247" spans="1:16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>
        <v>7</v>
      </c>
      <c r="N3247">
        <v>92.68</v>
      </c>
      <c r="O3247">
        <v>27.777777777777779</v>
      </c>
      <c r="P3247"/>
    </row>
    <row r="3248" spans="1:16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>
        <v>17</v>
      </c>
      <c r="N3248">
        <v>99.03</v>
      </c>
      <c r="O3248">
        <v>23.991507430997881</v>
      </c>
      <c r="P3248"/>
    </row>
    <row r="3249" spans="1:16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>
        <v>6</v>
      </c>
      <c r="N3249">
        <v>98.41</v>
      </c>
      <c r="O3249">
        <v>28.138528138528141</v>
      </c>
      <c r="P3249"/>
    </row>
    <row r="3250" spans="1:16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>
        <v>19</v>
      </c>
      <c r="N3250">
        <v>98.73</v>
      </c>
      <c r="O3250">
        <v>29.142857142857139</v>
      </c>
      <c r="P3250"/>
    </row>
    <row r="3251" spans="1:16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>
        <v>5</v>
      </c>
      <c r="N3251">
        <v>90.48</v>
      </c>
      <c r="O3251">
        <v>20.68965517241379</v>
      </c>
      <c r="P3251"/>
    </row>
    <row r="3252" spans="1:16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>
        <v>22</v>
      </c>
      <c r="N3252">
        <v>98.06</v>
      </c>
      <c r="O3252">
        <v>24.789915966386559</v>
      </c>
      <c r="P3252"/>
    </row>
    <row r="3253" spans="1:16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>
        <v>27</v>
      </c>
      <c r="N3253">
        <v>97.78</v>
      </c>
      <c r="O3253">
        <v>25.494071146245059</v>
      </c>
      <c r="P3253"/>
    </row>
    <row r="3254" spans="1:16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>
        <v>23</v>
      </c>
      <c r="N3254">
        <v>98.02</v>
      </c>
      <c r="O3254">
        <v>23.484848484848481</v>
      </c>
      <c r="P3254"/>
    </row>
    <row r="3255" spans="1:16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>
        <v>10</v>
      </c>
      <c r="N3255">
        <v>99.28</v>
      </c>
      <c r="O3255">
        <v>27.689243027888441</v>
      </c>
      <c r="P3255"/>
    </row>
    <row r="3256" spans="1:16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>
        <v>27</v>
      </c>
      <c r="N3256">
        <v>100</v>
      </c>
      <c r="O3256">
        <v>27.04918032786885</v>
      </c>
      <c r="P3256"/>
    </row>
    <row r="3257" spans="1:16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>
        <v>26</v>
      </c>
      <c r="N3257">
        <v>97.83</v>
      </c>
      <c r="O3257">
        <v>26.315789473684209</v>
      </c>
      <c r="P3257"/>
    </row>
    <row r="3258" spans="1:16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  <c r="P3258"/>
    </row>
    <row r="3259" spans="1:16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>
        <v>0</v>
      </c>
      <c r="N3259">
        <v>97.47</v>
      </c>
      <c r="O3259">
        <v>22.887323943661968</v>
      </c>
      <c r="P3259"/>
    </row>
    <row r="3260" spans="1:16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0</v>
      </c>
      <c r="O3260">
        <v>0</v>
      </c>
      <c r="P3260"/>
    </row>
    <row r="3261" spans="1:16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>
        <v>8</v>
      </c>
      <c r="N3261">
        <v>98.31</v>
      </c>
      <c r="O3261">
        <v>24.920127795527151</v>
      </c>
      <c r="P3261"/>
    </row>
    <row r="3262" spans="1:16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>
        <v>13</v>
      </c>
      <c r="N3262">
        <v>96.81</v>
      </c>
      <c r="O3262">
        <v>32.365145228215773</v>
      </c>
      <c r="P3262"/>
    </row>
    <row r="3263" spans="1:16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>
        <v>12</v>
      </c>
      <c r="N3263">
        <v>100</v>
      </c>
      <c r="O3263">
        <v>26.47058823529412</v>
      </c>
      <c r="P3263"/>
    </row>
    <row r="3264" spans="1:16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>
        <v>14</v>
      </c>
      <c r="N3264">
        <v>100</v>
      </c>
      <c r="O3264">
        <v>28.490028490028489</v>
      </c>
      <c r="P3264"/>
    </row>
    <row r="3265" spans="1:16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>
        <v>32</v>
      </c>
      <c r="N3265">
        <v>99.14</v>
      </c>
      <c r="O3265">
        <v>27.2289156626506</v>
      </c>
      <c r="P3265"/>
    </row>
    <row r="3266" spans="1:16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>
        <v>22</v>
      </c>
      <c r="N3266">
        <v>97.52</v>
      </c>
      <c r="O3266">
        <v>28.205128205128201</v>
      </c>
      <c r="P3266"/>
    </row>
    <row r="3267" spans="1:16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0</v>
      </c>
      <c r="N3267">
        <v>90</v>
      </c>
      <c r="O3267">
        <v>24.186046511627911</v>
      </c>
      <c r="P3267"/>
    </row>
    <row r="3268" spans="1:16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>
        <v>16</v>
      </c>
      <c r="N3268">
        <v>98.9</v>
      </c>
      <c r="O3268">
        <v>26.763990267639901</v>
      </c>
      <c r="P3268"/>
    </row>
    <row r="3269" spans="1:16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>
        <v>5</v>
      </c>
      <c r="N3269">
        <v>88.89</v>
      </c>
      <c r="O3269">
        <v>25.263157894736839</v>
      </c>
      <c r="P3269"/>
    </row>
    <row r="3270" spans="1:16" hidden="1" x14ac:dyDescent="0.25">
      <c r="A3270" s="11">
        <v>46104</v>
      </c>
      <c r="B3270" t="s">
        <v>43</v>
      </c>
      <c r="C3270" t="s">
        <v>32</v>
      </c>
      <c r="D3270">
        <v>21</v>
      </c>
      <c r="E3270">
        <v>20</v>
      </c>
      <c r="F3270">
        <v>19.079999999999998</v>
      </c>
      <c r="G3270">
        <v>0</v>
      </c>
      <c r="H3270">
        <v>0</v>
      </c>
      <c r="I3270" s="3">
        <f>E3270+G3270+H3270</f>
        <v>20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22</v>
      </c>
      <c r="K3270" s="3">
        <f>I3270-J3270</f>
        <v>-2</v>
      </c>
      <c r="L3270" s="3" t="str">
        <f>IF(K3270&lt;-5,"CRÍTICO",IF(K3270&lt;0,"ATENÇÃO",IF(K3270&lt;=5,"OPORTUNO","MUITO BOM")))</f>
        <v>ATENÇÃO</v>
      </c>
      <c r="M3270">
        <v>19</v>
      </c>
      <c r="N3270">
        <v>98.86</v>
      </c>
      <c r="O3270">
        <v>28.959276018099551</v>
      </c>
      <c r="P3270"/>
    </row>
    <row r="3271" spans="1:16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>
        <v>27</v>
      </c>
      <c r="N3271">
        <v>98.06</v>
      </c>
      <c r="O3271">
        <v>22.40566037735849</v>
      </c>
      <c r="P3271"/>
    </row>
    <row r="3272" spans="1:16" hidden="1" x14ac:dyDescent="0.25">
      <c r="A3272" s="11">
        <v>46104</v>
      </c>
      <c r="B3272" t="s">
        <v>20</v>
      </c>
      <c r="C3272" t="s">
        <v>16</v>
      </c>
      <c r="D3272">
        <v>4</v>
      </c>
      <c r="E3272">
        <v>4</v>
      </c>
      <c r="F3272">
        <v>60.03</v>
      </c>
      <c r="G3272">
        <v>0</v>
      </c>
      <c r="H3272">
        <v>0</v>
      </c>
      <c r="I3272" s="3">
        <f>E3272+G3272+H3272</f>
        <v>4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6</v>
      </c>
      <c r="K3272" s="3">
        <f>I3272-J3272</f>
        <v>-2</v>
      </c>
      <c r="L3272" s="3" t="str">
        <f>IF(K3272&lt;-5,"CRÍTICO",IF(K3272&lt;0,"ATENÇÃO",IF(K3272&lt;=5,"OPORTUNO","MUITO BOM")))</f>
        <v>ATENÇÃO</v>
      </c>
      <c r="M3272">
        <v>3</v>
      </c>
      <c r="N3272">
        <v>95.83</v>
      </c>
      <c r="O3272">
        <v>25.773195876288661</v>
      </c>
      <c r="P3272"/>
    </row>
    <row r="3273" spans="1:16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>
        <v>0</v>
      </c>
      <c r="N3273">
        <v>100</v>
      </c>
      <c r="O3273">
        <v>15.38461538461539</v>
      </c>
      <c r="P3273"/>
    </row>
    <row r="3274" spans="1:16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>
        <v>17</v>
      </c>
      <c r="N3274">
        <v>100</v>
      </c>
      <c r="O3274">
        <v>27.514792899408281</v>
      </c>
      <c r="P3274"/>
    </row>
    <row r="3275" spans="1:16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>
        <v>25</v>
      </c>
      <c r="N3275">
        <v>100</v>
      </c>
      <c r="O3275">
        <v>24.875621890547269</v>
      </c>
      <c r="P3275"/>
    </row>
    <row r="3276" spans="1:16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11</v>
      </c>
      <c r="N3276">
        <v>100</v>
      </c>
      <c r="O3276">
        <v>28.108108108108109</v>
      </c>
      <c r="P3276"/>
    </row>
    <row r="3277" spans="1:16" hidden="1" x14ac:dyDescent="0.25">
      <c r="A3277" s="11">
        <v>46104</v>
      </c>
      <c r="B3277" t="s">
        <v>21</v>
      </c>
      <c r="C3277" t="s">
        <v>16</v>
      </c>
      <c r="D3277">
        <v>0</v>
      </c>
      <c r="E3277">
        <v>0</v>
      </c>
      <c r="F3277">
        <v>0</v>
      </c>
      <c r="G3277">
        <v>0</v>
      </c>
      <c r="H3277">
        <v>0</v>
      </c>
      <c r="I3277" s="3">
        <v>0</v>
      </c>
      <c r="J3277" s="3">
        <v>0</v>
      </c>
      <c r="K3277" s="3">
        <v>0</v>
      </c>
      <c r="L3277" s="3" t="str">
        <f>IF(K3277&lt;-5,"CRÍTICO",IF(K3277&lt;0,"ATENÇÃO",IF(K3277&lt;=5,"OPORTUNO","MUITO BOM")))</f>
        <v>OPORTUNO</v>
      </c>
      <c r="M3277">
        <v>0</v>
      </c>
      <c r="N3277">
        <v>100</v>
      </c>
      <c r="O3277">
        <v>35</v>
      </c>
      <c r="P3277"/>
    </row>
    <row r="3278" spans="1:16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>
        <v>17</v>
      </c>
      <c r="N3278">
        <v>95.35</v>
      </c>
      <c r="O3278">
        <v>28.61538461538461</v>
      </c>
      <c r="P3278"/>
    </row>
    <row r="3279" spans="1:16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>
        <v>21</v>
      </c>
      <c r="N3279">
        <v>98.26</v>
      </c>
      <c r="O3279">
        <v>27.54491017964072</v>
      </c>
      <c r="P3279"/>
    </row>
    <row r="3280" spans="1:16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>
        <v>12</v>
      </c>
      <c r="N3280">
        <v>98.55</v>
      </c>
      <c r="O3280">
        <v>25.337837837837839</v>
      </c>
      <c r="P3280"/>
    </row>
    <row r="3281" spans="1:16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>
        <v>18</v>
      </c>
      <c r="N3281">
        <v>98.39</v>
      </c>
      <c r="O3281">
        <v>25.563909774436091</v>
      </c>
      <c r="P3281"/>
    </row>
    <row r="3282" spans="1:16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>
        <v>19</v>
      </c>
      <c r="N3282">
        <v>94.29</v>
      </c>
      <c r="O3282">
        <v>25.647668393782389</v>
      </c>
      <c r="P3282"/>
    </row>
    <row r="3283" spans="1:16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>
        <v>23</v>
      </c>
      <c r="N3283">
        <v>98.26</v>
      </c>
      <c r="O3283">
        <v>26.666666666666671</v>
      </c>
      <c r="P3283"/>
    </row>
    <row r="3284" spans="1:16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>
        <v>26</v>
      </c>
      <c r="N3284">
        <v>98.2</v>
      </c>
      <c r="O3284">
        <v>23.37962962962963</v>
      </c>
      <c r="P3284"/>
    </row>
    <row r="3285" spans="1:16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>
        <v>25</v>
      </c>
      <c r="N3285">
        <v>97.3</v>
      </c>
      <c r="O3285">
        <v>23.84769539078156</v>
      </c>
      <c r="P3285"/>
    </row>
    <row r="3286" spans="1:16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>
        <v>7</v>
      </c>
      <c r="N3286">
        <v>100</v>
      </c>
      <c r="O3286">
        <v>25.268817204301079</v>
      </c>
      <c r="P3286"/>
    </row>
    <row r="3287" spans="1:16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>
        <v>34</v>
      </c>
      <c r="N3287">
        <v>99.32</v>
      </c>
      <c r="O3287">
        <v>22.822822822822818</v>
      </c>
      <c r="P3287"/>
    </row>
    <row r="3288" spans="1:16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>
        <v>21</v>
      </c>
      <c r="N3288">
        <v>100</v>
      </c>
      <c r="O3288">
        <v>27.966101694915249</v>
      </c>
      <c r="P3288"/>
    </row>
    <row r="3289" spans="1:16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>
        <v>3</v>
      </c>
      <c r="N3289">
        <v>100</v>
      </c>
      <c r="O3289">
        <v>30.434782608695659</v>
      </c>
      <c r="P3289"/>
    </row>
    <row r="3290" spans="1:16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>
        <v>24</v>
      </c>
      <c r="N3290">
        <v>96.51</v>
      </c>
      <c r="O3290">
        <v>22.802850356294542</v>
      </c>
      <c r="P3290"/>
    </row>
    <row r="3291" spans="1:16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>
        <v>27</v>
      </c>
      <c r="N3291">
        <v>92.68</v>
      </c>
      <c r="O3291">
        <v>27.777777777777779</v>
      </c>
      <c r="P3291"/>
    </row>
    <row r="3292" spans="1:16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>
        <v>17</v>
      </c>
      <c r="N3292">
        <v>99.03</v>
      </c>
      <c r="O3292">
        <v>23.991507430997881</v>
      </c>
      <c r="P3292"/>
    </row>
    <row r="3293" spans="1:16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>
        <v>10</v>
      </c>
      <c r="N3293">
        <v>98.41</v>
      </c>
      <c r="O3293">
        <v>28.138528138528141</v>
      </c>
      <c r="P3293"/>
    </row>
    <row r="3294" spans="1:16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>
        <v>10</v>
      </c>
      <c r="N3294">
        <v>98.73</v>
      </c>
      <c r="O3294">
        <v>29.142857142857139</v>
      </c>
      <c r="P3294"/>
    </row>
    <row r="3295" spans="1:16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>
        <v>4</v>
      </c>
      <c r="N3295">
        <v>90.48</v>
      </c>
      <c r="O3295">
        <v>20.68965517241379</v>
      </c>
      <c r="P3295"/>
    </row>
    <row r="3296" spans="1:16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>
        <v>15</v>
      </c>
      <c r="N3296">
        <v>98.06</v>
      </c>
      <c r="O3296">
        <v>24.789915966386559</v>
      </c>
      <c r="P3296"/>
    </row>
    <row r="3297" spans="1:16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>
        <v>26</v>
      </c>
      <c r="N3297">
        <v>97.78</v>
      </c>
      <c r="O3297">
        <v>25.494071146245059</v>
      </c>
      <c r="P3297"/>
    </row>
    <row r="3298" spans="1:16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>
        <v>21</v>
      </c>
      <c r="N3298">
        <v>98.02</v>
      </c>
      <c r="O3298">
        <v>23.484848484848481</v>
      </c>
      <c r="P3298"/>
    </row>
    <row r="3299" spans="1:16" hidden="1" x14ac:dyDescent="0.25">
      <c r="A3299" s="10">
        <v>46164</v>
      </c>
      <c r="B3299" s="6" t="s">
        <v>53</v>
      </c>
      <c r="C3299" s="3" t="s">
        <v>48</v>
      </c>
      <c r="D3299" s="3">
        <v>0</v>
      </c>
      <c r="E3299" s="3">
        <v>0</v>
      </c>
      <c r="F3299" s="3">
        <v>0</v>
      </c>
      <c r="G3299" s="3">
        <v>0</v>
      </c>
      <c r="H3299" s="3">
        <v>0</v>
      </c>
      <c r="I3299" s="3">
        <v>0</v>
      </c>
      <c r="J3299" s="3">
        <v>0</v>
      </c>
      <c r="K3299" s="3">
        <v>0</v>
      </c>
      <c r="L3299" s="3" t="str">
        <f>IF(K3299&lt;-5,"CRÍTICO",IF(K3299&lt;0,"ATENÇÃO",IF(K3299&lt;=5,"OPORTUNO","MUITO BOM")))</f>
        <v>OPORTUNO</v>
      </c>
      <c r="M3299" s="3">
        <v>0</v>
      </c>
      <c r="N3299" s="3">
        <v>100</v>
      </c>
      <c r="O3299" s="3">
        <v>17.241379310344829</v>
      </c>
    </row>
    <row r="3300" spans="1:16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>
        <v>24</v>
      </c>
      <c r="N3300">
        <v>100</v>
      </c>
      <c r="O3300">
        <v>27.04918032786885</v>
      </c>
      <c r="P3300"/>
    </row>
    <row r="3301" spans="1:16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>
        <v>31</v>
      </c>
      <c r="N3301">
        <v>97.83</v>
      </c>
      <c r="O3301">
        <v>26.315789473684209</v>
      </c>
      <c r="P3301"/>
    </row>
    <row r="3302" spans="1:16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>
        <v>21</v>
      </c>
      <c r="N3302">
        <v>100</v>
      </c>
      <c r="O3302">
        <v>26.701570680628269</v>
      </c>
      <c r="P3302"/>
    </row>
    <row r="3303" spans="1:16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>
        <v>0</v>
      </c>
      <c r="N3303">
        <v>97.47</v>
      </c>
      <c r="O3303">
        <v>22.887323943661968</v>
      </c>
      <c r="P3303"/>
    </row>
    <row r="3304" spans="1:16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0</v>
      </c>
      <c r="O3304">
        <v>0</v>
      </c>
      <c r="P3304"/>
    </row>
    <row r="3305" spans="1:16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>
        <v>22</v>
      </c>
      <c r="N3305">
        <v>98.31</v>
      </c>
      <c r="O3305">
        <v>24.920127795527151</v>
      </c>
      <c r="P3305"/>
    </row>
    <row r="3306" spans="1:16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>
        <v>19</v>
      </c>
      <c r="N3306">
        <v>96.81</v>
      </c>
      <c r="O3306">
        <v>32.365145228215773</v>
      </c>
      <c r="P3306"/>
    </row>
    <row r="3307" spans="1:16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>
        <v>10</v>
      </c>
      <c r="N3307">
        <v>100</v>
      </c>
      <c r="O3307">
        <v>26.47058823529412</v>
      </c>
      <c r="P3307"/>
    </row>
    <row r="3308" spans="1:16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>
        <v>28</v>
      </c>
      <c r="N3308">
        <v>100</v>
      </c>
      <c r="O3308">
        <v>28.490028490028489</v>
      </c>
      <c r="P3308"/>
    </row>
    <row r="3309" spans="1:16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>
        <v>14</v>
      </c>
      <c r="N3309">
        <v>99.14</v>
      </c>
      <c r="O3309">
        <v>27.2289156626506</v>
      </c>
      <c r="P3309"/>
    </row>
    <row r="3310" spans="1:16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>
        <v>16</v>
      </c>
      <c r="N3310">
        <v>97.52</v>
      </c>
      <c r="O3310">
        <v>28.205128205128201</v>
      </c>
      <c r="P3310"/>
    </row>
    <row r="3311" spans="1:16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0</v>
      </c>
      <c r="N3311">
        <v>90</v>
      </c>
      <c r="O3311">
        <v>24.186046511627911</v>
      </c>
      <c r="P3311"/>
    </row>
    <row r="3312" spans="1:16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>
        <v>23</v>
      </c>
      <c r="N3312">
        <v>98.9</v>
      </c>
      <c r="O3312">
        <v>26.763990267639901</v>
      </c>
      <c r="P3312"/>
    </row>
    <row r="3313" spans="1:16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>
        <v>5</v>
      </c>
      <c r="N3313">
        <v>88.89</v>
      </c>
      <c r="O3313">
        <v>25.263157894736839</v>
      </c>
      <c r="P3313"/>
    </row>
    <row r="3314" spans="1:16" hidden="1" x14ac:dyDescent="0.25">
      <c r="A3314" s="11">
        <v>46105</v>
      </c>
      <c r="B3314" t="s">
        <v>43</v>
      </c>
      <c r="C3314" t="s">
        <v>32</v>
      </c>
      <c r="D3314">
        <v>24</v>
      </c>
      <c r="E3314">
        <v>22</v>
      </c>
      <c r="F3314">
        <v>15.5</v>
      </c>
      <c r="G3314">
        <v>0</v>
      </c>
      <c r="H3314">
        <v>0</v>
      </c>
      <c r="I3314" s="3">
        <f>E3314+G3314+H3314</f>
        <v>22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27</v>
      </c>
      <c r="K3314" s="3">
        <f>I3314-J3314</f>
        <v>-5</v>
      </c>
      <c r="L3314" s="3" t="str">
        <f>IF(K3314&lt;-5,"CRÍTICO",IF(K3314&lt;0,"ATENÇÃO",IF(K3314&lt;=5,"OPORTUNO","MUITO BOM")))</f>
        <v>ATENÇÃO</v>
      </c>
      <c r="M3314">
        <v>19</v>
      </c>
      <c r="N3314">
        <v>98.86</v>
      </c>
      <c r="O3314">
        <v>28.959276018099551</v>
      </c>
      <c r="P3314"/>
    </row>
    <row r="3315" spans="1:16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>
        <v>23</v>
      </c>
      <c r="N3315">
        <v>98.06</v>
      </c>
      <c r="O3315">
        <v>22.40566037735849</v>
      </c>
      <c r="P3315"/>
    </row>
    <row r="3316" spans="1:16" hidden="1" x14ac:dyDescent="0.25">
      <c r="A3316" s="11">
        <v>46105</v>
      </c>
      <c r="B3316" t="s">
        <v>20</v>
      </c>
      <c r="C3316" t="s">
        <v>16</v>
      </c>
      <c r="D3316">
        <v>17</v>
      </c>
      <c r="E3316">
        <v>16</v>
      </c>
      <c r="F3316">
        <v>23.5</v>
      </c>
      <c r="G3316">
        <v>0</v>
      </c>
      <c r="H3316">
        <v>0</v>
      </c>
      <c r="I3316" s="3">
        <f>E3316+G3316+H3316</f>
        <v>16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8</v>
      </c>
      <c r="K3316" s="3">
        <f>I3316-J3316</f>
        <v>8</v>
      </c>
      <c r="L3316" s="3" t="str">
        <f>IF(K3316&lt;-5,"CRÍTICO",IF(K3316&lt;0,"ATENÇÃO",IF(K3316&lt;=5,"OPORTUNO","MUITO BOM")))</f>
        <v>MUITO BOM</v>
      </c>
      <c r="M3316">
        <v>8</v>
      </c>
      <c r="N3316">
        <v>95.83</v>
      </c>
      <c r="O3316">
        <v>25.773195876288661</v>
      </c>
      <c r="P3316"/>
    </row>
    <row r="3317" spans="1:16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>
        <v>0</v>
      </c>
      <c r="N3317">
        <v>100</v>
      </c>
      <c r="O3317">
        <v>15.38461538461539</v>
      </c>
      <c r="P3317"/>
    </row>
    <row r="3318" spans="1:16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>
        <v>20</v>
      </c>
      <c r="N3318">
        <v>100</v>
      </c>
      <c r="O3318">
        <v>27.514792899408281</v>
      </c>
      <c r="P3318"/>
    </row>
    <row r="3319" spans="1:16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>
        <v>12</v>
      </c>
      <c r="N3319">
        <v>100</v>
      </c>
      <c r="O3319">
        <v>24.875621890547269</v>
      </c>
      <c r="P3319"/>
    </row>
    <row r="3320" spans="1:16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>
        <v>8</v>
      </c>
      <c r="N3320">
        <v>100</v>
      </c>
      <c r="O3320">
        <v>28.108108108108109</v>
      </c>
      <c r="P3320"/>
    </row>
    <row r="3321" spans="1:16" hidden="1" x14ac:dyDescent="0.25">
      <c r="A3321" s="11">
        <v>46105</v>
      </c>
      <c r="B3321" t="s">
        <v>21</v>
      </c>
      <c r="C3321" t="s">
        <v>16</v>
      </c>
      <c r="D3321">
        <v>3</v>
      </c>
      <c r="E3321">
        <v>3</v>
      </c>
      <c r="F3321">
        <v>23.28</v>
      </c>
      <c r="G3321">
        <v>0</v>
      </c>
      <c r="H3321">
        <v>0</v>
      </c>
      <c r="I3321" s="3">
        <f>E3321+G3321+H3321</f>
        <v>3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8</v>
      </c>
      <c r="K3321" s="3">
        <f>I3321-J3321</f>
        <v>-5</v>
      </c>
      <c r="L3321" s="3" t="str">
        <f>IF(K3321&lt;-5,"CRÍTICO",IF(K3321&lt;0,"ATENÇÃO",IF(K3321&lt;=5,"OPORTUNO","MUITO BOM")))</f>
        <v>ATENÇÃO</v>
      </c>
      <c r="M3321">
        <v>2</v>
      </c>
      <c r="N3321">
        <v>100</v>
      </c>
      <c r="O3321">
        <v>35</v>
      </c>
      <c r="P3321"/>
    </row>
    <row r="3322" spans="1:16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  <c r="P3322"/>
    </row>
    <row r="3323" spans="1:16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>
        <v>25</v>
      </c>
      <c r="N3323">
        <v>98.26</v>
      </c>
      <c r="O3323">
        <v>27.54491017964072</v>
      </c>
      <c r="P3323"/>
    </row>
    <row r="3324" spans="1:16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>
        <v>12</v>
      </c>
      <c r="N3324">
        <v>98.55</v>
      </c>
      <c r="O3324">
        <v>25.337837837837839</v>
      </c>
      <c r="P3324"/>
    </row>
    <row r="3325" spans="1:16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>
        <v>26</v>
      </c>
      <c r="N3325">
        <v>98.39</v>
      </c>
      <c r="O3325">
        <v>25.563909774436091</v>
      </c>
      <c r="P3325"/>
    </row>
    <row r="3326" spans="1:16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>
        <v>13</v>
      </c>
      <c r="N3326">
        <v>94.29</v>
      </c>
      <c r="O3326">
        <v>25.647668393782389</v>
      </c>
      <c r="P3326"/>
    </row>
    <row r="3327" spans="1:16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>
        <v>18</v>
      </c>
      <c r="N3327">
        <v>98.26</v>
      </c>
      <c r="O3327">
        <v>26.666666666666671</v>
      </c>
      <c r="P3327"/>
    </row>
    <row r="3328" spans="1:16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>
        <v>16</v>
      </c>
      <c r="N3328">
        <v>98.2</v>
      </c>
      <c r="O3328">
        <v>23.37962962962963</v>
      </c>
      <c r="P3328"/>
    </row>
    <row r="3329" spans="1:16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>
        <v>23</v>
      </c>
      <c r="N3329">
        <v>97.3</v>
      </c>
      <c r="O3329">
        <v>23.84769539078156</v>
      </c>
      <c r="P3329"/>
    </row>
    <row r="3330" spans="1:16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>
        <v>8</v>
      </c>
      <c r="N3330">
        <v>100</v>
      </c>
      <c r="O3330">
        <v>25.268817204301079</v>
      </c>
      <c r="P3330"/>
    </row>
    <row r="3331" spans="1:16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>
        <v>32</v>
      </c>
      <c r="N3331">
        <v>99.32</v>
      </c>
      <c r="O3331">
        <v>22.822822822822818</v>
      </c>
      <c r="P3331"/>
    </row>
    <row r="3332" spans="1:16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>
        <v>20</v>
      </c>
      <c r="N3332">
        <v>100</v>
      </c>
      <c r="O3332">
        <v>27.966101694915249</v>
      </c>
      <c r="P3332"/>
    </row>
    <row r="3333" spans="1:16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>
        <v>2</v>
      </c>
      <c r="N3333">
        <v>100</v>
      </c>
      <c r="O3333">
        <v>30.434782608695659</v>
      </c>
      <c r="P3333"/>
    </row>
    <row r="3334" spans="1:16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>
        <v>15</v>
      </c>
      <c r="N3334">
        <v>96.51</v>
      </c>
      <c r="O3334">
        <v>22.802850356294542</v>
      </c>
      <c r="P3334"/>
    </row>
    <row r="3335" spans="1:16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>
        <v>24</v>
      </c>
      <c r="N3335">
        <v>92.68</v>
      </c>
      <c r="O3335">
        <v>27.777777777777779</v>
      </c>
      <c r="P3335"/>
    </row>
    <row r="3336" spans="1:16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>
        <v>23</v>
      </c>
      <c r="N3336">
        <v>99.03</v>
      </c>
      <c r="O3336">
        <v>23.991507430997881</v>
      </c>
      <c r="P3336"/>
    </row>
    <row r="3337" spans="1:16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>
        <v>7</v>
      </c>
      <c r="N3337">
        <v>98.41</v>
      </c>
      <c r="O3337">
        <v>28.138528138528141</v>
      </c>
      <c r="P3337"/>
    </row>
    <row r="3338" spans="1:16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>
        <v>14</v>
      </c>
      <c r="N3338">
        <v>98.73</v>
      </c>
      <c r="O3338">
        <v>29.142857142857139</v>
      </c>
      <c r="P3338"/>
    </row>
    <row r="3339" spans="1:16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>
        <v>7</v>
      </c>
      <c r="N3339">
        <v>90.48</v>
      </c>
      <c r="O3339">
        <v>20.68965517241379</v>
      </c>
      <c r="P3339"/>
    </row>
    <row r="3340" spans="1:16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>
        <v>23</v>
      </c>
      <c r="N3340">
        <v>98.06</v>
      </c>
      <c r="O3340">
        <v>24.789915966386559</v>
      </c>
      <c r="P3340"/>
    </row>
    <row r="3341" spans="1:16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>
        <v>16</v>
      </c>
      <c r="N3341">
        <v>97.78</v>
      </c>
      <c r="O3341">
        <v>25.494071146245059</v>
      </c>
      <c r="P3341"/>
    </row>
    <row r="3342" spans="1:16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>
        <v>19</v>
      </c>
      <c r="N3342">
        <v>98.02</v>
      </c>
      <c r="O3342">
        <v>23.484848484848481</v>
      </c>
      <c r="P3342"/>
    </row>
    <row r="3343" spans="1:16" hidden="1" x14ac:dyDescent="0.25">
      <c r="A3343" s="10">
        <v>46164</v>
      </c>
      <c r="B3343" s="6" t="s">
        <v>54</v>
      </c>
      <c r="C3343" s="3" t="s">
        <v>48</v>
      </c>
      <c r="D3343" s="3">
        <v>15</v>
      </c>
      <c r="E3343" s="3">
        <v>15</v>
      </c>
      <c r="F3343" s="3">
        <v>28.35</v>
      </c>
      <c r="G3343" s="3">
        <v>0</v>
      </c>
      <c r="H3343" s="3">
        <v>0</v>
      </c>
      <c r="I3343" s="3">
        <f>E3343+G3343+H3343</f>
        <v>15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15</v>
      </c>
      <c r="K3343" s="3">
        <f>I3343-J3343</f>
        <v>0</v>
      </c>
      <c r="L3343" s="3" t="str">
        <f>IF(K3343&lt;-5,"CRÍTICO",IF(K3343&lt;0,"ATENÇÃO",IF(K3343&lt;=5,"OPORTUNO","MUITO BOM")))</f>
        <v>OPORTUNO</v>
      </c>
      <c r="M3343" s="3">
        <v>13</v>
      </c>
      <c r="N3343" s="3">
        <v>98.98</v>
      </c>
      <c r="O3343" s="3">
        <v>19.35483870967742</v>
      </c>
    </row>
    <row r="3344" spans="1:16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>
        <v>17</v>
      </c>
      <c r="N3344">
        <v>100</v>
      </c>
      <c r="O3344">
        <v>27.04918032786885</v>
      </c>
      <c r="P3344"/>
    </row>
    <row r="3345" spans="1:16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>
        <v>28</v>
      </c>
      <c r="N3345">
        <v>97.83</v>
      </c>
      <c r="O3345">
        <v>26.315789473684209</v>
      </c>
      <c r="P3345"/>
    </row>
    <row r="3346" spans="1:16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>
        <v>14</v>
      </c>
      <c r="N3346">
        <v>100</v>
      </c>
      <c r="O3346">
        <v>26.701570680628269</v>
      </c>
      <c r="P3346"/>
    </row>
    <row r="3347" spans="1:16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>
        <v>0</v>
      </c>
      <c r="N3347">
        <v>97.47</v>
      </c>
      <c r="O3347">
        <v>22.887323943661968</v>
      </c>
      <c r="P3347"/>
    </row>
    <row r="3348" spans="1:16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0</v>
      </c>
      <c r="O3348">
        <v>0</v>
      </c>
      <c r="P3348"/>
    </row>
    <row r="3349" spans="1:16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>
        <v>14</v>
      </c>
      <c r="N3349">
        <v>98.31</v>
      </c>
      <c r="O3349">
        <v>24.920127795527151</v>
      </c>
      <c r="P3349"/>
    </row>
    <row r="3350" spans="1:16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>
        <v>19</v>
      </c>
      <c r="N3350">
        <v>96.81</v>
      </c>
      <c r="O3350">
        <v>32.365145228215773</v>
      </c>
      <c r="P3350"/>
    </row>
    <row r="3351" spans="1:16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>
        <v>8</v>
      </c>
      <c r="N3351">
        <v>100</v>
      </c>
      <c r="O3351">
        <v>26.47058823529412</v>
      </c>
      <c r="P3351"/>
    </row>
    <row r="3352" spans="1:16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>
        <v>22</v>
      </c>
      <c r="N3352">
        <v>100</v>
      </c>
      <c r="O3352">
        <v>28.490028490028489</v>
      </c>
      <c r="P3352"/>
    </row>
    <row r="3353" spans="1:16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>
        <v>18</v>
      </c>
      <c r="N3353">
        <v>99.14</v>
      </c>
      <c r="O3353">
        <v>27.2289156626506</v>
      </c>
      <c r="P3353"/>
    </row>
    <row r="3354" spans="1:16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>
        <v>9</v>
      </c>
      <c r="N3354">
        <v>97.52</v>
      </c>
      <c r="O3354">
        <v>28.205128205128201</v>
      </c>
      <c r="P3354"/>
    </row>
    <row r="3355" spans="1:16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0</v>
      </c>
      <c r="N3355">
        <v>90</v>
      </c>
      <c r="O3355">
        <v>24.186046511627911</v>
      </c>
      <c r="P3355"/>
    </row>
    <row r="3356" spans="1:16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>
        <v>14</v>
      </c>
      <c r="N3356">
        <v>98.9</v>
      </c>
      <c r="O3356">
        <v>26.763990267639901</v>
      </c>
      <c r="P3356"/>
    </row>
    <row r="3357" spans="1:16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>
        <v>6</v>
      </c>
      <c r="N3357">
        <v>88.89</v>
      </c>
      <c r="O3357">
        <v>25.263157894736839</v>
      </c>
      <c r="P3357"/>
    </row>
    <row r="3358" spans="1:16" hidden="1" x14ac:dyDescent="0.25">
      <c r="A3358" s="11">
        <v>46106</v>
      </c>
      <c r="B3358" t="s">
        <v>43</v>
      </c>
      <c r="C3358" t="s">
        <v>32</v>
      </c>
      <c r="D3358">
        <v>32</v>
      </c>
      <c r="E3358">
        <v>30</v>
      </c>
      <c r="F3358">
        <v>14</v>
      </c>
      <c r="G3358">
        <v>0</v>
      </c>
      <c r="H3358">
        <v>0</v>
      </c>
      <c r="I3358" s="3">
        <f>E3358+G3358+H3358</f>
        <v>30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24</v>
      </c>
      <c r="K3358" s="3">
        <f>I3358-J3358</f>
        <v>6</v>
      </c>
      <c r="L3358" s="3" t="str">
        <f>IF(K3358&lt;-5,"CRÍTICO",IF(K3358&lt;0,"ATENÇÃO",IF(K3358&lt;=5,"OPORTUNO","MUITO BOM")))</f>
        <v>MUITO BOM</v>
      </c>
      <c r="M3358">
        <v>27</v>
      </c>
      <c r="N3358">
        <v>98.86</v>
      </c>
      <c r="O3358">
        <v>28.959276018099551</v>
      </c>
      <c r="P3358"/>
    </row>
    <row r="3359" spans="1:16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>
        <v>19</v>
      </c>
      <c r="N3359">
        <v>98.06</v>
      </c>
      <c r="O3359">
        <v>22.40566037735849</v>
      </c>
      <c r="P3359"/>
    </row>
    <row r="3360" spans="1:16" hidden="1" x14ac:dyDescent="0.25">
      <c r="A3360" s="11">
        <v>46106</v>
      </c>
      <c r="B3360" t="s">
        <v>20</v>
      </c>
      <c r="C3360" t="s">
        <v>16</v>
      </c>
      <c r="D3360">
        <v>13</v>
      </c>
      <c r="E3360">
        <v>13</v>
      </c>
      <c r="F3360">
        <v>38.44</v>
      </c>
      <c r="G3360">
        <v>0</v>
      </c>
      <c r="H3360">
        <v>0</v>
      </c>
      <c r="I3360" s="3">
        <f>E3360+G3360+H3360</f>
        <v>13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6</v>
      </c>
      <c r="L3360" s="3" t="str">
        <f>IF(K3360&lt;-5,"CRÍTICO",IF(K3360&lt;0,"ATENÇÃO",IF(K3360&lt;=5,"OPORTUNO","MUITO BOM")))</f>
        <v>MUITO BOM</v>
      </c>
      <c r="M3360">
        <v>9</v>
      </c>
      <c r="N3360">
        <v>95.83</v>
      </c>
      <c r="O3360">
        <v>25.773195876288661</v>
      </c>
      <c r="P3360"/>
    </row>
    <row r="3361" spans="1:16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>
        <v>0</v>
      </c>
      <c r="N3361">
        <v>100</v>
      </c>
      <c r="O3361">
        <v>15.38461538461539</v>
      </c>
      <c r="P3361"/>
    </row>
    <row r="3362" spans="1:16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>
        <v>4</v>
      </c>
      <c r="N3362">
        <v>100</v>
      </c>
      <c r="O3362">
        <v>27.514792899408281</v>
      </c>
      <c r="P3362"/>
    </row>
    <row r="3363" spans="1:16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>
        <v>15</v>
      </c>
      <c r="N3363">
        <v>100</v>
      </c>
      <c r="O3363">
        <v>24.875621890547269</v>
      </c>
      <c r="P3363"/>
    </row>
    <row r="3364" spans="1:16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12</v>
      </c>
      <c r="N3364">
        <v>100</v>
      </c>
      <c r="O3364">
        <v>28.108108108108109</v>
      </c>
      <c r="P3364"/>
    </row>
    <row r="3365" spans="1:16" hidden="1" x14ac:dyDescent="0.25">
      <c r="A3365" s="11">
        <v>46106</v>
      </c>
      <c r="B3365" t="s">
        <v>21</v>
      </c>
      <c r="C3365" t="s">
        <v>16</v>
      </c>
      <c r="D3365">
        <v>5</v>
      </c>
      <c r="E3365">
        <v>5</v>
      </c>
      <c r="F3365">
        <v>17.02</v>
      </c>
      <c r="G3365">
        <v>0</v>
      </c>
      <c r="H3365">
        <v>0</v>
      </c>
      <c r="I3365" s="3">
        <f>E3365+G3365+H3365</f>
        <v>5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-2</v>
      </c>
      <c r="L3365" s="3" t="str">
        <f>IF(K3365&lt;-5,"CRÍTICO",IF(K3365&lt;0,"ATENÇÃO",IF(K3365&lt;=5,"OPORTUNO","MUITO BOM")))</f>
        <v>ATENÇÃO</v>
      </c>
      <c r="M3365">
        <v>3</v>
      </c>
      <c r="N3365">
        <v>100</v>
      </c>
      <c r="O3365">
        <v>35</v>
      </c>
      <c r="P3365"/>
    </row>
    <row r="3366" spans="1:16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>
        <v>10</v>
      </c>
      <c r="N3366">
        <v>95.35</v>
      </c>
      <c r="O3366">
        <v>28.61538461538461</v>
      </c>
      <c r="P3366"/>
    </row>
    <row r="3367" spans="1:16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>
        <v>20</v>
      </c>
      <c r="N3367">
        <v>98.26</v>
      </c>
      <c r="O3367">
        <v>27.54491017964072</v>
      </c>
      <c r="P3367"/>
    </row>
    <row r="3368" spans="1:16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>
        <v>9</v>
      </c>
      <c r="N3368">
        <v>98.55</v>
      </c>
      <c r="O3368">
        <v>25.337837837837839</v>
      </c>
      <c r="P3368"/>
    </row>
    <row r="3369" spans="1:16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>
        <v>17</v>
      </c>
      <c r="N3369">
        <v>98.39</v>
      </c>
      <c r="O3369">
        <v>25.563909774436091</v>
      </c>
      <c r="P3369"/>
    </row>
    <row r="3370" spans="1:16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>
        <v>23</v>
      </c>
      <c r="N3370">
        <v>94.29</v>
      </c>
      <c r="O3370">
        <v>25.647668393782389</v>
      </c>
      <c r="P3370"/>
    </row>
    <row r="3371" spans="1:16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>
        <v>30</v>
      </c>
      <c r="N3371">
        <v>98.26</v>
      </c>
      <c r="O3371">
        <v>26.666666666666671</v>
      </c>
      <c r="P3371"/>
    </row>
    <row r="3372" spans="1:16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>
        <v>16</v>
      </c>
      <c r="N3372">
        <v>98.2</v>
      </c>
      <c r="O3372">
        <v>23.37962962962963</v>
      </c>
      <c r="P3372"/>
    </row>
    <row r="3373" spans="1:16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>
        <v>29</v>
      </c>
      <c r="N3373">
        <v>97.3</v>
      </c>
      <c r="O3373">
        <v>23.84769539078156</v>
      </c>
      <c r="P3373"/>
    </row>
    <row r="3374" spans="1:16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>
        <v>16</v>
      </c>
      <c r="N3374">
        <v>100</v>
      </c>
      <c r="O3374">
        <v>25.268817204301079</v>
      </c>
      <c r="P3374"/>
    </row>
    <row r="3375" spans="1:16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>
        <v>33</v>
      </c>
      <c r="N3375">
        <v>99.32</v>
      </c>
      <c r="O3375">
        <v>22.822822822822818</v>
      </c>
      <c r="P3375"/>
    </row>
    <row r="3376" spans="1:16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>
        <v>18</v>
      </c>
      <c r="N3376">
        <v>100</v>
      </c>
      <c r="O3376">
        <v>27.966101694915249</v>
      </c>
      <c r="P3376"/>
    </row>
    <row r="3377" spans="1:16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>
        <v>4</v>
      </c>
      <c r="N3377">
        <v>100</v>
      </c>
      <c r="O3377">
        <v>30.434782608695659</v>
      </c>
      <c r="P3377"/>
    </row>
    <row r="3378" spans="1:16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>
        <v>17</v>
      </c>
      <c r="N3378">
        <v>96.51</v>
      </c>
      <c r="O3378">
        <v>22.802850356294542</v>
      </c>
      <c r="P3378"/>
    </row>
    <row r="3379" spans="1:16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>
        <v>28</v>
      </c>
      <c r="N3379">
        <v>92.68</v>
      </c>
      <c r="O3379">
        <v>27.777777777777779</v>
      </c>
      <c r="P3379"/>
    </row>
    <row r="3380" spans="1:16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>
        <v>32</v>
      </c>
      <c r="N3380">
        <v>99.03</v>
      </c>
      <c r="O3380">
        <v>23.991507430997881</v>
      </c>
      <c r="P3380"/>
    </row>
    <row r="3381" spans="1:16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>
        <v>8</v>
      </c>
      <c r="N3381">
        <v>98.41</v>
      </c>
      <c r="O3381">
        <v>28.138528138528141</v>
      </c>
      <c r="P3381"/>
    </row>
    <row r="3382" spans="1:16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>
        <v>22</v>
      </c>
      <c r="N3382">
        <v>98.73</v>
      </c>
      <c r="O3382">
        <v>29.142857142857139</v>
      </c>
      <c r="P3382"/>
    </row>
    <row r="3383" spans="1:16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>
        <v>9</v>
      </c>
      <c r="N3383">
        <v>90.48</v>
      </c>
      <c r="O3383">
        <v>20.68965517241379</v>
      </c>
      <c r="P3383"/>
    </row>
    <row r="3384" spans="1:16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>
        <v>23</v>
      </c>
      <c r="N3384">
        <v>98.06</v>
      </c>
      <c r="O3384">
        <v>24.789915966386559</v>
      </c>
      <c r="P3384"/>
    </row>
    <row r="3385" spans="1:16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>
        <v>30</v>
      </c>
      <c r="N3385">
        <v>97.78</v>
      </c>
      <c r="O3385">
        <v>25.494071146245059</v>
      </c>
      <c r="P3385"/>
    </row>
    <row r="3386" spans="1:16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  <c r="P3386"/>
    </row>
    <row r="3387" spans="1:16" hidden="1" x14ac:dyDescent="0.25">
      <c r="A3387" s="10">
        <v>46164</v>
      </c>
      <c r="B3387" s="6" t="s">
        <v>55</v>
      </c>
      <c r="C3387" s="3" t="s">
        <v>48</v>
      </c>
      <c r="D3387" s="3">
        <v>13</v>
      </c>
      <c r="E3387" s="3">
        <v>12</v>
      </c>
      <c r="F3387" s="3">
        <v>11.42</v>
      </c>
      <c r="G3387" s="3">
        <v>1</v>
      </c>
      <c r="H3387" s="3">
        <v>0</v>
      </c>
      <c r="I3387" s="3">
        <f>E3387+G3387+H3387</f>
        <v>13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15</v>
      </c>
      <c r="K3387" s="3">
        <f>I3387-J3387</f>
        <v>-2</v>
      </c>
      <c r="L3387" s="3" t="str">
        <f>IF(K3387&lt;-5,"CRÍTICO",IF(K3387&lt;0,"ATENÇÃO",IF(K3387&lt;=5,"OPORTUNO","MUITO BOM")))</f>
        <v>ATENÇÃO</v>
      </c>
      <c r="M3387" s="3">
        <v>10</v>
      </c>
      <c r="N3387" s="3">
        <v>98.94</v>
      </c>
      <c r="O3387" s="3">
        <v>21.270718232044199</v>
      </c>
    </row>
    <row r="3388" spans="1:16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>
        <v>21</v>
      </c>
      <c r="N3388">
        <v>100</v>
      </c>
      <c r="O3388">
        <v>27.04918032786885</v>
      </c>
      <c r="P3388"/>
    </row>
    <row r="3389" spans="1:16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>
        <v>34</v>
      </c>
      <c r="N3389">
        <v>97.83</v>
      </c>
      <c r="O3389">
        <v>26.315789473684209</v>
      </c>
      <c r="P3389"/>
    </row>
    <row r="3390" spans="1:16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>
        <v>18</v>
      </c>
      <c r="N3390">
        <v>100</v>
      </c>
      <c r="O3390">
        <v>26.701570680628269</v>
      </c>
      <c r="P3390"/>
    </row>
    <row r="3391" spans="1:16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>
        <v>0</v>
      </c>
      <c r="N3391">
        <v>97.47</v>
      </c>
      <c r="O3391">
        <v>22.887323943661968</v>
      </c>
      <c r="P3391"/>
    </row>
    <row r="3392" spans="1:16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0</v>
      </c>
      <c r="O3392">
        <v>0</v>
      </c>
      <c r="P3392"/>
    </row>
    <row r="3393" spans="1:16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>
        <v>20</v>
      </c>
      <c r="N3393">
        <v>98.31</v>
      </c>
      <c r="O3393">
        <v>24.920127795527151</v>
      </c>
      <c r="P3393"/>
    </row>
    <row r="3394" spans="1:16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>
        <v>19</v>
      </c>
      <c r="N3394">
        <v>96.81</v>
      </c>
      <c r="O3394">
        <v>32.365145228215773</v>
      </c>
      <c r="P3394"/>
    </row>
    <row r="3395" spans="1:16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>
        <v>12</v>
      </c>
      <c r="N3395">
        <v>100</v>
      </c>
      <c r="O3395">
        <v>26.47058823529412</v>
      </c>
      <c r="P3395"/>
    </row>
    <row r="3396" spans="1:16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>
        <v>23</v>
      </c>
      <c r="N3396">
        <v>100</v>
      </c>
      <c r="O3396">
        <v>28.490028490028489</v>
      </c>
      <c r="P3396"/>
    </row>
    <row r="3397" spans="1:16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>
        <v>11</v>
      </c>
      <c r="N3397">
        <v>99.14</v>
      </c>
      <c r="O3397">
        <v>27.2289156626506</v>
      </c>
      <c r="P3397"/>
    </row>
    <row r="3398" spans="1:16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>
        <v>25</v>
      </c>
      <c r="N3398">
        <v>97.52</v>
      </c>
      <c r="O3398">
        <v>28.205128205128201</v>
      </c>
      <c r="P3398"/>
    </row>
    <row r="3399" spans="1:16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0</v>
      </c>
      <c r="N3399">
        <v>90</v>
      </c>
      <c r="O3399">
        <v>24.186046511627911</v>
      </c>
      <c r="P3399"/>
    </row>
    <row r="3400" spans="1:16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>
        <v>24</v>
      </c>
      <c r="N3400">
        <v>98.9</v>
      </c>
      <c r="O3400">
        <v>26.763990267639901</v>
      </c>
      <c r="P3400"/>
    </row>
    <row r="3401" spans="1:16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>
        <v>6</v>
      </c>
      <c r="N3401">
        <v>88.89</v>
      </c>
      <c r="O3401">
        <v>25.263157894736839</v>
      </c>
      <c r="P3401"/>
    </row>
    <row r="3402" spans="1:16" hidden="1" x14ac:dyDescent="0.25">
      <c r="A3402" s="11">
        <v>46107</v>
      </c>
      <c r="B3402" t="s">
        <v>43</v>
      </c>
      <c r="C3402" t="s">
        <v>32</v>
      </c>
      <c r="D3402">
        <v>23</v>
      </c>
      <c r="E3402">
        <v>22</v>
      </c>
      <c r="F3402">
        <v>17.34</v>
      </c>
      <c r="G3402">
        <v>0</v>
      </c>
      <c r="H3402">
        <v>0</v>
      </c>
      <c r="I3402" s="3">
        <f>E3402+G3402+H3402</f>
        <v>22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28</v>
      </c>
      <c r="K3402" s="3">
        <f>I3402-J3402</f>
        <v>-6</v>
      </c>
      <c r="L3402" s="3" t="str">
        <f>IF(K3402&lt;-5,"CRÍTICO",IF(K3402&lt;0,"ATENÇÃO",IF(K3402&lt;=5,"OPORTUNO","MUITO BOM")))</f>
        <v>CRÍTICO</v>
      </c>
      <c r="M3402">
        <v>23</v>
      </c>
      <c r="N3402">
        <v>98.86</v>
      </c>
      <c r="O3402">
        <v>28.959276018099551</v>
      </c>
      <c r="P3402"/>
    </row>
    <row r="3403" spans="1:16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>
        <v>12</v>
      </c>
      <c r="N3403">
        <v>98.06</v>
      </c>
      <c r="O3403">
        <v>22.40566037735849</v>
      </c>
      <c r="P3403"/>
    </row>
    <row r="3404" spans="1:16" hidden="1" x14ac:dyDescent="0.25">
      <c r="A3404" s="11">
        <v>46107</v>
      </c>
      <c r="B3404" t="s">
        <v>20</v>
      </c>
      <c r="C3404" t="s">
        <v>16</v>
      </c>
      <c r="D3404">
        <v>7</v>
      </c>
      <c r="E3404">
        <v>7</v>
      </c>
      <c r="F3404">
        <v>35.380000000000003</v>
      </c>
      <c r="G3404">
        <v>0</v>
      </c>
      <c r="H3404">
        <v>0</v>
      </c>
      <c r="I3404" s="3">
        <f>E3404+G3404+H3404</f>
        <v>7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8</v>
      </c>
      <c r="K3404" s="3">
        <f>I3404-J3404</f>
        <v>-1</v>
      </c>
      <c r="L3404" s="3" t="str">
        <f>IF(K3404&lt;-5,"CRÍTICO",IF(K3404&lt;0,"ATENÇÃO",IF(K3404&lt;=5,"OPORTUNO","MUITO BOM")))</f>
        <v>ATENÇÃO</v>
      </c>
      <c r="M3404">
        <v>4</v>
      </c>
      <c r="N3404">
        <v>95.83</v>
      </c>
      <c r="O3404">
        <v>25.773195876288661</v>
      </c>
      <c r="P3404"/>
    </row>
    <row r="3405" spans="1:16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>
        <v>0</v>
      </c>
      <c r="N3405">
        <v>100</v>
      </c>
      <c r="O3405">
        <v>15.38461538461539</v>
      </c>
      <c r="P3405"/>
    </row>
    <row r="3406" spans="1:16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>
        <v>5</v>
      </c>
      <c r="N3406">
        <v>100</v>
      </c>
      <c r="O3406">
        <v>27.514792899408281</v>
      </c>
      <c r="P3406"/>
    </row>
    <row r="3407" spans="1:16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>
        <v>14</v>
      </c>
      <c r="N3407">
        <v>100</v>
      </c>
      <c r="O3407">
        <v>24.875621890547269</v>
      </c>
      <c r="P3407"/>
    </row>
    <row r="3408" spans="1:16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>
        <v>9</v>
      </c>
      <c r="N3408">
        <v>100</v>
      </c>
      <c r="O3408">
        <v>28.108108108108109</v>
      </c>
      <c r="P3408"/>
    </row>
    <row r="3409" spans="1:16" hidden="1" x14ac:dyDescent="0.25">
      <c r="A3409" s="11">
        <v>46107</v>
      </c>
      <c r="B3409" t="s">
        <v>21</v>
      </c>
      <c r="C3409" t="s">
        <v>16</v>
      </c>
      <c r="D3409">
        <v>5</v>
      </c>
      <c r="E3409">
        <v>5</v>
      </c>
      <c r="F3409">
        <v>29.06</v>
      </c>
      <c r="G3409">
        <v>0</v>
      </c>
      <c r="H3409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8</v>
      </c>
      <c r="K3409" s="3">
        <f>I3409-J3409</f>
        <v>-3</v>
      </c>
      <c r="L3409" s="3" t="str">
        <f>IF(K3409&lt;-5,"CRÍTICO",IF(K3409&lt;0,"ATENÇÃO",IF(K3409&lt;=5,"OPORTUNO","MUITO BOM")))</f>
        <v>ATENÇÃO</v>
      </c>
      <c r="M3409">
        <v>4</v>
      </c>
      <c r="N3409">
        <v>100</v>
      </c>
      <c r="O3409">
        <v>35</v>
      </c>
      <c r="P3409"/>
    </row>
    <row r="3410" spans="1:16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>
        <v>15</v>
      </c>
      <c r="N3410">
        <v>95.35</v>
      </c>
      <c r="O3410">
        <v>28.61538461538461</v>
      </c>
      <c r="P3410"/>
    </row>
    <row r="3411" spans="1:16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>
        <v>25</v>
      </c>
      <c r="N3411">
        <v>98.26</v>
      </c>
      <c r="O3411">
        <v>27.54491017964072</v>
      </c>
      <c r="P3411"/>
    </row>
    <row r="3412" spans="1:16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>
        <v>9</v>
      </c>
      <c r="N3412">
        <v>98.55</v>
      </c>
      <c r="O3412">
        <v>25.337837837837839</v>
      </c>
      <c r="P3412"/>
    </row>
    <row r="3413" spans="1:16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>
        <v>26</v>
      </c>
      <c r="N3413">
        <v>98.39</v>
      </c>
      <c r="O3413">
        <v>25.563909774436091</v>
      </c>
      <c r="P3413"/>
    </row>
    <row r="3414" spans="1:16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>
        <v>19</v>
      </c>
      <c r="N3414">
        <v>94.29</v>
      </c>
      <c r="O3414">
        <v>25.647668393782389</v>
      </c>
      <c r="P3414"/>
    </row>
    <row r="3415" spans="1:16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>
        <v>24</v>
      </c>
      <c r="N3415">
        <v>98.26</v>
      </c>
      <c r="O3415">
        <v>26.666666666666671</v>
      </c>
      <c r="P3415"/>
    </row>
    <row r="3416" spans="1:16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>
        <v>26</v>
      </c>
      <c r="N3416">
        <v>98.2</v>
      </c>
      <c r="O3416">
        <v>23.37962962962963</v>
      </c>
      <c r="P3416"/>
    </row>
    <row r="3417" spans="1:16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>
        <v>19</v>
      </c>
      <c r="N3417">
        <v>97.3</v>
      </c>
      <c r="O3417">
        <v>23.84769539078156</v>
      </c>
      <c r="P3417"/>
    </row>
    <row r="3418" spans="1:16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>
        <v>15</v>
      </c>
      <c r="N3418">
        <v>100</v>
      </c>
      <c r="O3418">
        <v>25.268817204301079</v>
      </c>
      <c r="P3418"/>
    </row>
    <row r="3419" spans="1:16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>
        <v>28</v>
      </c>
      <c r="N3419">
        <v>99.32</v>
      </c>
      <c r="O3419">
        <v>22.822822822822818</v>
      </c>
      <c r="P3419"/>
    </row>
    <row r="3420" spans="1:16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>
        <v>18</v>
      </c>
      <c r="N3420">
        <v>100</v>
      </c>
      <c r="O3420">
        <v>27.966101694915249</v>
      </c>
      <c r="P3420"/>
    </row>
    <row r="3421" spans="1:16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>
        <v>6</v>
      </c>
      <c r="N3421">
        <v>100</v>
      </c>
      <c r="O3421">
        <v>30.434782608695659</v>
      </c>
      <c r="P3421"/>
    </row>
    <row r="3422" spans="1:16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>
        <v>31</v>
      </c>
      <c r="N3422">
        <v>96.51</v>
      </c>
      <c r="O3422">
        <v>22.802850356294542</v>
      </c>
      <c r="P3422"/>
    </row>
    <row r="3423" spans="1:16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>
        <v>22</v>
      </c>
      <c r="N3423">
        <v>92.68</v>
      </c>
      <c r="O3423">
        <v>27.777777777777779</v>
      </c>
      <c r="P3423"/>
    </row>
    <row r="3424" spans="1:16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>
        <v>12</v>
      </c>
      <c r="N3424">
        <v>99.03</v>
      </c>
      <c r="O3424">
        <v>23.991507430997881</v>
      </c>
      <c r="P3424"/>
    </row>
    <row r="3425" spans="1:16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>
        <v>6</v>
      </c>
      <c r="N3425">
        <v>98.41</v>
      </c>
      <c r="O3425">
        <v>28.138528138528141</v>
      </c>
      <c r="P3425"/>
    </row>
    <row r="3426" spans="1:16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>
        <v>18</v>
      </c>
      <c r="N3426">
        <v>98.73</v>
      </c>
      <c r="O3426">
        <v>29.142857142857139</v>
      </c>
      <c r="P3426"/>
    </row>
    <row r="3427" spans="1:16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>
        <v>8</v>
      </c>
      <c r="N3427">
        <v>90.48</v>
      </c>
      <c r="O3427">
        <v>20.68965517241379</v>
      </c>
      <c r="P3427"/>
    </row>
    <row r="3428" spans="1:16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>
        <v>21</v>
      </c>
      <c r="N3428">
        <v>98.06</v>
      </c>
      <c r="O3428">
        <v>24.789915966386559</v>
      </c>
      <c r="P3428"/>
    </row>
    <row r="3429" spans="1:16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>
        <v>20</v>
      </c>
      <c r="N3429">
        <v>97.78</v>
      </c>
      <c r="O3429">
        <v>25.494071146245059</v>
      </c>
      <c r="P3429"/>
    </row>
    <row r="3430" spans="1:16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>
        <v>18</v>
      </c>
      <c r="N3430">
        <v>98.02</v>
      </c>
      <c r="O3430">
        <v>23.484848484848481</v>
      </c>
      <c r="P3430"/>
    </row>
    <row r="3431" spans="1:16" hidden="1" x14ac:dyDescent="0.25">
      <c r="A3431" s="10">
        <v>46164</v>
      </c>
      <c r="B3431" s="6" t="s">
        <v>56</v>
      </c>
      <c r="C3431" s="3" t="s">
        <v>48</v>
      </c>
      <c r="D3431" s="3">
        <v>19</v>
      </c>
      <c r="E3431" s="3">
        <v>18</v>
      </c>
      <c r="F3431" s="3">
        <v>20.48</v>
      </c>
      <c r="G3431" s="3">
        <v>1</v>
      </c>
      <c r="H3431" s="3">
        <v>0</v>
      </c>
      <c r="I3431" s="3">
        <f>E3431+G3431+H3431</f>
        <v>19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15</v>
      </c>
      <c r="K3431" s="3">
        <f>I3431-J3431</f>
        <v>4</v>
      </c>
      <c r="L3431" s="3" t="str">
        <f>IF(K3431&lt;-5,"CRÍTICO",IF(K3431&lt;0,"ATENÇÃO",IF(K3431&lt;=5,"OPORTUNO","MUITO BOM")))</f>
        <v>OPORTUNO</v>
      </c>
      <c r="M3431" s="3">
        <v>18</v>
      </c>
      <c r="N3431" s="3">
        <v>99</v>
      </c>
      <c r="O3431" s="3">
        <v>22.010869565217391</v>
      </c>
    </row>
    <row r="3432" spans="1:16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>
        <v>14</v>
      </c>
      <c r="N3432">
        <v>100</v>
      </c>
      <c r="O3432">
        <v>27.04918032786885</v>
      </c>
      <c r="P3432"/>
    </row>
    <row r="3433" spans="1:16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>
        <v>38</v>
      </c>
      <c r="N3433">
        <v>97.83</v>
      </c>
      <c r="O3433">
        <v>26.315789473684209</v>
      </c>
      <c r="P3433"/>
    </row>
    <row r="3434" spans="1:16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>
        <v>5</v>
      </c>
      <c r="N3434">
        <v>100</v>
      </c>
      <c r="O3434">
        <v>26.701570680628269</v>
      </c>
      <c r="P3434"/>
    </row>
    <row r="3435" spans="1:16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>
        <v>0</v>
      </c>
      <c r="N3435">
        <v>97.47</v>
      </c>
      <c r="O3435">
        <v>22.887323943661968</v>
      </c>
      <c r="P3435"/>
    </row>
    <row r="3436" spans="1:16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0</v>
      </c>
      <c r="O3436">
        <v>0</v>
      </c>
      <c r="P3436"/>
    </row>
    <row r="3437" spans="1:16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>
        <v>23</v>
      </c>
      <c r="N3437">
        <v>98.31</v>
      </c>
      <c r="O3437">
        <v>24.920127795527151</v>
      </c>
      <c r="P3437"/>
    </row>
    <row r="3438" spans="1:16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>
        <v>25</v>
      </c>
      <c r="N3438">
        <v>96.81</v>
      </c>
      <c r="O3438">
        <v>32.365145228215773</v>
      </c>
      <c r="P3438"/>
    </row>
    <row r="3439" spans="1:16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>
        <v>9</v>
      </c>
      <c r="N3439">
        <v>100</v>
      </c>
      <c r="O3439">
        <v>26.47058823529412</v>
      </c>
      <c r="P3439"/>
    </row>
    <row r="3440" spans="1:16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>
        <v>26</v>
      </c>
      <c r="N3440">
        <v>100</v>
      </c>
      <c r="O3440">
        <v>28.490028490028489</v>
      </c>
      <c r="P3440"/>
    </row>
    <row r="3441" spans="1:16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>
        <v>15</v>
      </c>
      <c r="N3441">
        <v>99.14</v>
      </c>
      <c r="O3441">
        <v>27.2289156626506</v>
      </c>
      <c r="P3441"/>
    </row>
    <row r="3442" spans="1:16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>
        <v>18</v>
      </c>
      <c r="N3442">
        <v>97.52</v>
      </c>
      <c r="O3442">
        <v>28.205128205128201</v>
      </c>
      <c r="P3442"/>
    </row>
    <row r="3443" spans="1:16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0</v>
      </c>
      <c r="N3443">
        <v>90</v>
      </c>
      <c r="O3443">
        <v>24.186046511627911</v>
      </c>
      <c r="P3443"/>
    </row>
    <row r="3444" spans="1:16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>
        <v>20</v>
      </c>
      <c r="N3444">
        <v>98.9</v>
      </c>
      <c r="O3444">
        <v>26.763990267639901</v>
      </c>
      <c r="P3444"/>
    </row>
    <row r="3445" spans="1:16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>
        <v>5</v>
      </c>
      <c r="N3445">
        <v>88.89</v>
      </c>
      <c r="O3445">
        <v>25.263157894736839</v>
      </c>
      <c r="P3445"/>
    </row>
    <row r="3446" spans="1:16" hidden="1" x14ac:dyDescent="0.25">
      <c r="A3446" s="11">
        <v>46108</v>
      </c>
      <c r="B3446" t="s">
        <v>43</v>
      </c>
      <c r="C3446" t="s">
        <v>32</v>
      </c>
      <c r="D3446">
        <v>29</v>
      </c>
      <c r="E3446">
        <v>27</v>
      </c>
      <c r="F3446">
        <v>14.01</v>
      </c>
      <c r="G3446">
        <v>0</v>
      </c>
      <c r="H3446">
        <v>0</v>
      </c>
      <c r="I3446" s="3">
        <f>E3446+G3446+H3446</f>
        <v>27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26</v>
      </c>
      <c r="K3446" s="3">
        <f>I3446-J3446</f>
        <v>1</v>
      </c>
      <c r="L3446" s="3" t="str">
        <f>IF(K3446&lt;-5,"CRÍTICO",IF(K3446&lt;0,"ATENÇÃO",IF(K3446&lt;=5,"OPORTUNO","MUITO BOM")))</f>
        <v>OPORTUNO</v>
      </c>
      <c r="M3446">
        <v>24</v>
      </c>
      <c r="N3446">
        <v>98.86</v>
      </c>
      <c r="O3446">
        <v>28.959276018099551</v>
      </c>
      <c r="P3446"/>
    </row>
    <row r="3447" spans="1:16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>
        <v>0</v>
      </c>
      <c r="N3447">
        <v>98.06</v>
      </c>
      <c r="O3447">
        <v>22.40566037735849</v>
      </c>
      <c r="P3447"/>
    </row>
    <row r="3448" spans="1:16" hidden="1" x14ac:dyDescent="0.25">
      <c r="A3448" s="11">
        <v>46108</v>
      </c>
      <c r="B3448" t="s">
        <v>20</v>
      </c>
      <c r="C3448" t="s">
        <v>16</v>
      </c>
      <c r="D3448">
        <v>9</v>
      </c>
      <c r="E3448">
        <v>9</v>
      </c>
      <c r="F3448">
        <v>27.12</v>
      </c>
      <c r="G3448">
        <v>0</v>
      </c>
      <c r="H3448">
        <v>0</v>
      </c>
      <c r="I3448" s="3">
        <f>E3448+G3448+H3448</f>
        <v>9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7</v>
      </c>
      <c r="K3448" s="3">
        <f>I3448-J3448</f>
        <v>2</v>
      </c>
      <c r="L3448" s="3" t="str">
        <f>IF(K3448&lt;-5,"CRÍTICO",IF(K3448&lt;0,"ATENÇÃO",IF(K3448&lt;=5,"OPORTUNO","MUITO BOM")))</f>
        <v>OPORTUNO</v>
      </c>
      <c r="M3448">
        <v>4</v>
      </c>
      <c r="N3448">
        <v>95.83</v>
      </c>
      <c r="O3448">
        <v>25.773195876288661</v>
      </c>
      <c r="P3448"/>
    </row>
    <row r="3449" spans="1:16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>
        <v>1</v>
      </c>
      <c r="N3449">
        <v>100</v>
      </c>
      <c r="O3449">
        <v>15.38461538461539</v>
      </c>
      <c r="P3449"/>
    </row>
    <row r="3450" spans="1:16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  <c r="P3450"/>
    </row>
    <row r="3451" spans="1:16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>
        <v>12</v>
      </c>
      <c r="N3451">
        <v>100</v>
      </c>
      <c r="O3451">
        <v>24.875621890547269</v>
      </c>
      <c r="P3451"/>
    </row>
    <row r="3452" spans="1:16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>
        <v>18</v>
      </c>
      <c r="N3452">
        <v>100</v>
      </c>
      <c r="O3452">
        <v>28.108108108108109</v>
      </c>
      <c r="P3452"/>
    </row>
    <row r="3453" spans="1:16" hidden="1" x14ac:dyDescent="0.25">
      <c r="A3453" s="11">
        <v>46108</v>
      </c>
      <c r="B3453" t="s">
        <v>21</v>
      </c>
      <c r="C3453" t="s">
        <v>16</v>
      </c>
      <c r="D3453">
        <v>6</v>
      </c>
      <c r="E3453">
        <v>6</v>
      </c>
      <c r="F3453">
        <v>32.29</v>
      </c>
      <c r="G3453">
        <v>0</v>
      </c>
      <c r="H3453">
        <v>0</v>
      </c>
      <c r="I3453" s="3">
        <f>E3453+G3453+H3453</f>
        <v>6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7</v>
      </c>
      <c r="K3453" s="3">
        <f>I3453-J3453</f>
        <v>-1</v>
      </c>
      <c r="L3453" s="3" t="str">
        <f>IF(K3453&lt;-5,"CRÍTICO",IF(K3453&lt;0,"ATENÇÃO",IF(K3453&lt;=5,"OPORTUNO","MUITO BOM")))</f>
        <v>ATENÇÃO</v>
      </c>
      <c r="M3453">
        <v>4</v>
      </c>
      <c r="N3453">
        <v>100</v>
      </c>
      <c r="O3453">
        <v>35</v>
      </c>
      <c r="P3453"/>
    </row>
    <row r="3454" spans="1:16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>
        <v>18</v>
      </c>
      <c r="N3454">
        <v>95.35</v>
      </c>
      <c r="O3454">
        <v>28.61538461538461</v>
      </c>
      <c r="P3454"/>
    </row>
    <row r="3455" spans="1:16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>
        <v>30</v>
      </c>
      <c r="N3455">
        <v>98.26</v>
      </c>
      <c r="O3455">
        <v>27.54491017964072</v>
      </c>
      <c r="P3455"/>
    </row>
    <row r="3456" spans="1:16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>
        <v>14</v>
      </c>
      <c r="N3456">
        <v>98.55</v>
      </c>
      <c r="O3456">
        <v>25.337837837837839</v>
      </c>
      <c r="P3456"/>
    </row>
    <row r="3457" spans="1:16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>
        <v>22</v>
      </c>
      <c r="N3457">
        <v>98.39</v>
      </c>
      <c r="O3457">
        <v>25.563909774436091</v>
      </c>
      <c r="P3457"/>
    </row>
    <row r="3458" spans="1:16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>
        <v>20</v>
      </c>
      <c r="N3458">
        <v>94.29</v>
      </c>
      <c r="O3458">
        <v>25.647668393782389</v>
      </c>
      <c r="P3458"/>
    </row>
    <row r="3459" spans="1:16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>
        <v>25</v>
      </c>
      <c r="N3459">
        <v>98.26</v>
      </c>
      <c r="O3459">
        <v>26.666666666666671</v>
      </c>
      <c r="P3459"/>
    </row>
    <row r="3460" spans="1:16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>
        <v>18</v>
      </c>
      <c r="N3460">
        <v>98.2</v>
      </c>
      <c r="O3460">
        <v>23.37962962962963</v>
      </c>
      <c r="P3460"/>
    </row>
    <row r="3461" spans="1:16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>
        <v>31</v>
      </c>
      <c r="N3461">
        <v>97.3</v>
      </c>
      <c r="O3461">
        <v>23.84769539078156</v>
      </c>
      <c r="P3461"/>
    </row>
    <row r="3462" spans="1:16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>
        <v>13</v>
      </c>
      <c r="N3462">
        <v>100</v>
      </c>
      <c r="O3462">
        <v>25.268817204301079</v>
      </c>
      <c r="P3462"/>
    </row>
    <row r="3463" spans="1:16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>
        <v>32</v>
      </c>
      <c r="N3463">
        <v>99.32</v>
      </c>
      <c r="O3463">
        <v>22.822822822822818</v>
      </c>
      <c r="P3463"/>
    </row>
    <row r="3464" spans="1:16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>
        <v>22</v>
      </c>
      <c r="N3464">
        <v>100</v>
      </c>
      <c r="O3464">
        <v>27.966101694915249</v>
      </c>
      <c r="P3464"/>
    </row>
    <row r="3465" spans="1:16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>
        <v>2</v>
      </c>
      <c r="N3465">
        <v>100</v>
      </c>
      <c r="O3465">
        <v>30.434782608695659</v>
      </c>
      <c r="P3465"/>
    </row>
    <row r="3466" spans="1:16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>
        <v>21</v>
      </c>
      <c r="N3466">
        <v>96.51</v>
      </c>
      <c r="O3466">
        <v>22.802850356294542</v>
      </c>
      <c r="P3466"/>
    </row>
    <row r="3467" spans="1:16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>
        <v>0</v>
      </c>
      <c r="N3467">
        <v>92.68</v>
      </c>
      <c r="O3467">
        <v>27.777777777777779</v>
      </c>
      <c r="P3467"/>
    </row>
    <row r="3468" spans="1:16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27</v>
      </c>
      <c r="N3468">
        <v>99.03</v>
      </c>
      <c r="O3468">
        <v>23.991507430997881</v>
      </c>
      <c r="P3468"/>
    </row>
    <row r="3469" spans="1:16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>
        <v>10</v>
      </c>
      <c r="N3469">
        <v>98.41</v>
      </c>
      <c r="O3469">
        <v>28.138528138528141</v>
      </c>
      <c r="P3469"/>
    </row>
    <row r="3470" spans="1:16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>
        <v>31</v>
      </c>
      <c r="N3470">
        <v>98.73</v>
      </c>
      <c r="O3470">
        <v>29.142857142857139</v>
      </c>
      <c r="P3470"/>
    </row>
    <row r="3471" spans="1:16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>
        <v>7</v>
      </c>
      <c r="N3471">
        <v>90.48</v>
      </c>
      <c r="O3471">
        <v>20.68965517241379</v>
      </c>
      <c r="P3471"/>
    </row>
    <row r="3472" spans="1:16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>
        <v>27</v>
      </c>
      <c r="N3472">
        <v>98.06</v>
      </c>
      <c r="O3472">
        <v>24.789915966386559</v>
      </c>
      <c r="P3472"/>
    </row>
    <row r="3473" spans="1:16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>
        <v>0</v>
      </c>
      <c r="N3473">
        <v>97.78</v>
      </c>
      <c r="O3473">
        <v>25.494071146245059</v>
      </c>
      <c r="P3473"/>
    </row>
    <row r="3474" spans="1:16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98.02</v>
      </c>
      <c r="O3474">
        <v>23.484848484848481</v>
      </c>
      <c r="P3474"/>
    </row>
    <row r="3475" spans="1:16" hidden="1" x14ac:dyDescent="0.25">
      <c r="A3475" s="10">
        <v>46164</v>
      </c>
      <c r="B3475" s="6" t="s">
        <v>57</v>
      </c>
      <c r="C3475" s="3" t="s">
        <v>48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v>0</v>
      </c>
      <c r="J3475" s="3">
        <v>0</v>
      </c>
      <c r="K3475" s="3">
        <v>0</v>
      </c>
      <c r="L3475" s="3" t="str">
        <f>IF(K3475&lt;-5,"CRÍTICO",IF(K3475&lt;0,"ATENÇÃO",IF(K3475&lt;=5,"OPORTUNO","MUITO BOM")))</f>
        <v>OPORTUNO</v>
      </c>
      <c r="M3475" s="3">
        <v>0</v>
      </c>
      <c r="N3475" s="3">
        <v>100</v>
      </c>
      <c r="O3475" s="3">
        <v>25</v>
      </c>
    </row>
    <row r="3476" spans="1:16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>
        <v>26</v>
      </c>
      <c r="N3476">
        <v>100</v>
      </c>
      <c r="O3476">
        <v>27.04918032786885</v>
      </c>
      <c r="P3476"/>
    </row>
    <row r="3477" spans="1:16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>
        <v>37</v>
      </c>
      <c r="N3477">
        <v>97.83</v>
      </c>
      <c r="O3477">
        <v>26.315789473684209</v>
      </c>
      <c r="P3477"/>
    </row>
    <row r="3478" spans="1:16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>
        <v>8</v>
      </c>
      <c r="N3478">
        <v>100</v>
      </c>
      <c r="O3478">
        <v>26.701570680628269</v>
      </c>
      <c r="P3478"/>
    </row>
    <row r="3479" spans="1:16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>
        <v>0</v>
      </c>
      <c r="N3479">
        <v>97.47</v>
      </c>
      <c r="O3479">
        <v>22.887323943661968</v>
      </c>
      <c r="P3479"/>
    </row>
    <row r="3480" spans="1:16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0</v>
      </c>
      <c r="O3480">
        <v>0</v>
      </c>
      <c r="P3480"/>
    </row>
    <row r="3481" spans="1:16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>
        <v>17</v>
      </c>
      <c r="N3481">
        <v>98.31</v>
      </c>
      <c r="O3481">
        <v>24.920127795527151</v>
      </c>
      <c r="P3481"/>
    </row>
    <row r="3482" spans="1:16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>
        <v>17</v>
      </c>
      <c r="N3482">
        <v>96.81</v>
      </c>
      <c r="O3482">
        <v>32.365145228215773</v>
      </c>
      <c r="P3482"/>
    </row>
    <row r="3483" spans="1:16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>
        <v>14</v>
      </c>
      <c r="N3483">
        <v>100</v>
      </c>
      <c r="O3483">
        <v>26.47058823529412</v>
      </c>
      <c r="P3483"/>
    </row>
    <row r="3484" spans="1:16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>
        <v>26</v>
      </c>
      <c r="N3484">
        <v>100</v>
      </c>
      <c r="O3484">
        <v>28.490028490028489</v>
      </c>
      <c r="P3484"/>
    </row>
    <row r="3485" spans="1:16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>
        <v>25</v>
      </c>
      <c r="N3485">
        <v>99.14</v>
      </c>
      <c r="O3485">
        <v>27.2289156626506</v>
      </c>
      <c r="P3485"/>
    </row>
    <row r="3486" spans="1:16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>
        <v>1</v>
      </c>
      <c r="N3486">
        <v>97.52</v>
      </c>
      <c r="O3486">
        <v>28.205128205128201</v>
      </c>
      <c r="P3486"/>
    </row>
    <row r="3487" spans="1:16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0</v>
      </c>
      <c r="N3487">
        <v>90</v>
      </c>
      <c r="O3487">
        <v>24.186046511627911</v>
      </c>
      <c r="P3487"/>
    </row>
    <row r="3488" spans="1:16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>
        <v>23</v>
      </c>
      <c r="N3488">
        <v>98.9</v>
      </c>
      <c r="O3488">
        <v>26.763990267639901</v>
      </c>
      <c r="P3488"/>
    </row>
    <row r="3489" spans="1:16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>
        <v>8</v>
      </c>
      <c r="N3489">
        <v>88.89</v>
      </c>
      <c r="O3489">
        <v>25.263157894736839</v>
      </c>
      <c r="P3489"/>
    </row>
    <row r="3490" spans="1:16" hidden="1" x14ac:dyDescent="0.25">
      <c r="A3490" s="11">
        <v>46111</v>
      </c>
      <c r="B3490" t="s">
        <v>43</v>
      </c>
      <c r="C3490" t="s">
        <v>32</v>
      </c>
      <c r="D3490">
        <v>35</v>
      </c>
      <c r="E3490">
        <v>31</v>
      </c>
      <c r="F3490">
        <v>15.5</v>
      </c>
      <c r="G3490">
        <v>0</v>
      </c>
      <c r="H3490">
        <v>0</v>
      </c>
      <c r="I3490" s="3">
        <f>E3490+G3490+H3490</f>
        <v>31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4</v>
      </c>
      <c r="L3490" s="3" t="str">
        <f>IF(K3490&lt;-5,"CRÍTICO",IF(K3490&lt;0,"ATENÇÃO",IF(K3490&lt;=5,"OPORTUNO","MUITO BOM")))</f>
        <v>OPORTUNO</v>
      </c>
      <c r="M3490">
        <v>33</v>
      </c>
      <c r="N3490">
        <v>98.86</v>
      </c>
      <c r="O3490">
        <v>28.959276018099551</v>
      </c>
      <c r="P3490"/>
    </row>
    <row r="3491" spans="1:16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>
        <v>23</v>
      </c>
      <c r="N3491">
        <v>98.06</v>
      </c>
      <c r="O3491">
        <v>22.40566037735849</v>
      </c>
      <c r="P3491"/>
    </row>
    <row r="3492" spans="1:16" hidden="1" x14ac:dyDescent="0.25">
      <c r="A3492" s="11">
        <v>46111</v>
      </c>
      <c r="B3492" t="s">
        <v>20</v>
      </c>
      <c r="C3492" t="s">
        <v>16</v>
      </c>
      <c r="D3492">
        <v>17</v>
      </c>
      <c r="E3492">
        <v>17</v>
      </c>
      <c r="F3492">
        <v>30.36</v>
      </c>
      <c r="G3492">
        <v>0</v>
      </c>
      <c r="H3492">
        <v>0</v>
      </c>
      <c r="I3492" s="3">
        <f>E3492+G3492+H3492</f>
        <v>17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8</v>
      </c>
      <c r="K3492" s="3">
        <f>I3492-J3492</f>
        <v>9</v>
      </c>
      <c r="L3492" s="3" t="str">
        <f>IF(K3492&lt;-5,"CRÍTICO",IF(K3492&lt;0,"ATENÇÃO",IF(K3492&lt;=5,"OPORTUNO","MUITO BOM")))</f>
        <v>MUITO BOM</v>
      </c>
      <c r="M3492">
        <v>8</v>
      </c>
      <c r="N3492">
        <v>95.83</v>
      </c>
      <c r="O3492">
        <v>25.773195876288661</v>
      </c>
      <c r="P3492"/>
    </row>
    <row r="3493" spans="1:16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>
        <v>11</v>
      </c>
      <c r="N3493">
        <v>100</v>
      </c>
      <c r="O3493">
        <v>15.38461538461539</v>
      </c>
      <c r="P3493"/>
    </row>
    <row r="3494" spans="1:16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>
        <v>32</v>
      </c>
      <c r="N3494">
        <v>100</v>
      </c>
      <c r="O3494">
        <v>27.514792899408281</v>
      </c>
      <c r="P3494"/>
    </row>
    <row r="3495" spans="1:16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>
        <v>12</v>
      </c>
      <c r="N3495">
        <v>100</v>
      </c>
      <c r="O3495">
        <v>24.875621890547269</v>
      </c>
      <c r="P3495"/>
    </row>
    <row r="3496" spans="1:16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>
        <v>17</v>
      </c>
      <c r="N3496">
        <v>100</v>
      </c>
      <c r="O3496">
        <v>28.108108108108109</v>
      </c>
      <c r="P3496"/>
    </row>
    <row r="3497" spans="1:16" hidden="1" x14ac:dyDescent="0.25">
      <c r="A3497" s="11">
        <v>46111</v>
      </c>
      <c r="B3497" t="s">
        <v>21</v>
      </c>
      <c r="C3497" t="s">
        <v>16</v>
      </c>
      <c r="D3497">
        <v>4</v>
      </c>
      <c r="E3497">
        <v>4</v>
      </c>
      <c r="F3497">
        <v>24.03</v>
      </c>
      <c r="G3497">
        <v>0</v>
      </c>
      <c r="H3497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8</v>
      </c>
      <c r="K3497" s="3">
        <f>I3497-J3497</f>
        <v>-4</v>
      </c>
      <c r="L3497" s="3" t="str">
        <f>IF(K3497&lt;-5,"CRÍTICO",IF(K3497&lt;0,"ATENÇÃO",IF(K3497&lt;=5,"OPORTUNO","MUITO BOM")))</f>
        <v>ATENÇÃO</v>
      </c>
      <c r="M3497">
        <v>4</v>
      </c>
      <c r="N3497">
        <v>100</v>
      </c>
      <c r="O3497">
        <v>35</v>
      </c>
      <c r="P3497"/>
    </row>
    <row r="3498" spans="1:16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>
        <v>14</v>
      </c>
      <c r="N3498">
        <v>95.35</v>
      </c>
      <c r="O3498">
        <v>28.61538461538461</v>
      </c>
      <c r="P3498"/>
    </row>
    <row r="3499" spans="1:16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>
        <v>32</v>
      </c>
      <c r="N3499">
        <v>98.26</v>
      </c>
      <c r="O3499">
        <v>27.54491017964072</v>
      </c>
      <c r="P3499"/>
    </row>
    <row r="3500" spans="1:16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>
        <v>19</v>
      </c>
      <c r="N3500">
        <v>98.55</v>
      </c>
      <c r="O3500">
        <v>25.337837837837839</v>
      </c>
      <c r="P3500"/>
    </row>
    <row r="3501" spans="1:16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>
        <v>30</v>
      </c>
      <c r="N3501">
        <v>98.39</v>
      </c>
      <c r="O3501">
        <v>25.563909774436091</v>
      </c>
      <c r="P3501"/>
    </row>
    <row r="3502" spans="1:16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>
        <v>10</v>
      </c>
      <c r="N3502">
        <v>94.29</v>
      </c>
      <c r="O3502">
        <v>25.647668393782389</v>
      </c>
      <c r="P3502"/>
    </row>
    <row r="3503" spans="1:16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>
        <v>23</v>
      </c>
      <c r="N3503">
        <v>98.26</v>
      </c>
      <c r="O3503">
        <v>26.666666666666671</v>
      </c>
      <c r="P3503"/>
    </row>
    <row r="3504" spans="1:16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>
        <v>20</v>
      </c>
      <c r="N3504">
        <v>98.2</v>
      </c>
      <c r="O3504">
        <v>23.37962962962963</v>
      </c>
      <c r="P3504"/>
    </row>
    <row r="3505" spans="1:16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>
        <v>23</v>
      </c>
      <c r="N3505">
        <v>97.3</v>
      </c>
      <c r="O3505">
        <v>23.84769539078156</v>
      </c>
      <c r="P3505"/>
    </row>
    <row r="3506" spans="1:16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>
        <v>16</v>
      </c>
      <c r="N3506">
        <v>100</v>
      </c>
      <c r="O3506">
        <v>25.268817204301079</v>
      </c>
      <c r="P3506"/>
    </row>
    <row r="3507" spans="1:16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>
        <v>30</v>
      </c>
      <c r="N3507">
        <v>99.32</v>
      </c>
      <c r="O3507">
        <v>22.822822822822818</v>
      </c>
      <c r="P3507"/>
    </row>
    <row r="3508" spans="1:16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26</v>
      </c>
      <c r="N3508">
        <v>100</v>
      </c>
      <c r="O3508">
        <v>27.966101694915249</v>
      </c>
      <c r="P3508"/>
    </row>
    <row r="3509" spans="1:16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>
        <v>6</v>
      </c>
      <c r="N3509">
        <v>100</v>
      </c>
      <c r="O3509">
        <v>30.434782608695659</v>
      </c>
      <c r="P3509"/>
    </row>
    <row r="3510" spans="1:16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>
        <v>10</v>
      </c>
      <c r="N3510">
        <v>96.51</v>
      </c>
      <c r="O3510">
        <v>22.802850356294542</v>
      </c>
      <c r="P3510"/>
    </row>
    <row r="3511" spans="1:16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>
        <v>26</v>
      </c>
      <c r="N3511">
        <v>92.68</v>
      </c>
      <c r="O3511">
        <v>27.777777777777779</v>
      </c>
      <c r="P3511"/>
    </row>
    <row r="3512" spans="1:16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>
        <v>11</v>
      </c>
      <c r="N3512">
        <v>99.03</v>
      </c>
      <c r="O3512">
        <v>23.991507430997881</v>
      </c>
      <c r="P3512"/>
    </row>
    <row r="3513" spans="1:16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>
        <v>8</v>
      </c>
      <c r="N3513">
        <v>98.41</v>
      </c>
      <c r="O3513">
        <v>28.138528138528141</v>
      </c>
      <c r="P3513"/>
    </row>
    <row r="3514" spans="1:16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  <c r="P3514"/>
    </row>
    <row r="3515" spans="1:16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>
        <v>3</v>
      </c>
      <c r="N3515">
        <v>90.48</v>
      </c>
      <c r="O3515">
        <v>20.68965517241379</v>
      </c>
      <c r="P3515"/>
    </row>
    <row r="3516" spans="1:16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18</v>
      </c>
      <c r="N3516">
        <v>98.06</v>
      </c>
      <c r="O3516">
        <v>24.789915966386559</v>
      </c>
      <c r="P3516"/>
    </row>
    <row r="3517" spans="1:16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>
        <v>0</v>
      </c>
      <c r="N3517">
        <v>97.78</v>
      </c>
      <c r="O3517">
        <v>25.494071146245059</v>
      </c>
      <c r="P3517"/>
    </row>
    <row r="3518" spans="1:16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>
        <v>22</v>
      </c>
      <c r="N3518">
        <v>98.02</v>
      </c>
      <c r="O3518">
        <v>23.484848484848481</v>
      </c>
      <c r="P3518"/>
    </row>
    <row r="3519" spans="1:16" hidden="1" x14ac:dyDescent="0.25">
      <c r="A3519" s="10">
        <v>46164</v>
      </c>
      <c r="B3519" s="6" t="s">
        <v>58</v>
      </c>
      <c r="C3519" s="3" t="s">
        <v>48</v>
      </c>
      <c r="D3519" s="3">
        <v>17</v>
      </c>
      <c r="E3519" s="3">
        <v>17</v>
      </c>
      <c r="F3519" s="3">
        <v>22.2</v>
      </c>
      <c r="G3519" s="3">
        <v>0</v>
      </c>
      <c r="H3519" s="3">
        <v>0</v>
      </c>
      <c r="I3519" s="3">
        <f>E3519+G3519+H3519</f>
        <v>17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15</v>
      </c>
      <c r="K3519" s="3">
        <f>I3519-J3519</f>
        <v>2</v>
      </c>
      <c r="L3519" s="3" t="str">
        <f>IF(K3519&lt;-5,"CRÍTICO",IF(K3519&lt;0,"ATENÇÃO",IF(K3519&lt;=5,"OPORTUNO","MUITO BOM")))</f>
        <v>OPORTUNO</v>
      </c>
      <c r="M3519" s="3">
        <v>12</v>
      </c>
      <c r="N3519" s="3">
        <v>100</v>
      </c>
      <c r="O3519" s="3">
        <v>20.183486238532112</v>
      </c>
    </row>
    <row r="3520" spans="1:16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>
        <v>29</v>
      </c>
      <c r="N3520">
        <v>100</v>
      </c>
      <c r="O3520">
        <v>27.04918032786885</v>
      </c>
      <c r="P3520"/>
    </row>
    <row r="3521" spans="1:16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>
        <v>45</v>
      </c>
      <c r="N3521">
        <v>97.83</v>
      </c>
      <c r="O3521">
        <v>26.315789473684209</v>
      </c>
      <c r="P3521"/>
    </row>
    <row r="3522" spans="1:16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>
        <v>0</v>
      </c>
      <c r="N3522">
        <v>100</v>
      </c>
      <c r="O3522">
        <v>26.701570680628269</v>
      </c>
      <c r="P3522"/>
    </row>
    <row r="3523" spans="1:16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>
        <v>13</v>
      </c>
      <c r="N3523">
        <v>97.47</v>
      </c>
      <c r="O3523">
        <v>22.887323943661968</v>
      </c>
      <c r="P3523"/>
    </row>
    <row r="3524" spans="1:16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>
        <v>0</v>
      </c>
      <c r="N3524">
        <v>0</v>
      </c>
      <c r="O3524">
        <v>0</v>
      </c>
      <c r="P3524"/>
    </row>
    <row r="3525" spans="1:16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>
        <v>19</v>
      </c>
      <c r="N3525">
        <v>98.31</v>
      </c>
      <c r="O3525">
        <v>24.920127795527151</v>
      </c>
      <c r="P3525"/>
    </row>
    <row r="3526" spans="1:16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>
        <v>7</v>
      </c>
      <c r="N3526">
        <v>96.81</v>
      </c>
      <c r="O3526">
        <v>32.365145228215773</v>
      </c>
      <c r="P3526"/>
    </row>
    <row r="3527" spans="1:16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>
        <v>16</v>
      </c>
      <c r="N3527">
        <v>100</v>
      </c>
      <c r="O3527">
        <v>26.47058823529412</v>
      </c>
      <c r="P3527"/>
    </row>
    <row r="3528" spans="1:16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>
        <v>28</v>
      </c>
      <c r="N3528">
        <v>100</v>
      </c>
      <c r="O3528">
        <v>28.490028490028489</v>
      </c>
      <c r="P3528"/>
    </row>
    <row r="3529" spans="1:16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9</v>
      </c>
      <c r="N3529">
        <v>99.14</v>
      </c>
      <c r="O3529">
        <v>27.2289156626506</v>
      </c>
      <c r="P3529"/>
    </row>
    <row r="3530" spans="1:16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>
        <v>3</v>
      </c>
      <c r="N3530">
        <v>97.52</v>
      </c>
      <c r="O3530">
        <v>28.205128205128201</v>
      </c>
      <c r="P3530"/>
    </row>
    <row r="3531" spans="1:16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>
        <v>26</v>
      </c>
      <c r="N3531">
        <v>90</v>
      </c>
      <c r="O3531">
        <v>24.186046511627911</v>
      </c>
      <c r="P3531"/>
    </row>
    <row r="3532" spans="1:16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>
        <v>28</v>
      </c>
      <c r="N3532">
        <v>98.9</v>
      </c>
      <c r="O3532">
        <v>26.763990267639901</v>
      </c>
      <c r="P3532"/>
    </row>
    <row r="3533" spans="1:16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>
        <v>7</v>
      </c>
      <c r="N3533">
        <v>88.89</v>
      </c>
      <c r="O3533">
        <v>25.263157894736839</v>
      </c>
      <c r="P3533"/>
    </row>
    <row r="3534" spans="1:16" hidden="1" x14ac:dyDescent="0.25">
      <c r="A3534" s="11">
        <v>46112</v>
      </c>
      <c r="B3534" t="s">
        <v>43</v>
      </c>
      <c r="C3534" t="s">
        <v>32</v>
      </c>
      <c r="D3534">
        <v>34</v>
      </c>
      <c r="E3534">
        <v>30</v>
      </c>
      <c r="F3534">
        <v>15.39</v>
      </c>
      <c r="G3534">
        <v>0</v>
      </c>
      <c r="H3534">
        <v>0</v>
      </c>
      <c r="I3534" s="3">
        <f>E3534+G3534+H3534</f>
        <v>30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30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>
        <v>28</v>
      </c>
      <c r="N3534">
        <v>98.86</v>
      </c>
      <c r="O3534">
        <v>28.959276018099551</v>
      </c>
      <c r="P3534"/>
    </row>
    <row r="3535" spans="1:16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>
        <v>25</v>
      </c>
      <c r="N3535">
        <v>98.06</v>
      </c>
      <c r="O3535">
        <v>22.40566037735849</v>
      </c>
      <c r="P3535"/>
    </row>
    <row r="3536" spans="1:16" hidden="1" x14ac:dyDescent="0.25">
      <c r="A3536" s="11">
        <v>46112</v>
      </c>
      <c r="B3536" t="s">
        <v>20</v>
      </c>
      <c r="C3536" t="s">
        <v>16</v>
      </c>
      <c r="D3536">
        <v>20</v>
      </c>
      <c r="E3536">
        <v>19</v>
      </c>
      <c r="F3536">
        <v>27.18</v>
      </c>
      <c r="G3536">
        <v>0</v>
      </c>
      <c r="H3536">
        <v>0</v>
      </c>
      <c r="I3536" s="3">
        <f>E3536+G3536+H3536</f>
        <v>19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8</v>
      </c>
      <c r="K3536" s="3">
        <f>I3536-J3536</f>
        <v>11</v>
      </c>
      <c r="L3536" s="3" t="str">
        <f>IF(K3536&lt;-5,"CRÍTICO",IF(K3536&lt;0,"ATENÇÃO",IF(K3536&lt;=5,"OPORTUNO","MUITO BOM")))</f>
        <v>MUITO BOM</v>
      </c>
      <c r="M3536">
        <v>7</v>
      </c>
      <c r="N3536">
        <v>95.83</v>
      </c>
      <c r="O3536">
        <v>25.773195876288661</v>
      </c>
      <c r="P3536"/>
    </row>
    <row r="3537" spans="1:16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>
        <v>14</v>
      </c>
      <c r="N3537">
        <v>100</v>
      </c>
      <c r="O3537">
        <v>15.38461538461539</v>
      </c>
      <c r="P3537"/>
    </row>
    <row r="3538" spans="1:16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>
        <v>20</v>
      </c>
      <c r="N3538">
        <v>100</v>
      </c>
      <c r="O3538">
        <v>27.514792899408281</v>
      </c>
      <c r="P3538"/>
    </row>
    <row r="3539" spans="1:16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>
        <v>12</v>
      </c>
      <c r="N3539">
        <v>100</v>
      </c>
      <c r="O3539">
        <v>24.875621890547269</v>
      </c>
      <c r="P3539"/>
    </row>
    <row r="3540" spans="1:16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>
        <v>19</v>
      </c>
      <c r="N3540">
        <v>100</v>
      </c>
      <c r="O3540">
        <v>28.108108108108109</v>
      </c>
      <c r="P3540"/>
    </row>
    <row r="3541" spans="1:16" hidden="1" x14ac:dyDescent="0.25">
      <c r="A3541" s="11">
        <v>46112</v>
      </c>
      <c r="B3541" t="s">
        <v>21</v>
      </c>
      <c r="C3541" t="s">
        <v>16</v>
      </c>
      <c r="D3541">
        <v>8</v>
      </c>
      <c r="E3541">
        <v>6</v>
      </c>
      <c r="F3541">
        <v>34.04</v>
      </c>
      <c r="G3541">
        <v>0</v>
      </c>
      <c r="H3541">
        <v>0</v>
      </c>
      <c r="I3541" s="3">
        <f>E3541+G3541+H3541</f>
        <v>6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8</v>
      </c>
      <c r="K3541" s="3">
        <f>I3541-J3541</f>
        <v>-2</v>
      </c>
      <c r="L3541" s="3" t="str">
        <f>IF(K3541&lt;-5,"CRÍTICO",IF(K3541&lt;0,"ATENÇÃO",IF(K3541&lt;=5,"OPORTUNO","MUITO BOM")))</f>
        <v>ATENÇÃO</v>
      </c>
      <c r="M3541">
        <v>3</v>
      </c>
      <c r="N3541">
        <v>100</v>
      </c>
      <c r="O3541">
        <v>35</v>
      </c>
      <c r="P3541"/>
    </row>
    <row r="3542" spans="1:16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>
        <v>17</v>
      </c>
      <c r="N3542">
        <v>95.35</v>
      </c>
      <c r="O3542">
        <v>28.61538461538461</v>
      </c>
      <c r="P3542"/>
    </row>
    <row r="3543" spans="1:16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>
        <v>35</v>
      </c>
      <c r="N3543">
        <v>98.26</v>
      </c>
      <c r="O3543">
        <v>27.54491017964072</v>
      </c>
      <c r="P3543"/>
    </row>
    <row r="3544" spans="1:16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>
        <v>14</v>
      </c>
      <c r="N3544">
        <v>98.55</v>
      </c>
      <c r="O3544">
        <v>25.337837837837839</v>
      </c>
      <c r="P3544"/>
    </row>
    <row r="3545" spans="1:16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>
        <v>27</v>
      </c>
      <c r="N3545">
        <v>98.39</v>
      </c>
      <c r="O3545">
        <v>25.563909774436091</v>
      </c>
      <c r="P3545"/>
    </row>
    <row r="3546" spans="1:16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>
        <v>13</v>
      </c>
      <c r="N3546">
        <v>100</v>
      </c>
      <c r="O3546">
        <v>32.764505119453922</v>
      </c>
      <c r="P3546"/>
    </row>
    <row r="3547" spans="1:16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>
        <v>24</v>
      </c>
      <c r="N3547">
        <v>98.66</v>
      </c>
      <c r="O3547">
        <v>35.416666666666671</v>
      </c>
      <c r="P3547"/>
    </row>
    <row r="3548" spans="1:16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>
        <v>26</v>
      </c>
      <c r="N3548">
        <v>99.32</v>
      </c>
      <c r="O3548">
        <v>30.648330058939099</v>
      </c>
      <c r="P3548"/>
    </row>
    <row r="3549" spans="1:16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>
        <v>20</v>
      </c>
      <c r="N3549">
        <v>100</v>
      </c>
      <c r="O3549">
        <v>27.803738317757009</v>
      </c>
      <c r="P3549"/>
    </row>
    <row r="3550" spans="1:16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>
        <v>15</v>
      </c>
      <c r="N3550">
        <v>96.74</v>
      </c>
      <c r="O3550">
        <v>28.67647058823529</v>
      </c>
      <c r="P3550"/>
    </row>
    <row r="3551" spans="1:16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>
        <v>39</v>
      </c>
      <c r="N3551">
        <v>98.82</v>
      </c>
      <c r="O3551">
        <v>30.741410488245929</v>
      </c>
      <c r="P3551"/>
    </row>
    <row r="3552" spans="1:16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>
        <v>18</v>
      </c>
      <c r="N3552">
        <v>98.2</v>
      </c>
      <c r="O3552">
        <v>27.170868347338931</v>
      </c>
      <c r="P3552"/>
    </row>
    <row r="3553" spans="1:16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>
        <v>9</v>
      </c>
      <c r="N3553">
        <v>100</v>
      </c>
      <c r="O3553">
        <v>23.134328358208951</v>
      </c>
      <c r="P3553"/>
    </row>
    <row r="3554" spans="1:16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>
        <v>26</v>
      </c>
      <c r="N3554">
        <v>96.3</v>
      </c>
      <c r="O3554">
        <v>32.219570405727922</v>
      </c>
      <c r="P3554"/>
    </row>
    <row r="3555" spans="1:16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>
        <v>25</v>
      </c>
      <c r="N3555">
        <v>93.75</v>
      </c>
      <c r="O3555">
        <v>26.819923371647509</v>
      </c>
      <c r="P3555"/>
    </row>
    <row r="3556" spans="1:16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>
        <v>28</v>
      </c>
      <c r="N3556">
        <v>97.86</v>
      </c>
      <c r="O3556">
        <v>31.018518518518519</v>
      </c>
      <c r="P3556"/>
    </row>
    <row r="3557" spans="1:16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>
        <v>7</v>
      </c>
      <c r="N3557">
        <v>100</v>
      </c>
      <c r="O3557">
        <v>36.594202898550733</v>
      </c>
      <c r="P3557"/>
    </row>
    <row r="3558" spans="1:16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>
        <v>25</v>
      </c>
      <c r="N3558">
        <v>100</v>
      </c>
      <c r="O3558">
        <v>38.653846153846153</v>
      </c>
      <c r="P3558"/>
    </row>
    <row r="3559" spans="1:16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0</v>
      </c>
      <c r="N3559">
        <v>100</v>
      </c>
      <c r="O3559">
        <v>27.368421052631579</v>
      </c>
      <c r="P3559"/>
    </row>
    <row r="3560" spans="1:16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>
        <v>22</v>
      </c>
      <c r="N3560">
        <v>97.83</v>
      </c>
      <c r="O3560">
        <v>28.35164835164835</v>
      </c>
      <c r="P3560"/>
    </row>
    <row r="3561" spans="1:16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>
        <v>25</v>
      </c>
      <c r="N3561">
        <v>99.26</v>
      </c>
      <c r="O3561">
        <v>29.766536964980549</v>
      </c>
      <c r="P3561"/>
    </row>
    <row r="3562" spans="1:16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>
        <v>37</v>
      </c>
      <c r="N3562">
        <v>99.19</v>
      </c>
      <c r="O3562">
        <v>29.462365591397852</v>
      </c>
      <c r="P3562"/>
    </row>
    <row r="3563" spans="1:16" x14ac:dyDescent="0.25">
      <c r="A3563" s="13">
        <v>46167</v>
      </c>
      <c r="B3563" t="s">
        <v>47</v>
      </c>
      <c r="C3563" t="s">
        <v>48</v>
      </c>
      <c r="D3563" s="3">
        <v>34</v>
      </c>
      <c r="E3563" s="3">
        <v>30</v>
      </c>
      <c r="F3563" s="3">
        <v>10.14</v>
      </c>
      <c r="G3563" s="3">
        <v>0</v>
      </c>
      <c r="H3563" s="3">
        <v>0</v>
      </c>
      <c r="I3563" s="3">
        <f>E3563+G3563+H3563</f>
        <v>30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18</v>
      </c>
      <c r="K3563" s="3">
        <f>I3563-J3563</f>
        <v>12</v>
      </c>
      <c r="L3563" s="3" t="str">
        <f>IF(K3563&lt;-5,"CRÍTICO",IF(K3563&lt;0,"ATENÇÃO",IF(K3563&lt;=5,"OPORTUNO","MUITO BOM")))</f>
        <v>MUITO BOM</v>
      </c>
      <c r="M3563" s="3">
        <v>23</v>
      </c>
      <c r="N3563" s="3">
        <v>99.18</v>
      </c>
      <c r="O3563" s="3">
        <v>24.501424501424498</v>
      </c>
    </row>
    <row r="3564" spans="1:16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>
        <v>32</v>
      </c>
      <c r="N3564">
        <v>100</v>
      </c>
      <c r="O3564">
        <v>28.921568627450981</v>
      </c>
      <c r="P3564"/>
    </row>
    <row r="3565" spans="1:16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>
        <v>41</v>
      </c>
      <c r="N3565">
        <v>99.57</v>
      </c>
      <c r="O3565">
        <v>30.635838150289018</v>
      </c>
      <c r="P3565"/>
    </row>
    <row r="3566" spans="1:16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>
        <v>2</v>
      </c>
      <c r="N3566">
        <v>95.65</v>
      </c>
      <c r="O3566">
        <v>32.432432432432442</v>
      </c>
      <c r="P3566"/>
    </row>
    <row r="3567" spans="1:16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>
        <v>26</v>
      </c>
      <c r="N3567">
        <v>98.81</v>
      </c>
      <c r="O3567">
        <v>26.256983240223459</v>
      </c>
      <c r="P3567"/>
    </row>
    <row r="3568" spans="1:16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>
        <v>0</v>
      </c>
      <c r="N3568">
        <v>0</v>
      </c>
      <c r="O3568">
        <v>0</v>
      </c>
      <c r="P3568"/>
    </row>
    <row r="3569" spans="1:16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>
        <v>19</v>
      </c>
      <c r="N3569">
        <v>97.17</v>
      </c>
      <c r="O3569">
        <v>28.81844380403458</v>
      </c>
      <c r="P3569"/>
    </row>
    <row r="3570" spans="1:16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>
        <v>19</v>
      </c>
      <c r="N3570">
        <v>96.81</v>
      </c>
      <c r="O3570">
        <v>48.018648018648022</v>
      </c>
      <c r="P3570"/>
    </row>
    <row r="3571" spans="1:16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>
        <v>11</v>
      </c>
      <c r="N3571">
        <v>98.15</v>
      </c>
      <c r="O3571">
        <v>27.1551724137931</v>
      </c>
      <c r="P3571"/>
    </row>
    <row r="3572" spans="1:16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>
        <v>21</v>
      </c>
      <c r="N3572">
        <v>99.15</v>
      </c>
      <c r="O3572">
        <v>27.586206896551719</v>
      </c>
      <c r="P3572"/>
    </row>
    <row r="3573" spans="1:16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>
        <v>23</v>
      </c>
      <c r="N3573">
        <v>99.17</v>
      </c>
      <c r="O3573">
        <v>29.75206611570248</v>
      </c>
      <c r="P3573"/>
    </row>
    <row r="3574" spans="1:16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>
        <v>33</v>
      </c>
      <c r="N3574">
        <v>98.73</v>
      </c>
      <c r="O3574">
        <v>28.961748633879779</v>
      </c>
      <c r="P3574"/>
    </row>
    <row r="3575" spans="1:16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>
        <v>39</v>
      </c>
      <c r="N3575">
        <v>88.68</v>
      </c>
      <c r="O3575">
        <v>22.03389830508474</v>
      </c>
      <c r="P3575"/>
    </row>
    <row r="3576" spans="1:16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>
        <v>27</v>
      </c>
      <c r="N3576">
        <v>97.37</v>
      </c>
      <c r="O3576">
        <v>25.76530612244898</v>
      </c>
      <c r="P3576"/>
    </row>
    <row r="3577" spans="1:16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>
        <v>0</v>
      </c>
      <c r="N3577">
        <v>100</v>
      </c>
      <c r="O3577">
        <v>25</v>
      </c>
      <c r="P3577"/>
    </row>
    <row r="3578" spans="1:16" hidden="1" x14ac:dyDescent="0.25">
      <c r="A3578" s="11">
        <v>46113</v>
      </c>
      <c r="B3578" t="s">
        <v>43</v>
      </c>
      <c r="C3578" t="s">
        <v>32</v>
      </c>
      <c r="D3578">
        <v>50</v>
      </c>
      <c r="E3578">
        <v>48</v>
      </c>
      <c r="F3578">
        <v>12.04</v>
      </c>
      <c r="G3578">
        <v>0</v>
      </c>
      <c r="H3578">
        <v>0</v>
      </c>
      <c r="I3578" s="3">
        <f>E3578+G3578+H3578</f>
        <v>48</v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32</v>
      </c>
      <c r="K3578" s="3">
        <f>I3578-J3578</f>
        <v>16</v>
      </c>
      <c r="L3578" s="3" t="str">
        <f>IF(K3578&lt;-5,"CRÍTICO",IF(K3578&lt;0,"ATENÇÃO",IF(K3578&lt;=5,"OPORTUNO","MUITO BOM")))</f>
        <v>MUITO BOM</v>
      </c>
      <c r="M3578">
        <v>47</v>
      </c>
      <c r="N3578">
        <v>100</v>
      </c>
      <c r="O3578">
        <v>23.9870340356564</v>
      </c>
      <c r="P3578"/>
    </row>
    <row r="3579" spans="1:16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>
        <v>25</v>
      </c>
      <c r="N3579">
        <v>95.49</v>
      </c>
      <c r="O3579">
        <v>28.370221327967808</v>
      </c>
      <c r="P3579"/>
    </row>
    <row r="3580" spans="1:16" hidden="1" x14ac:dyDescent="0.25">
      <c r="A3580" s="11">
        <v>46113</v>
      </c>
      <c r="B3580" t="s">
        <v>20</v>
      </c>
      <c r="C3580" t="s">
        <v>16</v>
      </c>
      <c r="D3580">
        <v>18</v>
      </c>
      <c r="E3580">
        <v>16</v>
      </c>
      <c r="F3580">
        <v>22.36</v>
      </c>
      <c r="G3580">
        <v>0</v>
      </c>
      <c r="H3580">
        <v>0</v>
      </c>
      <c r="I3580" s="3">
        <f>E3580+G3580+H3580</f>
        <v>16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9</v>
      </c>
      <c r="K3580" s="3">
        <f>I3580-J3580</f>
        <v>7</v>
      </c>
      <c r="L3580" s="3" t="str">
        <f>IF(K3580&lt;-5,"CRÍTICO",IF(K3580&lt;0,"ATENÇÃO",IF(K3580&lt;=5,"OPORTUNO","MUITO BOM")))</f>
        <v>MUITO BOM</v>
      </c>
      <c r="M3580">
        <v>9</v>
      </c>
      <c r="N3580">
        <v>100</v>
      </c>
      <c r="O3580">
        <v>23.77622377622378</v>
      </c>
      <c r="P3580"/>
    </row>
    <row r="3581" spans="1:16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>
        <v>11</v>
      </c>
      <c r="N3581">
        <v>96.15</v>
      </c>
      <c r="O3581">
        <v>24.045801526717561</v>
      </c>
      <c r="P3581"/>
    </row>
    <row r="3582" spans="1:16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>
        <v>19</v>
      </c>
      <c r="N3582">
        <v>99.02</v>
      </c>
      <c r="O3582">
        <v>34.797297297297298</v>
      </c>
      <c r="P3582"/>
    </row>
    <row r="3583" spans="1:16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>
        <v>16</v>
      </c>
      <c r="N3583">
        <v>98.84</v>
      </c>
      <c r="O3583">
        <v>31.868131868131869</v>
      </c>
      <c r="P3583"/>
    </row>
    <row r="3584" spans="1:16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>
        <v>18</v>
      </c>
      <c r="N3584">
        <v>100</v>
      </c>
      <c r="O3584">
        <v>34.666666666666671</v>
      </c>
      <c r="P3584"/>
    </row>
    <row r="3585" spans="1:16" hidden="1" x14ac:dyDescent="0.25">
      <c r="A3585" s="11">
        <v>46113</v>
      </c>
      <c r="B3585" t="s">
        <v>21</v>
      </c>
      <c r="C3585" t="s">
        <v>16</v>
      </c>
      <c r="D3585">
        <v>10</v>
      </c>
      <c r="E3585">
        <v>10</v>
      </c>
      <c r="F3585">
        <v>25.37</v>
      </c>
      <c r="G3585">
        <v>0</v>
      </c>
      <c r="H3585">
        <v>0</v>
      </c>
      <c r="I3585" s="3">
        <f>E3585+G3585+H3585</f>
        <v>10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9</v>
      </c>
      <c r="K3585" s="3">
        <f>I3585-J3585</f>
        <v>1</v>
      </c>
      <c r="L3585" s="3" t="str">
        <f>IF(K3585&lt;-5,"CRÍTICO",IF(K3585&lt;0,"ATENÇÃO",IF(K3585&lt;=5,"OPORTUNO","MUITO BOM")))</f>
        <v>OPORTUNO</v>
      </c>
      <c r="M3585">
        <v>9</v>
      </c>
      <c r="N3585">
        <v>94.12</v>
      </c>
      <c r="O3585">
        <v>32.799999999999997</v>
      </c>
      <c r="P3585"/>
    </row>
    <row r="3586" spans="1:16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>
        <v>28</v>
      </c>
      <c r="N3586">
        <v>98.32</v>
      </c>
      <c r="O3586">
        <v>26.858513189448441</v>
      </c>
      <c r="P3586"/>
    </row>
    <row r="3587" spans="1:16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>
        <v>37</v>
      </c>
      <c r="N3587">
        <v>100</v>
      </c>
      <c r="O3587">
        <v>31.135531135531139</v>
      </c>
      <c r="P3587"/>
    </row>
    <row r="3588" spans="1:16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>
        <v>26</v>
      </c>
      <c r="N3588">
        <v>100</v>
      </c>
      <c r="O3588">
        <v>26.36986301369863</v>
      </c>
      <c r="P3588"/>
    </row>
    <row r="3589" spans="1:16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>
        <v>31</v>
      </c>
      <c r="N3589">
        <v>99.21</v>
      </c>
      <c r="O3589">
        <v>25.188916876574311</v>
      </c>
      <c r="P3589"/>
    </row>
    <row r="3590" spans="1:16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>
        <v>4</v>
      </c>
      <c r="N3590">
        <v>100</v>
      </c>
      <c r="O3590">
        <v>32.764505119453922</v>
      </c>
      <c r="P3590"/>
    </row>
    <row r="3591" spans="1:16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>
        <v>31</v>
      </c>
      <c r="N3591">
        <v>98.66</v>
      </c>
      <c r="O3591">
        <v>35.416666666666671</v>
      </c>
      <c r="P3591"/>
    </row>
    <row r="3592" spans="1:16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>
        <v>31</v>
      </c>
      <c r="N3592">
        <v>99.32</v>
      </c>
      <c r="O3592">
        <v>30.648330058939099</v>
      </c>
      <c r="P3592"/>
    </row>
    <row r="3593" spans="1:16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>
        <v>32</v>
      </c>
      <c r="N3593">
        <v>100</v>
      </c>
      <c r="O3593">
        <v>27.803738317757009</v>
      </c>
      <c r="P3593"/>
    </row>
    <row r="3594" spans="1:16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>
        <v>12</v>
      </c>
      <c r="N3594">
        <v>96.74</v>
      </c>
      <c r="O3594">
        <v>28.67647058823529</v>
      </c>
      <c r="P3594"/>
    </row>
    <row r="3595" spans="1:16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>
        <v>37</v>
      </c>
      <c r="N3595">
        <v>98.82</v>
      </c>
      <c r="O3595">
        <v>30.741410488245929</v>
      </c>
      <c r="P3595"/>
    </row>
    <row r="3596" spans="1:16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>
        <v>27</v>
      </c>
      <c r="N3596">
        <v>98.2</v>
      </c>
      <c r="O3596">
        <v>27.170868347338931</v>
      </c>
      <c r="P3596"/>
    </row>
    <row r="3597" spans="1:16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>
        <v>10</v>
      </c>
      <c r="N3597">
        <v>100</v>
      </c>
      <c r="O3597">
        <v>23.134328358208951</v>
      </c>
      <c r="P3597"/>
    </row>
    <row r="3598" spans="1:16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>
        <v>25</v>
      </c>
      <c r="N3598">
        <v>96.3</v>
      </c>
      <c r="O3598">
        <v>32.219570405727922</v>
      </c>
      <c r="P3598"/>
    </row>
    <row r="3599" spans="1:16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>
        <v>33</v>
      </c>
      <c r="N3599">
        <v>93.75</v>
      </c>
      <c r="O3599">
        <v>26.819923371647509</v>
      </c>
      <c r="P3599"/>
    </row>
    <row r="3600" spans="1:16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>
        <v>21</v>
      </c>
      <c r="N3600">
        <v>97.86</v>
      </c>
      <c r="O3600">
        <v>31.018518518518519</v>
      </c>
      <c r="P3600"/>
    </row>
    <row r="3601" spans="1:16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>
        <v>6</v>
      </c>
      <c r="N3601">
        <v>100</v>
      </c>
      <c r="O3601">
        <v>36.594202898550733</v>
      </c>
      <c r="P3601"/>
    </row>
    <row r="3602" spans="1:16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>
        <v>33</v>
      </c>
      <c r="N3602">
        <v>100</v>
      </c>
      <c r="O3602">
        <v>38.653846153846153</v>
      </c>
      <c r="P3602"/>
    </row>
    <row r="3603" spans="1:16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>
        <v>5</v>
      </c>
      <c r="N3603">
        <v>100</v>
      </c>
      <c r="O3603">
        <v>27.368421052631579</v>
      </c>
      <c r="P3603"/>
    </row>
    <row r="3604" spans="1:16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>
        <v>24</v>
      </c>
      <c r="N3604">
        <v>97.83</v>
      </c>
      <c r="O3604">
        <v>28.35164835164835</v>
      </c>
      <c r="P3604"/>
    </row>
    <row r="3605" spans="1:16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>
        <v>26</v>
      </c>
      <c r="N3605">
        <v>99.26</v>
      </c>
      <c r="O3605">
        <v>29.766536964980549</v>
      </c>
      <c r="P3605"/>
    </row>
    <row r="3606" spans="1:16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>
        <v>29</v>
      </c>
      <c r="N3606">
        <v>99.19</v>
      </c>
      <c r="O3606">
        <v>29.462365591397852</v>
      </c>
      <c r="P3606"/>
    </row>
    <row r="3607" spans="1:16" hidden="1" x14ac:dyDescent="0.25">
      <c r="A3607" s="11">
        <v>46167</v>
      </c>
      <c r="B3607" t="s">
        <v>49</v>
      </c>
      <c r="C3607" t="s">
        <v>48</v>
      </c>
      <c r="D3607" s="3">
        <v>35</v>
      </c>
      <c r="E3607" s="3">
        <v>31</v>
      </c>
      <c r="F3607" s="3">
        <v>10.11</v>
      </c>
      <c r="G3607" s="3">
        <v>0</v>
      </c>
      <c r="H3607" s="3">
        <v>0</v>
      </c>
      <c r="I3607" s="3">
        <v>0</v>
      </c>
      <c r="J3607" s="3">
        <v>0</v>
      </c>
      <c r="K3607" s="3">
        <v>0</v>
      </c>
      <c r="L3607" s="3" t="str">
        <f>IF(K3607&lt;-5,"CRÍTICO",IF(K3607&lt;0,"ATENÇÃO",IF(K3607&lt;=5,"OPORTUNO","MUITO BOM")))</f>
        <v>OPORTUNO</v>
      </c>
      <c r="M3607" s="3">
        <v>30</v>
      </c>
      <c r="N3607" s="3">
        <v>99.35</v>
      </c>
      <c r="O3607" s="3">
        <v>19.852941176470591</v>
      </c>
    </row>
    <row r="3608" spans="1:16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>
        <v>30</v>
      </c>
      <c r="N3608">
        <v>100</v>
      </c>
      <c r="O3608">
        <v>28.921568627450981</v>
      </c>
      <c r="P3608"/>
    </row>
    <row r="3609" spans="1:16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>
        <v>49</v>
      </c>
      <c r="N3609">
        <v>99.57</v>
      </c>
      <c r="O3609">
        <v>30.635838150289018</v>
      </c>
      <c r="P3609"/>
    </row>
    <row r="3610" spans="1:16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>
        <v>10</v>
      </c>
      <c r="N3610">
        <v>95.65</v>
      </c>
      <c r="O3610">
        <v>32.432432432432442</v>
      </c>
      <c r="P3610"/>
    </row>
    <row r="3611" spans="1:16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>
        <v>15</v>
      </c>
      <c r="N3611">
        <v>98.81</v>
      </c>
      <c r="O3611">
        <v>26.256983240223459</v>
      </c>
      <c r="P3611"/>
    </row>
    <row r="3612" spans="1:16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>
        <v>0</v>
      </c>
      <c r="N3612">
        <v>0</v>
      </c>
      <c r="O3612">
        <v>0</v>
      </c>
      <c r="P3612"/>
    </row>
    <row r="3613" spans="1:16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>
        <v>20</v>
      </c>
      <c r="N3613">
        <v>97.17</v>
      </c>
      <c r="O3613">
        <v>28.81844380403458</v>
      </c>
      <c r="P3613"/>
    </row>
    <row r="3614" spans="1:16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>
        <v>6</v>
      </c>
      <c r="N3614">
        <v>96.81</v>
      </c>
      <c r="O3614">
        <v>48.018648018648022</v>
      </c>
      <c r="P3614"/>
    </row>
    <row r="3615" spans="1:16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>
        <v>19</v>
      </c>
      <c r="N3615">
        <v>98.15</v>
      </c>
      <c r="O3615">
        <v>27.1551724137931</v>
      </c>
      <c r="P3615"/>
    </row>
    <row r="3616" spans="1:16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>
        <v>35</v>
      </c>
      <c r="N3616">
        <v>99.15</v>
      </c>
      <c r="O3616">
        <v>27.586206896551719</v>
      </c>
      <c r="P3616"/>
    </row>
    <row r="3617" spans="1:16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>
        <v>20</v>
      </c>
      <c r="N3617">
        <v>99.17</v>
      </c>
      <c r="O3617">
        <v>29.75206611570248</v>
      </c>
      <c r="P3617"/>
    </row>
    <row r="3618" spans="1:16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>
        <v>39</v>
      </c>
      <c r="N3618">
        <v>98.73</v>
      </c>
      <c r="O3618">
        <v>28.961748633879779</v>
      </c>
      <c r="P3618"/>
    </row>
    <row r="3619" spans="1:16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>
        <v>27</v>
      </c>
      <c r="N3619">
        <v>88.68</v>
      </c>
      <c r="O3619">
        <v>22.03389830508474</v>
      </c>
      <c r="P3619"/>
    </row>
    <row r="3620" spans="1:16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>
        <v>28</v>
      </c>
      <c r="N3620">
        <v>97.37</v>
      </c>
      <c r="O3620">
        <v>25.76530612244898</v>
      </c>
      <c r="P3620"/>
    </row>
    <row r="3621" spans="1:16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>
        <v>7</v>
      </c>
      <c r="N3621">
        <v>100</v>
      </c>
      <c r="O3621">
        <v>25</v>
      </c>
      <c r="P3621"/>
    </row>
    <row r="3622" spans="1:16" hidden="1" x14ac:dyDescent="0.25">
      <c r="A3622" s="11">
        <v>46114</v>
      </c>
      <c r="B3622" t="s">
        <v>43</v>
      </c>
      <c r="C3622" t="s">
        <v>32</v>
      </c>
      <c r="D3622">
        <v>44</v>
      </c>
      <c r="E3622">
        <v>41</v>
      </c>
      <c r="F3622">
        <v>13.21</v>
      </c>
      <c r="G3622">
        <v>0</v>
      </c>
      <c r="H3622">
        <v>0</v>
      </c>
      <c r="I3622" s="3">
        <f>E3622+G3622+H3622</f>
        <v>41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34</v>
      </c>
      <c r="K3622" s="3">
        <f>I3622-J3622</f>
        <v>7</v>
      </c>
      <c r="L3622" s="3" t="str">
        <f>IF(K3622&lt;-5,"CRÍTICO",IF(K3622&lt;0,"ATENÇÃO",IF(K3622&lt;=5,"OPORTUNO","MUITO BOM")))</f>
        <v>MUITO BOM</v>
      </c>
      <c r="M3622">
        <v>37</v>
      </c>
      <c r="N3622">
        <v>100</v>
      </c>
      <c r="O3622">
        <v>23.9870340356564</v>
      </c>
      <c r="P3622"/>
    </row>
    <row r="3623" spans="1:16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>
        <v>29</v>
      </c>
      <c r="N3623">
        <v>95.49</v>
      </c>
      <c r="O3623">
        <v>28.370221327967808</v>
      </c>
      <c r="P3623"/>
    </row>
    <row r="3624" spans="1:16" hidden="1" x14ac:dyDescent="0.25">
      <c r="A3624" s="11">
        <v>46114</v>
      </c>
      <c r="B3624" t="s">
        <v>20</v>
      </c>
      <c r="C3624" t="s">
        <v>16</v>
      </c>
      <c r="D3624">
        <v>18</v>
      </c>
      <c r="E3624">
        <v>18</v>
      </c>
      <c r="F3624">
        <v>24.05</v>
      </c>
      <c r="G3624">
        <v>0</v>
      </c>
      <c r="H3624">
        <v>0</v>
      </c>
      <c r="I3624" s="3">
        <f>E3624+G3624+H3624</f>
        <v>18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10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>
        <v>11</v>
      </c>
      <c r="N3624">
        <v>100</v>
      </c>
      <c r="O3624">
        <v>23.77622377622378</v>
      </c>
      <c r="P3624"/>
    </row>
    <row r="3625" spans="1:16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>
        <v>16</v>
      </c>
      <c r="N3625">
        <v>96.15</v>
      </c>
      <c r="O3625">
        <v>24.045801526717561</v>
      </c>
      <c r="P3625"/>
    </row>
    <row r="3626" spans="1:16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>
        <v>15</v>
      </c>
      <c r="N3626">
        <v>99.02</v>
      </c>
      <c r="O3626">
        <v>34.797297297297298</v>
      </c>
      <c r="P3626"/>
    </row>
    <row r="3627" spans="1:16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>
        <v>18</v>
      </c>
      <c r="N3627">
        <v>98.84</v>
      </c>
      <c r="O3627">
        <v>31.868131868131869</v>
      </c>
      <c r="P3627"/>
    </row>
    <row r="3628" spans="1:16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>
        <v>15</v>
      </c>
      <c r="N3628">
        <v>100</v>
      </c>
      <c r="O3628">
        <v>34.666666666666671</v>
      </c>
      <c r="P3628"/>
    </row>
    <row r="3629" spans="1:16" hidden="1" x14ac:dyDescent="0.25">
      <c r="A3629" s="11">
        <v>46114</v>
      </c>
      <c r="B3629" t="s">
        <v>21</v>
      </c>
      <c r="C3629" t="s">
        <v>16</v>
      </c>
      <c r="D3629">
        <v>8</v>
      </c>
      <c r="E3629">
        <v>7</v>
      </c>
      <c r="F3629">
        <v>27.17</v>
      </c>
      <c r="G3629">
        <v>0</v>
      </c>
      <c r="H3629">
        <v>0</v>
      </c>
      <c r="I3629" s="3">
        <f>E3629+G3629+H3629</f>
        <v>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10</v>
      </c>
      <c r="K3629" s="3">
        <f>I3629-J3629</f>
        <v>-3</v>
      </c>
      <c r="L3629" s="3" t="str">
        <f>IF(K3629&lt;-5,"CRÍTICO",IF(K3629&lt;0,"ATENÇÃO",IF(K3629&lt;=5,"OPORTUNO","MUITO BOM")))</f>
        <v>ATENÇÃO</v>
      </c>
      <c r="M3629">
        <v>3</v>
      </c>
      <c r="N3629">
        <v>94.12</v>
      </c>
      <c r="O3629">
        <v>32.799999999999997</v>
      </c>
      <c r="P3629"/>
    </row>
    <row r="3630" spans="1:16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>
        <v>23</v>
      </c>
      <c r="N3630">
        <v>98.32</v>
      </c>
      <c r="O3630">
        <v>26.858513189448441</v>
      </c>
      <c r="P3630"/>
    </row>
    <row r="3631" spans="1:16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>
        <v>35</v>
      </c>
      <c r="N3631">
        <v>100</v>
      </c>
      <c r="O3631">
        <v>31.135531135531139</v>
      </c>
      <c r="P3631"/>
    </row>
    <row r="3632" spans="1:16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>
        <v>17</v>
      </c>
      <c r="N3632">
        <v>100</v>
      </c>
      <c r="O3632">
        <v>26.36986301369863</v>
      </c>
      <c r="P3632"/>
    </row>
    <row r="3633" spans="1:16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>
        <v>28</v>
      </c>
      <c r="N3633">
        <v>99.21</v>
      </c>
      <c r="O3633">
        <v>25.188916876574311</v>
      </c>
      <c r="P3633"/>
    </row>
    <row r="3634" spans="1:16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>
        <v>0</v>
      </c>
      <c r="N3634">
        <v>100</v>
      </c>
      <c r="O3634">
        <v>32.764505119453922</v>
      </c>
      <c r="P3634"/>
    </row>
    <row r="3635" spans="1:16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98.66</v>
      </c>
      <c r="O3635">
        <v>35.416666666666671</v>
      </c>
      <c r="P3635"/>
    </row>
    <row r="3636" spans="1:16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99.32</v>
      </c>
      <c r="O3636">
        <v>30.648330058939099</v>
      </c>
      <c r="P3636"/>
    </row>
    <row r="3637" spans="1:16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100</v>
      </c>
      <c r="O3637">
        <v>27.803738317757009</v>
      </c>
      <c r="P3637"/>
    </row>
    <row r="3638" spans="1:16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96.74</v>
      </c>
      <c r="O3638">
        <v>28.67647058823529</v>
      </c>
      <c r="P3638"/>
    </row>
    <row r="3639" spans="1:16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98.82</v>
      </c>
      <c r="O3639">
        <v>30.741410488245929</v>
      </c>
      <c r="P3639"/>
    </row>
    <row r="3640" spans="1:16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98.2</v>
      </c>
      <c r="O3640">
        <v>27.170868347338931</v>
      </c>
      <c r="P3640"/>
    </row>
    <row r="3641" spans="1:16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100</v>
      </c>
      <c r="O3641">
        <v>23.134328358208951</v>
      </c>
      <c r="P3641"/>
    </row>
    <row r="3642" spans="1:16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  <c r="P3642"/>
    </row>
    <row r="3643" spans="1:16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93.75</v>
      </c>
      <c r="O3643">
        <v>26.819923371647509</v>
      </c>
      <c r="P3643"/>
    </row>
    <row r="3644" spans="1:16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97.86</v>
      </c>
      <c r="O3644">
        <v>31.018518518518519</v>
      </c>
      <c r="P3644"/>
    </row>
    <row r="3645" spans="1:16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100</v>
      </c>
      <c r="O3645">
        <v>36.594202898550733</v>
      </c>
      <c r="P3645"/>
    </row>
    <row r="3646" spans="1:16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38.653846153846153</v>
      </c>
      <c r="P3646"/>
    </row>
    <row r="3647" spans="1:16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27.368421052631579</v>
      </c>
      <c r="P3647"/>
    </row>
    <row r="3648" spans="1:16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97.83</v>
      </c>
      <c r="O3648">
        <v>28.35164835164835</v>
      </c>
      <c r="P3648"/>
    </row>
    <row r="3649" spans="1:16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99.26</v>
      </c>
      <c r="O3649">
        <v>29.766536964980549</v>
      </c>
      <c r="P3649"/>
    </row>
    <row r="3650" spans="1:16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99.19</v>
      </c>
      <c r="O3650">
        <v>29.462365591397852</v>
      </c>
      <c r="P3650"/>
    </row>
    <row r="3651" spans="1:16" hidden="1" x14ac:dyDescent="0.25">
      <c r="A3651" s="11">
        <v>46167</v>
      </c>
      <c r="B3651" t="s">
        <v>50</v>
      </c>
      <c r="C3651" t="s">
        <v>48</v>
      </c>
      <c r="D3651" s="3">
        <v>23</v>
      </c>
      <c r="E3651" s="3">
        <v>23</v>
      </c>
      <c r="F3651" s="3">
        <v>20.51</v>
      </c>
      <c r="G3651" s="3">
        <v>0</v>
      </c>
      <c r="H3651" s="3">
        <v>0</v>
      </c>
      <c r="I3651" s="3">
        <v>0</v>
      </c>
      <c r="J3651" s="3">
        <v>0</v>
      </c>
      <c r="K3651" s="3">
        <v>0</v>
      </c>
      <c r="L3651" s="3" t="str">
        <f>IF(K3651&lt;-5,"CRÍTICO",IF(K3651&lt;0,"ATENÇÃO",IF(K3651&lt;=5,"OPORTUNO","MUITO BOM")))</f>
        <v>OPORTUNO</v>
      </c>
      <c r="M3651" s="3">
        <v>20</v>
      </c>
      <c r="N3651" s="3">
        <v>99.07</v>
      </c>
      <c r="O3651" s="3">
        <v>20.098039215686271</v>
      </c>
    </row>
    <row r="3652" spans="1:16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0</v>
      </c>
      <c r="N3652">
        <v>100</v>
      </c>
      <c r="O3652">
        <v>28.921568627450981</v>
      </c>
      <c r="P3652"/>
    </row>
    <row r="3653" spans="1:16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99.57</v>
      </c>
      <c r="O3653">
        <v>30.635838150289018</v>
      </c>
      <c r="P3653"/>
    </row>
    <row r="3654" spans="1:16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95.65</v>
      </c>
      <c r="O3654">
        <v>32.432432432432442</v>
      </c>
      <c r="P3654"/>
    </row>
    <row r="3655" spans="1:16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98.81</v>
      </c>
      <c r="O3655">
        <v>26.256983240223459</v>
      </c>
      <c r="P3655"/>
    </row>
    <row r="3656" spans="1:16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0</v>
      </c>
      <c r="O3656">
        <v>0</v>
      </c>
      <c r="P3656"/>
    </row>
    <row r="3657" spans="1:16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97.17</v>
      </c>
      <c r="O3657">
        <v>28.81844380403458</v>
      </c>
      <c r="P3657"/>
    </row>
    <row r="3658" spans="1:16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96.81</v>
      </c>
      <c r="O3658">
        <v>48.018648018648022</v>
      </c>
      <c r="P3658"/>
    </row>
    <row r="3659" spans="1:16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98.15</v>
      </c>
      <c r="O3659">
        <v>27.1551724137931</v>
      </c>
      <c r="P3659"/>
    </row>
    <row r="3660" spans="1:16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99.15</v>
      </c>
      <c r="O3660">
        <v>27.586206896551719</v>
      </c>
      <c r="P3660"/>
    </row>
    <row r="3661" spans="1:16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10</v>
      </c>
      <c r="N3661">
        <v>99.17</v>
      </c>
      <c r="O3661">
        <v>29.75206611570248</v>
      </c>
      <c r="P3661"/>
    </row>
    <row r="3662" spans="1:16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0</v>
      </c>
      <c r="N3662">
        <v>98.73</v>
      </c>
      <c r="O3662">
        <v>28.961748633879779</v>
      </c>
      <c r="P3662"/>
    </row>
    <row r="3663" spans="1:16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88.68</v>
      </c>
      <c r="O3663">
        <v>22.03389830508474</v>
      </c>
      <c r="P3663"/>
    </row>
    <row r="3664" spans="1:16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97.37</v>
      </c>
      <c r="O3664">
        <v>25.76530612244898</v>
      </c>
      <c r="P3664"/>
    </row>
    <row r="3665" spans="1:16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100</v>
      </c>
      <c r="O3665">
        <v>25</v>
      </c>
      <c r="P3665"/>
    </row>
    <row r="3666" spans="1:16" hidden="1" x14ac:dyDescent="0.25">
      <c r="A3666" s="11">
        <v>46115</v>
      </c>
      <c r="B3666" t="s">
        <v>43</v>
      </c>
      <c r="C3666" t="s">
        <v>32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M3666">
        <v>0</v>
      </c>
      <c r="N3666">
        <v>100</v>
      </c>
      <c r="O3666">
        <v>23.9870340356564</v>
      </c>
      <c r="P3666"/>
    </row>
    <row r="3667" spans="1:16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95.49</v>
      </c>
      <c r="O3667">
        <v>28.370221327967808</v>
      </c>
      <c r="P3667"/>
    </row>
    <row r="3668" spans="1:16" hidden="1" x14ac:dyDescent="0.25">
      <c r="A3668" s="11">
        <v>46115</v>
      </c>
      <c r="B3668" t="s">
        <v>20</v>
      </c>
      <c r="C3668" t="s">
        <v>16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>IF(K3668&lt;-5,"CRÍTICO",IF(K3668&lt;0,"ATENÇÃO",IF(K3668&lt;=5,"OPORTUNO","MUITO BOM")))</f>
        <v>OPORTUNO</v>
      </c>
      <c r="M3668">
        <v>0</v>
      </c>
      <c r="N3668">
        <v>100</v>
      </c>
      <c r="O3668">
        <v>23.77622377622378</v>
      </c>
      <c r="P3668"/>
    </row>
    <row r="3669" spans="1:16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96.15</v>
      </c>
      <c r="O3669">
        <v>24.045801526717561</v>
      </c>
      <c r="P3669"/>
    </row>
    <row r="3670" spans="1:16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99.02</v>
      </c>
      <c r="O3670">
        <v>34.797297297297298</v>
      </c>
      <c r="P3670"/>
    </row>
    <row r="3671" spans="1:16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98.84</v>
      </c>
      <c r="O3671">
        <v>31.868131868131869</v>
      </c>
      <c r="P3671"/>
    </row>
    <row r="3672" spans="1:16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100</v>
      </c>
      <c r="O3672">
        <v>34.666666666666671</v>
      </c>
      <c r="P3672"/>
    </row>
    <row r="3673" spans="1:16" hidden="1" x14ac:dyDescent="0.25">
      <c r="A3673" s="11">
        <v>46115</v>
      </c>
      <c r="B3673" t="s">
        <v>21</v>
      </c>
      <c r="C3673" t="s">
        <v>16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M3673">
        <v>0</v>
      </c>
      <c r="N3673">
        <v>94.12</v>
      </c>
      <c r="O3673">
        <v>32.799999999999997</v>
      </c>
      <c r="P3673"/>
    </row>
    <row r="3674" spans="1:16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98.32</v>
      </c>
      <c r="O3674">
        <v>26.858513189448441</v>
      </c>
      <c r="P3674"/>
    </row>
    <row r="3675" spans="1:16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100</v>
      </c>
      <c r="O3675">
        <v>31.135531135531139</v>
      </c>
      <c r="P3675"/>
    </row>
    <row r="3676" spans="1:16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26.36986301369863</v>
      </c>
      <c r="P3676"/>
    </row>
    <row r="3677" spans="1:16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99.21</v>
      </c>
      <c r="O3677">
        <v>25.188916876574311</v>
      </c>
      <c r="P3677"/>
    </row>
    <row r="3678" spans="1:16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>
        <v>14</v>
      </c>
      <c r="N3678">
        <v>100</v>
      </c>
      <c r="O3678">
        <v>32.764505119453922</v>
      </c>
      <c r="P3678"/>
    </row>
    <row r="3679" spans="1:16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>
        <v>32</v>
      </c>
      <c r="N3679">
        <v>98.66</v>
      </c>
      <c r="O3679">
        <v>35.416666666666671</v>
      </c>
      <c r="P3679"/>
    </row>
    <row r="3680" spans="1:16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>
        <v>31</v>
      </c>
      <c r="N3680">
        <v>99.32</v>
      </c>
      <c r="O3680">
        <v>30.648330058939099</v>
      </c>
      <c r="P3680"/>
    </row>
    <row r="3681" spans="1:16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>
        <v>40</v>
      </c>
      <c r="N3681">
        <v>100</v>
      </c>
      <c r="O3681">
        <v>27.803738317757009</v>
      </c>
      <c r="P3681"/>
    </row>
    <row r="3682" spans="1:16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>
        <v>20</v>
      </c>
      <c r="N3682">
        <v>96.74</v>
      </c>
      <c r="O3682">
        <v>28.67647058823529</v>
      </c>
      <c r="P3682"/>
    </row>
    <row r="3683" spans="1:16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>
        <v>38</v>
      </c>
      <c r="N3683">
        <v>98.82</v>
      </c>
      <c r="O3683">
        <v>30.741410488245929</v>
      </c>
      <c r="P3683"/>
    </row>
    <row r="3684" spans="1:16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>
        <v>28</v>
      </c>
      <c r="N3684">
        <v>98.2</v>
      </c>
      <c r="O3684">
        <v>27.170868347338931</v>
      </c>
      <c r="P3684"/>
    </row>
    <row r="3685" spans="1:16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>
        <v>11</v>
      </c>
      <c r="N3685">
        <v>100</v>
      </c>
      <c r="O3685">
        <v>23.134328358208951</v>
      </c>
      <c r="P3685"/>
    </row>
    <row r="3686" spans="1:16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>
        <v>32</v>
      </c>
      <c r="N3686">
        <v>96.3</v>
      </c>
      <c r="O3686">
        <v>32.219570405727922</v>
      </c>
      <c r="P3686"/>
    </row>
    <row r="3687" spans="1:16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>
        <v>35</v>
      </c>
      <c r="N3687">
        <v>93.75</v>
      </c>
      <c r="O3687">
        <v>26.819923371647509</v>
      </c>
      <c r="P3687"/>
    </row>
    <row r="3688" spans="1:16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>
        <v>28</v>
      </c>
      <c r="N3688">
        <v>97.86</v>
      </c>
      <c r="O3688">
        <v>31.018518518518519</v>
      </c>
      <c r="P3688"/>
    </row>
    <row r="3689" spans="1:16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>
        <v>12</v>
      </c>
      <c r="N3689">
        <v>100</v>
      </c>
      <c r="O3689">
        <v>36.594202898550733</v>
      </c>
      <c r="P3689"/>
    </row>
    <row r="3690" spans="1:16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>
        <v>35</v>
      </c>
      <c r="N3690">
        <v>100</v>
      </c>
      <c r="O3690">
        <v>38.653846153846153</v>
      </c>
      <c r="P3690"/>
    </row>
    <row r="3691" spans="1:16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>
        <v>8</v>
      </c>
      <c r="N3691">
        <v>100</v>
      </c>
      <c r="O3691">
        <v>27.368421052631579</v>
      </c>
      <c r="P3691"/>
    </row>
    <row r="3692" spans="1:16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>
        <v>31</v>
      </c>
      <c r="N3692">
        <v>97.83</v>
      </c>
      <c r="O3692">
        <v>28.35164835164835</v>
      </c>
      <c r="P3692"/>
    </row>
    <row r="3693" spans="1:16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>
        <v>29</v>
      </c>
      <c r="N3693">
        <v>99.26</v>
      </c>
      <c r="O3693">
        <v>29.766536964980549</v>
      </c>
      <c r="P3693"/>
    </row>
    <row r="3694" spans="1:16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>
        <v>29</v>
      </c>
      <c r="N3694">
        <v>99.19</v>
      </c>
      <c r="O3694">
        <v>29.462365591397852</v>
      </c>
      <c r="P3694"/>
    </row>
    <row r="3695" spans="1:16" hidden="1" x14ac:dyDescent="0.25">
      <c r="A3695" s="11">
        <v>46167</v>
      </c>
      <c r="B3695" t="s">
        <v>51</v>
      </c>
      <c r="C3695" t="s">
        <v>48</v>
      </c>
      <c r="D3695" s="3">
        <v>0</v>
      </c>
      <c r="E3695" s="3">
        <v>0</v>
      </c>
      <c r="F3695" s="3">
        <v>0</v>
      </c>
      <c r="G3695" s="3">
        <v>0</v>
      </c>
      <c r="H3695" s="3">
        <v>0</v>
      </c>
      <c r="I3695" s="3">
        <v>0</v>
      </c>
      <c r="J3695" s="3">
        <v>0</v>
      </c>
      <c r="K3695" s="3">
        <v>0</v>
      </c>
      <c r="L3695" s="3" t="str">
        <f>IF(K3695&lt;-5,"CRÍTICO",IF(K3695&lt;0,"ATENÇÃO",IF(K3695&lt;=5,"OPORTUNO","MUITO BOM")))</f>
        <v>OPORTUNO</v>
      </c>
      <c r="M3695" s="3">
        <v>0</v>
      </c>
      <c r="N3695" s="3">
        <v>98.81</v>
      </c>
      <c r="O3695" s="3">
        <v>22.767857142857139</v>
      </c>
    </row>
    <row r="3696" spans="1:16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100</v>
      </c>
      <c r="O3696">
        <v>28.921568627450981</v>
      </c>
      <c r="P3696"/>
    </row>
    <row r="3697" spans="1:16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>
        <v>44</v>
      </c>
      <c r="N3697">
        <v>99.57</v>
      </c>
      <c r="O3697">
        <v>30.635838150289018</v>
      </c>
      <c r="P3697"/>
    </row>
    <row r="3698" spans="1:16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>
        <v>0</v>
      </c>
      <c r="N3698">
        <v>95.65</v>
      </c>
      <c r="O3698">
        <v>32.432432432432442</v>
      </c>
      <c r="P3698"/>
    </row>
    <row r="3699" spans="1:16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>
        <v>14</v>
      </c>
      <c r="N3699">
        <v>98.81</v>
      </c>
      <c r="O3699">
        <v>26.256983240223459</v>
      </c>
      <c r="P3699"/>
    </row>
    <row r="3700" spans="1:16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>
        <v>0</v>
      </c>
      <c r="N3700">
        <v>0</v>
      </c>
      <c r="O3700">
        <v>0</v>
      </c>
      <c r="P3700"/>
    </row>
    <row r="3701" spans="1:16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>
        <v>17</v>
      </c>
      <c r="N3701">
        <v>97.17</v>
      </c>
      <c r="O3701">
        <v>28.81844380403458</v>
      </c>
      <c r="P3701"/>
    </row>
    <row r="3702" spans="1:16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>
        <v>11</v>
      </c>
      <c r="N3702">
        <v>96.81</v>
      </c>
      <c r="O3702">
        <v>48.018648018648022</v>
      </c>
      <c r="P3702"/>
    </row>
    <row r="3703" spans="1:16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>
        <v>12</v>
      </c>
      <c r="N3703">
        <v>98.15</v>
      </c>
      <c r="O3703">
        <v>27.1551724137931</v>
      </c>
      <c r="P3703"/>
    </row>
    <row r="3704" spans="1:16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>
        <v>29</v>
      </c>
      <c r="N3704">
        <v>99.15</v>
      </c>
      <c r="O3704">
        <v>27.586206896551719</v>
      </c>
      <c r="P3704"/>
    </row>
    <row r="3705" spans="1:16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10</v>
      </c>
      <c r="N3705">
        <v>99.17</v>
      </c>
      <c r="O3705">
        <v>29.75206611570248</v>
      </c>
      <c r="P3705"/>
    </row>
    <row r="3706" spans="1:16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>
        <v>31</v>
      </c>
      <c r="N3706">
        <v>98.73</v>
      </c>
      <c r="O3706">
        <v>28.961748633879779</v>
      </c>
      <c r="P3706"/>
    </row>
    <row r="3707" spans="1:16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0</v>
      </c>
      <c r="N3707">
        <v>88.68</v>
      </c>
      <c r="O3707">
        <v>22.03389830508474</v>
      </c>
      <c r="P3707"/>
    </row>
    <row r="3708" spans="1:16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>
        <v>21</v>
      </c>
      <c r="N3708">
        <v>97.37</v>
      </c>
      <c r="O3708">
        <v>25.76530612244898</v>
      </c>
      <c r="P3708"/>
    </row>
    <row r="3709" spans="1:16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>
        <v>9</v>
      </c>
      <c r="N3709">
        <v>100</v>
      </c>
      <c r="O3709">
        <v>25</v>
      </c>
      <c r="P3709"/>
    </row>
    <row r="3710" spans="1:16" hidden="1" x14ac:dyDescent="0.25">
      <c r="A3710" s="11">
        <v>46118</v>
      </c>
      <c r="B3710" t="s">
        <v>43</v>
      </c>
      <c r="C3710" t="s">
        <v>32</v>
      </c>
      <c r="D3710">
        <v>44</v>
      </c>
      <c r="E3710">
        <v>42</v>
      </c>
      <c r="F3710">
        <v>12.16</v>
      </c>
      <c r="G3710">
        <v>0</v>
      </c>
      <c r="H3710">
        <v>0</v>
      </c>
      <c r="I3710" s="3">
        <f>E3710+G3710+H3710</f>
        <v>42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31</v>
      </c>
      <c r="K3710" s="3">
        <f>I3710-J3710</f>
        <v>11</v>
      </c>
      <c r="L3710" s="3" t="str">
        <f>IF(K3710&lt;-5,"CRÍTICO",IF(K3710&lt;0,"ATENÇÃO",IF(K3710&lt;=5,"OPORTUNO","MUITO BOM")))</f>
        <v>MUITO BOM</v>
      </c>
      <c r="M3710">
        <v>41</v>
      </c>
      <c r="N3710">
        <v>100</v>
      </c>
      <c r="O3710">
        <v>23.9870340356564</v>
      </c>
      <c r="P3710"/>
    </row>
    <row r="3711" spans="1:16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>
        <v>20</v>
      </c>
      <c r="N3711">
        <v>95.49</v>
      </c>
      <c r="O3711">
        <v>28.370221327967808</v>
      </c>
      <c r="P3711"/>
    </row>
    <row r="3712" spans="1:16" hidden="1" x14ac:dyDescent="0.25">
      <c r="A3712" s="11">
        <v>46118</v>
      </c>
      <c r="B3712" t="s">
        <v>20</v>
      </c>
      <c r="C3712" t="s">
        <v>16</v>
      </c>
      <c r="D3712">
        <v>7</v>
      </c>
      <c r="E3712">
        <v>5</v>
      </c>
      <c r="F3712">
        <v>20.12</v>
      </c>
      <c r="G3712">
        <v>0</v>
      </c>
      <c r="H3712">
        <v>0</v>
      </c>
      <c r="I3712" s="3">
        <f>E3712+G3712+H3712</f>
        <v>5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9</v>
      </c>
      <c r="K3712" s="3">
        <f>I3712-J3712</f>
        <v>-4</v>
      </c>
      <c r="L3712" s="3" t="str">
        <f>IF(K3712&lt;-5,"CRÍTICO",IF(K3712&lt;0,"ATENÇÃO",IF(K3712&lt;=5,"OPORTUNO","MUITO BOM")))</f>
        <v>ATENÇÃO</v>
      </c>
      <c r="M3712">
        <v>4</v>
      </c>
      <c r="N3712">
        <v>100</v>
      </c>
      <c r="O3712">
        <v>23.77622377622378</v>
      </c>
      <c r="P3712"/>
    </row>
    <row r="3713" spans="1:16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>
        <v>16</v>
      </c>
      <c r="N3713">
        <v>96.15</v>
      </c>
      <c r="O3713">
        <v>24.045801526717561</v>
      </c>
      <c r="P3713"/>
    </row>
    <row r="3714" spans="1:16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>
        <v>24</v>
      </c>
      <c r="N3714">
        <v>99.02</v>
      </c>
      <c r="O3714">
        <v>34.797297297297298</v>
      </c>
      <c r="P3714"/>
    </row>
    <row r="3715" spans="1:16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>
        <v>18</v>
      </c>
      <c r="N3715">
        <v>98.84</v>
      </c>
      <c r="O3715">
        <v>31.868131868131869</v>
      </c>
      <c r="P3715"/>
    </row>
    <row r="3716" spans="1:16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>
        <v>21</v>
      </c>
      <c r="N3716">
        <v>100</v>
      </c>
      <c r="O3716">
        <v>34.666666666666671</v>
      </c>
      <c r="P3716"/>
    </row>
    <row r="3717" spans="1:16" hidden="1" x14ac:dyDescent="0.25">
      <c r="A3717" s="11">
        <v>46118</v>
      </c>
      <c r="B3717" t="s">
        <v>21</v>
      </c>
      <c r="C3717" t="s">
        <v>16</v>
      </c>
      <c r="D3717">
        <v>9</v>
      </c>
      <c r="E3717">
        <v>9</v>
      </c>
      <c r="F3717">
        <v>19.05</v>
      </c>
      <c r="G3717">
        <v>0</v>
      </c>
      <c r="H3717">
        <v>0</v>
      </c>
      <c r="I3717" s="3">
        <f>E3717+G3717+H3717</f>
        <v>9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9</v>
      </c>
      <c r="K3717" s="3">
        <f>I3717-J3717</f>
        <v>0</v>
      </c>
      <c r="L3717" s="3" t="str">
        <f>IF(K3717&lt;-5,"CRÍTICO",IF(K3717&lt;0,"ATENÇÃO",IF(K3717&lt;=5,"OPORTUNO","MUITO BOM")))</f>
        <v>OPORTUNO</v>
      </c>
      <c r="M3717">
        <v>4</v>
      </c>
      <c r="N3717">
        <v>94.12</v>
      </c>
      <c r="O3717">
        <v>32.799999999999997</v>
      </c>
      <c r="P3717"/>
    </row>
    <row r="3718" spans="1:16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16</v>
      </c>
      <c r="N3718">
        <v>98.32</v>
      </c>
      <c r="O3718">
        <v>26.858513189448441</v>
      </c>
      <c r="P3718"/>
    </row>
    <row r="3719" spans="1:16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>
        <v>33</v>
      </c>
      <c r="N3719">
        <v>100</v>
      </c>
      <c r="O3719">
        <v>31.135531135531139</v>
      </c>
      <c r="P3719"/>
    </row>
    <row r="3720" spans="1:16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>
        <v>14</v>
      </c>
      <c r="N3720">
        <v>100</v>
      </c>
      <c r="O3720">
        <v>26.36986301369863</v>
      </c>
      <c r="P3720"/>
    </row>
    <row r="3721" spans="1:16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24</v>
      </c>
      <c r="N3721">
        <v>99.21</v>
      </c>
      <c r="O3721">
        <v>25.188916876574311</v>
      </c>
      <c r="P3721"/>
    </row>
    <row r="3722" spans="1:16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>
        <v>3</v>
      </c>
      <c r="N3722">
        <v>100</v>
      </c>
      <c r="O3722">
        <v>32.764505119453922</v>
      </c>
      <c r="P3722"/>
    </row>
    <row r="3723" spans="1:16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>
        <v>28</v>
      </c>
      <c r="N3723">
        <v>98.66</v>
      </c>
      <c r="O3723">
        <v>35.416666666666671</v>
      </c>
      <c r="P3723"/>
    </row>
    <row r="3724" spans="1:16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>
        <v>34</v>
      </c>
      <c r="N3724">
        <v>99.32</v>
      </c>
      <c r="O3724">
        <v>30.648330058939099</v>
      </c>
      <c r="P3724"/>
    </row>
    <row r="3725" spans="1:16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>
        <v>27</v>
      </c>
      <c r="N3725">
        <v>100</v>
      </c>
      <c r="O3725">
        <v>27.803738317757009</v>
      </c>
      <c r="P3725"/>
    </row>
    <row r="3726" spans="1:16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>
        <v>20</v>
      </c>
      <c r="N3726">
        <v>96.74</v>
      </c>
      <c r="O3726">
        <v>28.67647058823529</v>
      </c>
      <c r="P3726"/>
    </row>
    <row r="3727" spans="1:16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>
        <v>38</v>
      </c>
      <c r="N3727">
        <v>98.82</v>
      </c>
      <c r="O3727">
        <v>30.741410488245929</v>
      </c>
      <c r="P3727"/>
    </row>
    <row r="3728" spans="1:16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>
        <v>30</v>
      </c>
      <c r="N3728">
        <v>98.2</v>
      </c>
      <c r="O3728">
        <v>27.170868347338931</v>
      </c>
      <c r="P3728"/>
    </row>
    <row r="3729" spans="1:16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>
        <v>10</v>
      </c>
      <c r="N3729">
        <v>100</v>
      </c>
      <c r="O3729">
        <v>23.134328358208951</v>
      </c>
      <c r="P3729"/>
    </row>
    <row r="3730" spans="1:16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>
        <v>20</v>
      </c>
      <c r="N3730">
        <v>96.3</v>
      </c>
      <c r="O3730">
        <v>32.219570405727922</v>
      </c>
      <c r="P3730"/>
    </row>
    <row r="3731" spans="1:16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>
        <v>37</v>
      </c>
      <c r="N3731">
        <v>93.75</v>
      </c>
      <c r="O3731">
        <v>26.819923371647509</v>
      </c>
      <c r="P3731"/>
    </row>
    <row r="3732" spans="1:16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>
        <v>23</v>
      </c>
      <c r="N3732">
        <v>97.86</v>
      </c>
      <c r="O3732">
        <v>31.018518518518519</v>
      </c>
      <c r="P3732"/>
    </row>
    <row r="3733" spans="1:16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>
        <v>23</v>
      </c>
      <c r="N3733">
        <v>100</v>
      </c>
      <c r="O3733">
        <v>36.594202898550733</v>
      </c>
      <c r="P3733"/>
    </row>
    <row r="3734" spans="1:16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>
        <v>29</v>
      </c>
      <c r="N3734">
        <v>100</v>
      </c>
      <c r="O3734">
        <v>38.653846153846153</v>
      </c>
      <c r="P3734"/>
    </row>
    <row r="3735" spans="1:16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>
        <v>5</v>
      </c>
      <c r="N3735">
        <v>100</v>
      </c>
      <c r="O3735">
        <v>27.368421052631579</v>
      </c>
      <c r="P3735"/>
    </row>
    <row r="3736" spans="1:16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>
        <v>19</v>
      </c>
      <c r="N3736">
        <v>97.83</v>
      </c>
      <c r="O3736">
        <v>28.35164835164835</v>
      </c>
      <c r="P3736"/>
    </row>
    <row r="3737" spans="1:16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>
        <v>29</v>
      </c>
      <c r="N3737">
        <v>99.26</v>
      </c>
      <c r="O3737">
        <v>29.766536964980549</v>
      </c>
      <c r="P3737"/>
    </row>
    <row r="3738" spans="1:16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>
        <v>24</v>
      </c>
      <c r="N3738">
        <v>99.19</v>
      </c>
      <c r="O3738">
        <v>29.462365591397852</v>
      </c>
      <c r="P3738"/>
    </row>
    <row r="3739" spans="1:16" hidden="1" x14ac:dyDescent="0.25">
      <c r="A3739" s="11">
        <v>46167</v>
      </c>
      <c r="B3739" t="s">
        <v>52</v>
      </c>
      <c r="C3739" t="s">
        <v>48</v>
      </c>
      <c r="D3739" s="3">
        <v>23</v>
      </c>
      <c r="E3739" s="3">
        <v>21</v>
      </c>
      <c r="F3739" s="3">
        <v>13.4</v>
      </c>
      <c r="G3739" s="3">
        <v>0</v>
      </c>
      <c r="H3739" s="3">
        <v>0</v>
      </c>
      <c r="I3739" s="3">
        <v>0</v>
      </c>
      <c r="J3739" s="3">
        <v>0</v>
      </c>
      <c r="K3739" s="3">
        <v>0</v>
      </c>
      <c r="L3739" s="3" t="str">
        <f>IF(K3739&lt;-5,"CRÍTICO",IF(K3739&lt;0,"ATENÇÃO",IF(K3739&lt;=5,"OPORTUNO","MUITO BOM")))</f>
        <v>OPORTUNO</v>
      </c>
      <c r="M3739" s="3">
        <v>17</v>
      </c>
      <c r="N3739" s="3">
        <v>99.01</v>
      </c>
      <c r="O3739" s="3">
        <v>17.766497461928939</v>
      </c>
    </row>
    <row r="3740" spans="1:16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0</v>
      </c>
      <c r="N3740">
        <v>100</v>
      </c>
      <c r="O3740">
        <v>28.921568627450981</v>
      </c>
      <c r="P3740"/>
    </row>
    <row r="3741" spans="1:16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>
        <v>48</v>
      </c>
      <c r="N3741">
        <v>99.57</v>
      </c>
      <c r="O3741">
        <v>30.635838150289018</v>
      </c>
      <c r="P3741"/>
    </row>
    <row r="3742" spans="1:16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>
        <v>0</v>
      </c>
      <c r="N3742">
        <v>95.65</v>
      </c>
      <c r="O3742">
        <v>32.432432432432442</v>
      </c>
      <c r="P3742"/>
    </row>
    <row r="3743" spans="1:16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>
        <v>20</v>
      </c>
      <c r="N3743">
        <v>98.81</v>
      </c>
      <c r="O3743">
        <v>26.256983240223459</v>
      </c>
      <c r="P3743"/>
    </row>
    <row r="3744" spans="1:16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>
        <v>0</v>
      </c>
      <c r="N3744">
        <v>0</v>
      </c>
      <c r="O3744">
        <v>0</v>
      </c>
      <c r="P3744"/>
    </row>
    <row r="3745" spans="1:16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>
        <v>22</v>
      </c>
      <c r="N3745">
        <v>97.17</v>
      </c>
      <c r="O3745">
        <v>28.81844380403458</v>
      </c>
      <c r="P3745"/>
    </row>
    <row r="3746" spans="1:16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>
        <v>23</v>
      </c>
      <c r="N3746">
        <v>96.81</v>
      </c>
      <c r="O3746">
        <v>48.018648018648022</v>
      </c>
      <c r="P3746"/>
    </row>
    <row r="3747" spans="1:16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>
        <v>13</v>
      </c>
      <c r="N3747">
        <v>98.15</v>
      </c>
      <c r="O3747">
        <v>27.1551724137931</v>
      </c>
      <c r="P3747"/>
    </row>
    <row r="3748" spans="1:16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>
        <v>25</v>
      </c>
      <c r="N3748">
        <v>99.15</v>
      </c>
      <c r="O3748">
        <v>27.586206896551719</v>
      </c>
      <c r="P3748"/>
    </row>
    <row r="3749" spans="1:16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>
        <v>26</v>
      </c>
      <c r="N3749">
        <v>99.17</v>
      </c>
      <c r="O3749">
        <v>29.75206611570248</v>
      </c>
      <c r="P3749"/>
    </row>
    <row r="3750" spans="1:16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>
        <v>33</v>
      </c>
      <c r="N3750">
        <v>98.73</v>
      </c>
      <c r="O3750">
        <v>28.961748633879779</v>
      </c>
      <c r="P3750"/>
    </row>
    <row r="3751" spans="1:16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>
        <v>21</v>
      </c>
      <c r="N3751">
        <v>88.68</v>
      </c>
      <c r="O3751">
        <v>22.03389830508474</v>
      </c>
      <c r="P3751"/>
    </row>
    <row r="3752" spans="1:16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>
        <v>11</v>
      </c>
      <c r="N3752">
        <v>97.37</v>
      </c>
      <c r="O3752">
        <v>25.76530612244898</v>
      </c>
      <c r="P3752"/>
    </row>
    <row r="3753" spans="1:16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>
        <v>7</v>
      </c>
      <c r="N3753">
        <v>100</v>
      </c>
      <c r="O3753">
        <v>25</v>
      </c>
      <c r="P3753"/>
    </row>
    <row r="3754" spans="1:16" hidden="1" x14ac:dyDescent="0.25">
      <c r="A3754" s="11">
        <v>46119</v>
      </c>
      <c r="B3754" t="s">
        <v>43</v>
      </c>
      <c r="C3754" t="s">
        <v>32</v>
      </c>
      <c r="D3754">
        <v>44</v>
      </c>
      <c r="E3754">
        <v>43</v>
      </c>
      <c r="F3754">
        <v>15.07</v>
      </c>
      <c r="G3754">
        <v>0</v>
      </c>
      <c r="H3754">
        <v>0</v>
      </c>
      <c r="I3754" s="3">
        <f>E3754+G3754+H3754</f>
        <v>43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31</v>
      </c>
      <c r="K3754" s="3">
        <f>I3754-J3754</f>
        <v>12</v>
      </c>
      <c r="L3754" s="3" t="str">
        <f>IF(K3754&lt;-5,"CRÍTICO",IF(K3754&lt;0,"ATENÇÃO",IF(K3754&lt;=5,"OPORTUNO","MUITO BOM")))</f>
        <v>MUITO BOM</v>
      </c>
      <c r="M3754">
        <v>40</v>
      </c>
      <c r="N3754">
        <v>100</v>
      </c>
      <c r="O3754">
        <v>23.9870340356564</v>
      </c>
      <c r="P3754"/>
    </row>
    <row r="3755" spans="1:16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>
        <v>27</v>
      </c>
      <c r="N3755">
        <v>95.49</v>
      </c>
      <c r="O3755">
        <v>28.370221327967808</v>
      </c>
      <c r="P3755"/>
    </row>
    <row r="3756" spans="1:16" hidden="1" x14ac:dyDescent="0.25">
      <c r="A3756" s="11">
        <v>46119</v>
      </c>
      <c r="B3756" t="s">
        <v>20</v>
      </c>
      <c r="C3756" t="s">
        <v>16</v>
      </c>
      <c r="D3756">
        <v>11</v>
      </c>
      <c r="E3756">
        <v>10</v>
      </c>
      <c r="F3756">
        <v>17.02</v>
      </c>
      <c r="G3756">
        <v>0</v>
      </c>
      <c r="H3756">
        <v>0</v>
      </c>
      <c r="I3756" s="3">
        <f>E3756+G3756+H3756</f>
        <v>10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9</v>
      </c>
      <c r="K3756" s="3">
        <f>I3756-J3756</f>
        <v>1</v>
      </c>
      <c r="L3756" s="3" t="str">
        <f>IF(K3756&lt;-5,"CRÍTICO",IF(K3756&lt;0,"ATENÇÃO",IF(K3756&lt;=5,"OPORTUNO","MUITO BOM")))</f>
        <v>OPORTUNO</v>
      </c>
      <c r="M3756">
        <v>9</v>
      </c>
      <c r="N3756">
        <v>100</v>
      </c>
      <c r="O3756">
        <v>23.77622377622378</v>
      </c>
      <c r="P3756"/>
    </row>
    <row r="3757" spans="1:16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12</v>
      </c>
      <c r="N3757">
        <v>96.15</v>
      </c>
      <c r="O3757">
        <v>24.045801526717561</v>
      </c>
      <c r="P3757"/>
    </row>
    <row r="3758" spans="1:16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>
        <v>18</v>
      </c>
      <c r="N3758">
        <v>99.02</v>
      </c>
      <c r="O3758">
        <v>34.797297297297298</v>
      </c>
      <c r="P3758"/>
    </row>
    <row r="3759" spans="1:16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>
        <v>15</v>
      </c>
      <c r="N3759">
        <v>98.84</v>
      </c>
      <c r="O3759">
        <v>31.868131868131869</v>
      </c>
      <c r="P3759"/>
    </row>
    <row r="3760" spans="1:16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13</v>
      </c>
      <c r="N3760">
        <v>100</v>
      </c>
      <c r="O3760">
        <v>34.666666666666671</v>
      </c>
      <c r="P3760"/>
    </row>
    <row r="3761" spans="1:16" hidden="1" x14ac:dyDescent="0.25">
      <c r="A3761" s="11">
        <v>46119</v>
      </c>
      <c r="B3761" t="s">
        <v>21</v>
      </c>
      <c r="C3761" t="s">
        <v>16</v>
      </c>
      <c r="D3761">
        <v>10</v>
      </c>
      <c r="E3761">
        <v>9</v>
      </c>
      <c r="F3761">
        <v>18.21</v>
      </c>
      <c r="G3761">
        <v>0</v>
      </c>
      <c r="H3761">
        <v>0</v>
      </c>
      <c r="I3761" s="3">
        <f>E3761+G3761+H3761</f>
        <v>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9</v>
      </c>
      <c r="K3761" s="3">
        <f>I3761-J3761</f>
        <v>0</v>
      </c>
      <c r="L3761" s="3" t="str">
        <f>IF(K3761&lt;-5,"CRÍTICO",IF(K3761&lt;0,"ATENÇÃO",IF(K3761&lt;=5,"OPORTUNO","MUITO BOM")))</f>
        <v>OPORTUNO</v>
      </c>
      <c r="M3761">
        <v>5</v>
      </c>
      <c r="N3761">
        <v>94.12</v>
      </c>
      <c r="O3761">
        <v>32.799999999999997</v>
      </c>
      <c r="P3761"/>
    </row>
    <row r="3762" spans="1:16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>
        <v>28</v>
      </c>
      <c r="N3762">
        <v>98.32</v>
      </c>
      <c r="O3762">
        <v>26.858513189448441</v>
      </c>
      <c r="P3762"/>
    </row>
    <row r="3763" spans="1:16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>
        <v>31</v>
      </c>
      <c r="N3763">
        <v>100</v>
      </c>
      <c r="O3763">
        <v>31.135531135531139</v>
      </c>
      <c r="P3763"/>
    </row>
    <row r="3764" spans="1:16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>
        <v>20</v>
      </c>
      <c r="N3764">
        <v>100</v>
      </c>
      <c r="O3764">
        <v>26.36986301369863</v>
      </c>
      <c r="P3764"/>
    </row>
    <row r="3765" spans="1:16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26</v>
      </c>
      <c r="N3765">
        <v>99.21</v>
      </c>
      <c r="O3765">
        <v>25.188916876574311</v>
      </c>
      <c r="P3765"/>
    </row>
    <row r="3766" spans="1:16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>
        <v>15</v>
      </c>
      <c r="N3766">
        <v>100</v>
      </c>
      <c r="O3766">
        <v>32.764505119453922</v>
      </c>
      <c r="P3766"/>
    </row>
    <row r="3767" spans="1:16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>
        <v>26</v>
      </c>
      <c r="N3767">
        <v>98.66</v>
      </c>
      <c r="O3767">
        <v>35.416666666666671</v>
      </c>
      <c r="P3767"/>
    </row>
    <row r="3768" spans="1:16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>
        <v>32</v>
      </c>
      <c r="N3768">
        <v>99.32</v>
      </c>
      <c r="O3768">
        <v>30.648330058939099</v>
      </c>
      <c r="P3768"/>
    </row>
    <row r="3769" spans="1:16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>
        <v>31</v>
      </c>
      <c r="N3769">
        <v>100</v>
      </c>
      <c r="O3769">
        <v>27.803738317757009</v>
      </c>
      <c r="P3769"/>
    </row>
    <row r="3770" spans="1:16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>
        <v>13</v>
      </c>
      <c r="N3770">
        <v>96.74</v>
      </c>
      <c r="O3770">
        <v>28.67647058823529</v>
      </c>
      <c r="P3770"/>
    </row>
    <row r="3771" spans="1:16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>
        <v>29</v>
      </c>
      <c r="N3771">
        <v>98.82</v>
      </c>
      <c r="O3771">
        <v>30.741410488245929</v>
      </c>
      <c r="P3771"/>
    </row>
    <row r="3772" spans="1:16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>
        <v>18</v>
      </c>
      <c r="N3772">
        <v>98.2</v>
      </c>
      <c r="O3772">
        <v>27.170868347338931</v>
      </c>
      <c r="P3772"/>
    </row>
    <row r="3773" spans="1:16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>
        <v>4</v>
      </c>
      <c r="N3773">
        <v>100</v>
      </c>
      <c r="O3773">
        <v>23.134328358208951</v>
      </c>
      <c r="P3773"/>
    </row>
    <row r="3774" spans="1:16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>
        <v>30</v>
      </c>
      <c r="N3774">
        <v>96.3</v>
      </c>
      <c r="O3774">
        <v>32.219570405727922</v>
      </c>
      <c r="P3774"/>
    </row>
    <row r="3775" spans="1:16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>
        <v>17</v>
      </c>
      <c r="N3775">
        <v>93.75</v>
      </c>
      <c r="O3775">
        <v>26.819923371647509</v>
      </c>
      <c r="P3775"/>
    </row>
    <row r="3776" spans="1:16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>
        <v>31</v>
      </c>
      <c r="N3776">
        <v>97.86</v>
      </c>
      <c r="O3776">
        <v>31.018518518518519</v>
      </c>
      <c r="P3776"/>
    </row>
    <row r="3777" spans="1:16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>
        <v>19</v>
      </c>
      <c r="N3777">
        <v>100</v>
      </c>
      <c r="O3777">
        <v>36.594202898550733</v>
      </c>
      <c r="P3777"/>
    </row>
    <row r="3778" spans="1:16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>
        <v>39</v>
      </c>
      <c r="N3778">
        <v>100</v>
      </c>
      <c r="O3778">
        <v>38.653846153846153</v>
      </c>
      <c r="P3778"/>
    </row>
    <row r="3779" spans="1:16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>
        <v>2</v>
      </c>
      <c r="N3779">
        <v>100</v>
      </c>
      <c r="O3779">
        <v>27.368421052631579</v>
      </c>
      <c r="P3779"/>
    </row>
    <row r="3780" spans="1:16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>
        <v>25</v>
      </c>
      <c r="N3780">
        <v>97.83</v>
      </c>
      <c r="O3780">
        <v>28.35164835164835</v>
      </c>
      <c r="P3780"/>
    </row>
    <row r="3781" spans="1:16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>
        <v>23</v>
      </c>
      <c r="N3781">
        <v>99.26</v>
      </c>
      <c r="O3781">
        <v>29.766536964980549</v>
      </c>
      <c r="P3781"/>
    </row>
    <row r="3782" spans="1:16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>
        <v>28</v>
      </c>
      <c r="N3782">
        <v>99.19</v>
      </c>
      <c r="O3782">
        <v>29.462365591397852</v>
      </c>
      <c r="P3782"/>
    </row>
    <row r="3783" spans="1:16" hidden="1" x14ac:dyDescent="0.25">
      <c r="A3783" s="11">
        <v>46167</v>
      </c>
      <c r="B3783" t="s">
        <v>53</v>
      </c>
      <c r="C3783" t="s">
        <v>48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v>0</v>
      </c>
      <c r="J3783" s="3">
        <v>0</v>
      </c>
      <c r="K3783" s="3">
        <v>0</v>
      </c>
      <c r="L3783" s="3" t="str">
        <f>IF(K3783&lt;-5,"CRÍTICO",IF(K3783&lt;0,"ATENÇÃO",IF(K3783&lt;=5,"OPORTUNO","MUITO BOM")))</f>
        <v>OPORTUNO</v>
      </c>
      <c r="M3783" s="3">
        <v>0</v>
      </c>
      <c r="N3783" s="3">
        <v>100</v>
      </c>
      <c r="O3783" s="3">
        <v>17.241379310344829</v>
      </c>
    </row>
    <row r="3784" spans="1:16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28.921568627450981</v>
      </c>
      <c r="P3784"/>
    </row>
    <row r="3785" spans="1:16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>
        <v>37</v>
      </c>
      <c r="N3785">
        <v>99.57</v>
      </c>
      <c r="O3785">
        <v>30.635838150289018</v>
      </c>
      <c r="P3785"/>
    </row>
    <row r="3786" spans="1:16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>
        <v>0</v>
      </c>
      <c r="N3786">
        <v>95.65</v>
      </c>
      <c r="O3786">
        <v>32.432432432432442</v>
      </c>
      <c r="P3786"/>
    </row>
    <row r="3787" spans="1:16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>
        <v>24</v>
      </c>
      <c r="N3787">
        <v>98.81</v>
      </c>
      <c r="O3787">
        <v>26.256983240223459</v>
      </c>
      <c r="P3787"/>
    </row>
    <row r="3788" spans="1:16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>
        <v>0</v>
      </c>
      <c r="N3788">
        <v>0</v>
      </c>
      <c r="O3788">
        <v>0</v>
      </c>
      <c r="P3788"/>
    </row>
    <row r="3789" spans="1:16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>
        <v>14</v>
      </c>
      <c r="N3789">
        <v>97.17</v>
      </c>
      <c r="O3789">
        <v>28.81844380403458</v>
      </c>
      <c r="P3789"/>
    </row>
    <row r="3790" spans="1:16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>
        <v>18</v>
      </c>
      <c r="N3790">
        <v>96.81</v>
      </c>
      <c r="O3790">
        <v>48.018648018648022</v>
      </c>
      <c r="P3790"/>
    </row>
    <row r="3791" spans="1:16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>
        <v>13</v>
      </c>
      <c r="N3791">
        <v>98.15</v>
      </c>
      <c r="O3791">
        <v>27.1551724137931</v>
      </c>
      <c r="P3791"/>
    </row>
    <row r="3792" spans="1:16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>
        <v>28</v>
      </c>
      <c r="N3792">
        <v>99.15</v>
      </c>
      <c r="O3792">
        <v>27.586206896551719</v>
      </c>
      <c r="P3792"/>
    </row>
    <row r="3793" spans="1:16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>
        <v>13</v>
      </c>
      <c r="N3793">
        <v>99.17</v>
      </c>
      <c r="O3793">
        <v>29.75206611570248</v>
      </c>
      <c r="P3793"/>
    </row>
    <row r="3794" spans="1:16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>
        <v>23</v>
      </c>
      <c r="N3794">
        <v>98.73</v>
      </c>
      <c r="O3794">
        <v>28.961748633879779</v>
      </c>
      <c r="P3794"/>
    </row>
    <row r="3795" spans="1:16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>
        <v>21</v>
      </c>
      <c r="N3795">
        <v>88.68</v>
      </c>
      <c r="O3795">
        <v>22.03389830508474</v>
      </c>
      <c r="P3795"/>
    </row>
    <row r="3796" spans="1:16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28</v>
      </c>
      <c r="N3796">
        <v>97.37</v>
      </c>
      <c r="O3796">
        <v>25.76530612244898</v>
      </c>
      <c r="P3796"/>
    </row>
    <row r="3797" spans="1:16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>
        <v>0</v>
      </c>
      <c r="N3797">
        <v>100</v>
      </c>
      <c r="O3797">
        <v>25</v>
      </c>
      <c r="P3797"/>
    </row>
    <row r="3798" spans="1:16" hidden="1" x14ac:dyDescent="0.25">
      <c r="A3798" s="11">
        <v>46120</v>
      </c>
      <c r="B3798" t="s">
        <v>43</v>
      </c>
      <c r="C3798" t="s">
        <v>32</v>
      </c>
      <c r="D3798">
        <v>18</v>
      </c>
      <c r="E3798">
        <v>18</v>
      </c>
      <c r="F3798">
        <v>15.45</v>
      </c>
      <c r="G3798">
        <v>0</v>
      </c>
      <c r="H3798">
        <v>0</v>
      </c>
      <c r="I3798" s="3">
        <f>E3798+G3798+H3798</f>
        <v>18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30</v>
      </c>
      <c r="K3798" s="3">
        <f>I3798-J3798</f>
        <v>-12</v>
      </c>
      <c r="L3798" s="3" t="str">
        <f>IF(K3798&lt;-5,"CRÍTICO",IF(K3798&lt;0,"ATENÇÃO",IF(K3798&lt;=5,"OPORTUNO","MUITO BOM")))</f>
        <v>CRÍTICO</v>
      </c>
      <c r="M3798">
        <v>20</v>
      </c>
      <c r="N3798">
        <v>100</v>
      </c>
      <c r="O3798">
        <v>23.9870340356564</v>
      </c>
      <c r="P3798"/>
    </row>
    <row r="3799" spans="1:16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>
        <v>32</v>
      </c>
      <c r="N3799">
        <v>95.49</v>
      </c>
      <c r="O3799">
        <v>28.370221327967808</v>
      </c>
      <c r="P3799"/>
    </row>
    <row r="3800" spans="1:16" hidden="1" x14ac:dyDescent="0.25">
      <c r="A3800" s="11">
        <v>46120</v>
      </c>
      <c r="B3800" t="s">
        <v>20</v>
      </c>
      <c r="C3800" t="s">
        <v>16</v>
      </c>
      <c r="D3800">
        <v>6</v>
      </c>
      <c r="E3800">
        <v>5</v>
      </c>
      <c r="F3800">
        <v>20.09</v>
      </c>
      <c r="G3800">
        <v>0</v>
      </c>
      <c r="H3800">
        <v>0</v>
      </c>
      <c r="I3800" s="3">
        <f>E3800+G3800+H3800</f>
        <v>5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9</v>
      </c>
      <c r="K3800" s="3">
        <f>I3800-J3800</f>
        <v>-4</v>
      </c>
      <c r="L3800" s="3" t="str">
        <f>IF(K3800&lt;-5,"CRÍTICO",IF(K3800&lt;0,"ATENÇÃO",IF(K3800&lt;=5,"OPORTUNO","MUITO BOM")))</f>
        <v>ATENÇÃO</v>
      </c>
      <c r="M3800">
        <v>2</v>
      </c>
      <c r="N3800">
        <v>100</v>
      </c>
      <c r="O3800">
        <v>23.77622377622378</v>
      </c>
      <c r="P3800"/>
    </row>
    <row r="3801" spans="1:16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>
        <v>23</v>
      </c>
      <c r="N3801">
        <v>96.15</v>
      </c>
      <c r="O3801">
        <v>24.045801526717561</v>
      </c>
      <c r="P3801"/>
    </row>
    <row r="3802" spans="1:16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>
        <v>8</v>
      </c>
      <c r="N3802">
        <v>99.02</v>
      </c>
      <c r="O3802">
        <v>34.797297297297298</v>
      </c>
      <c r="P3802"/>
    </row>
    <row r="3803" spans="1:16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>
        <v>13</v>
      </c>
      <c r="N3803">
        <v>98.84</v>
      </c>
      <c r="O3803">
        <v>31.868131868131869</v>
      </c>
      <c r="P3803"/>
    </row>
    <row r="3804" spans="1:16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>
        <v>18</v>
      </c>
      <c r="N3804">
        <v>100</v>
      </c>
      <c r="O3804">
        <v>34.666666666666671</v>
      </c>
      <c r="P3804"/>
    </row>
    <row r="3805" spans="1:16" hidden="1" x14ac:dyDescent="0.25">
      <c r="A3805" s="11">
        <v>46120</v>
      </c>
      <c r="B3805" t="s">
        <v>21</v>
      </c>
      <c r="C3805" t="s">
        <v>16</v>
      </c>
      <c r="D3805">
        <v>6</v>
      </c>
      <c r="E3805">
        <v>6</v>
      </c>
      <c r="F3805">
        <v>30</v>
      </c>
      <c r="G3805">
        <v>0</v>
      </c>
      <c r="H3805">
        <v>0</v>
      </c>
      <c r="I3805" s="3">
        <f>E3805+G3805+H3805</f>
        <v>6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9</v>
      </c>
      <c r="K3805" s="3">
        <f>I3805-J3805</f>
        <v>-3</v>
      </c>
      <c r="L3805" s="3" t="str">
        <f>IF(K3805&lt;-5,"CRÍTICO",IF(K3805&lt;0,"ATENÇÃO",IF(K3805&lt;=5,"OPORTUNO","MUITO BOM")))</f>
        <v>ATENÇÃO</v>
      </c>
      <c r="M3805">
        <v>7</v>
      </c>
      <c r="N3805">
        <v>94.12</v>
      </c>
      <c r="O3805">
        <v>32.799999999999997</v>
      </c>
      <c r="P3805"/>
    </row>
    <row r="3806" spans="1:16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>
        <v>25</v>
      </c>
      <c r="N3806">
        <v>98.32</v>
      </c>
      <c r="O3806">
        <v>26.858513189448441</v>
      </c>
      <c r="P3806"/>
    </row>
    <row r="3807" spans="1:16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30</v>
      </c>
      <c r="N3807">
        <v>100</v>
      </c>
      <c r="O3807">
        <v>31.135531135531139</v>
      </c>
      <c r="P3807"/>
    </row>
    <row r="3808" spans="1:16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>
        <v>16</v>
      </c>
      <c r="N3808">
        <v>100</v>
      </c>
      <c r="O3808">
        <v>26.36986301369863</v>
      </c>
      <c r="P3808"/>
    </row>
    <row r="3809" spans="1:16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>
        <v>21</v>
      </c>
      <c r="N3809">
        <v>99.21</v>
      </c>
      <c r="O3809">
        <v>25.188916876574311</v>
      </c>
      <c r="P3809"/>
    </row>
    <row r="3810" spans="1:16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>
        <v>11</v>
      </c>
      <c r="N3810">
        <v>100</v>
      </c>
      <c r="O3810">
        <v>32.764505119453922</v>
      </c>
      <c r="P3810"/>
    </row>
    <row r="3811" spans="1:16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>
        <v>15</v>
      </c>
      <c r="N3811">
        <v>98.66</v>
      </c>
      <c r="O3811">
        <v>35.416666666666671</v>
      </c>
      <c r="P3811"/>
    </row>
    <row r="3812" spans="1:16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>
        <v>20</v>
      </c>
      <c r="N3812">
        <v>99.32</v>
      </c>
      <c r="O3812">
        <v>30.648330058939099</v>
      </c>
      <c r="P3812"/>
    </row>
    <row r="3813" spans="1:16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>
        <v>25</v>
      </c>
      <c r="N3813">
        <v>100</v>
      </c>
      <c r="O3813">
        <v>27.803738317757009</v>
      </c>
      <c r="P3813"/>
    </row>
    <row r="3814" spans="1:16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>
        <v>17</v>
      </c>
      <c r="N3814">
        <v>96.74</v>
      </c>
      <c r="O3814">
        <v>28.67647058823529</v>
      </c>
      <c r="P3814"/>
    </row>
    <row r="3815" spans="1:16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>
        <v>32</v>
      </c>
      <c r="N3815">
        <v>98.82</v>
      </c>
      <c r="O3815">
        <v>30.741410488245929</v>
      </c>
      <c r="P3815"/>
    </row>
    <row r="3816" spans="1:16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>
        <v>19</v>
      </c>
      <c r="N3816">
        <v>98.2</v>
      </c>
      <c r="O3816">
        <v>27.170868347338931</v>
      </c>
      <c r="P3816"/>
    </row>
    <row r="3817" spans="1:16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>
        <v>6</v>
      </c>
      <c r="N3817">
        <v>100</v>
      </c>
      <c r="O3817">
        <v>23.134328358208951</v>
      </c>
      <c r="P3817"/>
    </row>
    <row r="3818" spans="1:16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>
        <v>20</v>
      </c>
      <c r="N3818">
        <v>96.3</v>
      </c>
      <c r="O3818">
        <v>32.219570405727922</v>
      </c>
      <c r="P3818"/>
    </row>
    <row r="3819" spans="1:16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>
        <v>16</v>
      </c>
      <c r="N3819">
        <v>93.75</v>
      </c>
      <c r="O3819">
        <v>26.819923371647509</v>
      </c>
      <c r="P3819"/>
    </row>
    <row r="3820" spans="1:16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>
        <v>17</v>
      </c>
      <c r="N3820">
        <v>97.86</v>
      </c>
      <c r="O3820">
        <v>31.018518518518519</v>
      </c>
      <c r="P3820"/>
    </row>
    <row r="3821" spans="1:16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>
        <v>15</v>
      </c>
      <c r="N3821">
        <v>100</v>
      </c>
      <c r="O3821">
        <v>36.594202898550733</v>
      </c>
      <c r="P3821"/>
    </row>
    <row r="3822" spans="1:16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>
        <v>28</v>
      </c>
      <c r="N3822">
        <v>100</v>
      </c>
      <c r="O3822">
        <v>38.653846153846153</v>
      </c>
      <c r="P3822"/>
    </row>
    <row r="3823" spans="1:16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>
        <v>5</v>
      </c>
      <c r="N3823">
        <v>100</v>
      </c>
      <c r="O3823">
        <v>27.368421052631579</v>
      </c>
      <c r="P3823"/>
    </row>
    <row r="3824" spans="1:16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>
        <v>19</v>
      </c>
      <c r="N3824">
        <v>97.83</v>
      </c>
      <c r="O3824">
        <v>28.35164835164835</v>
      </c>
      <c r="P3824"/>
    </row>
    <row r="3825" spans="1:16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>
        <v>20</v>
      </c>
      <c r="N3825">
        <v>99.26</v>
      </c>
      <c r="O3825">
        <v>29.766536964980549</v>
      </c>
      <c r="P3825"/>
    </row>
    <row r="3826" spans="1:16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>
        <v>17</v>
      </c>
      <c r="N3826">
        <v>99.19</v>
      </c>
      <c r="O3826">
        <v>29.462365591397852</v>
      </c>
      <c r="P3826"/>
    </row>
    <row r="3827" spans="1:16" hidden="1" x14ac:dyDescent="0.25">
      <c r="A3827" s="11">
        <v>46167</v>
      </c>
      <c r="B3827" t="s">
        <v>54</v>
      </c>
      <c r="C3827" t="s">
        <v>48</v>
      </c>
      <c r="D3827" s="3">
        <v>27</v>
      </c>
      <c r="E3827" s="3">
        <v>23</v>
      </c>
      <c r="F3827" s="3">
        <v>15.42</v>
      </c>
      <c r="G3827" s="3">
        <v>0</v>
      </c>
      <c r="H3827" s="3">
        <v>0</v>
      </c>
      <c r="I3827" s="3">
        <v>0</v>
      </c>
      <c r="J3827" s="3">
        <v>0</v>
      </c>
      <c r="K3827" s="3">
        <v>0</v>
      </c>
      <c r="L3827" s="3" t="str">
        <f>IF(K3827&lt;-5,"CRÍTICO",IF(K3827&lt;0,"ATENÇÃO",IF(K3827&lt;=5,"OPORTUNO","MUITO BOM")))</f>
        <v>OPORTUNO</v>
      </c>
      <c r="M3827" s="3">
        <v>23</v>
      </c>
      <c r="N3827" s="3">
        <v>98.98</v>
      </c>
      <c r="O3827" s="3">
        <v>19.35483870967742</v>
      </c>
    </row>
    <row r="3828" spans="1:16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0</v>
      </c>
      <c r="N3828">
        <v>100</v>
      </c>
      <c r="O3828">
        <v>28.921568627450981</v>
      </c>
      <c r="P3828"/>
    </row>
    <row r="3829" spans="1:16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>
        <v>29</v>
      </c>
      <c r="N3829">
        <v>99.57</v>
      </c>
      <c r="O3829">
        <v>30.635838150289018</v>
      </c>
      <c r="P3829"/>
    </row>
    <row r="3830" spans="1:16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>
        <v>0</v>
      </c>
      <c r="N3830">
        <v>95.65</v>
      </c>
      <c r="O3830">
        <v>32.432432432432442</v>
      </c>
      <c r="P3830"/>
    </row>
    <row r="3831" spans="1:16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>
        <v>19</v>
      </c>
      <c r="N3831">
        <v>98.81</v>
      </c>
      <c r="O3831">
        <v>26.256983240223459</v>
      </c>
      <c r="P3831"/>
    </row>
    <row r="3832" spans="1:16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>
        <v>0</v>
      </c>
      <c r="N3832">
        <v>0</v>
      </c>
      <c r="O3832">
        <v>0</v>
      </c>
      <c r="P3832"/>
    </row>
    <row r="3833" spans="1:16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>
        <v>24</v>
      </c>
      <c r="N3833">
        <v>97.17</v>
      </c>
      <c r="O3833">
        <v>28.81844380403458</v>
      </c>
      <c r="P3833"/>
    </row>
    <row r="3834" spans="1:16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>
        <v>16</v>
      </c>
      <c r="N3834">
        <v>96.81</v>
      </c>
      <c r="O3834">
        <v>48.018648018648022</v>
      </c>
      <c r="P3834"/>
    </row>
    <row r="3835" spans="1:16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>
        <v>11</v>
      </c>
      <c r="N3835">
        <v>98.15</v>
      </c>
      <c r="O3835">
        <v>27.1551724137931</v>
      </c>
      <c r="P3835"/>
    </row>
    <row r="3836" spans="1:16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>
        <v>8</v>
      </c>
      <c r="N3836">
        <v>99.15</v>
      </c>
      <c r="O3836">
        <v>27.586206896551719</v>
      </c>
      <c r="P3836"/>
    </row>
    <row r="3837" spans="1:16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>
        <v>28</v>
      </c>
      <c r="N3837">
        <v>99.17</v>
      </c>
      <c r="O3837">
        <v>29.75206611570248</v>
      </c>
      <c r="P3837"/>
    </row>
    <row r="3838" spans="1:16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>
        <v>16</v>
      </c>
      <c r="N3838">
        <v>98.73</v>
      </c>
      <c r="O3838">
        <v>28.961748633879779</v>
      </c>
      <c r="P3838"/>
    </row>
    <row r="3839" spans="1:16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>
        <v>17</v>
      </c>
      <c r="N3839">
        <v>88.68</v>
      </c>
      <c r="O3839">
        <v>22.03389830508474</v>
      </c>
      <c r="P3839"/>
    </row>
    <row r="3840" spans="1:16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>
        <v>23</v>
      </c>
      <c r="N3840">
        <v>97.37</v>
      </c>
      <c r="O3840">
        <v>25.76530612244898</v>
      </c>
      <c r="P3840"/>
    </row>
    <row r="3841" spans="1:16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>
        <v>6</v>
      </c>
      <c r="N3841">
        <v>100</v>
      </c>
      <c r="O3841">
        <v>25</v>
      </c>
      <c r="P3841"/>
    </row>
    <row r="3842" spans="1:16" hidden="1" x14ac:dyDescent="0.25">
      <c r="A3842" s="11">
        <v>46121</v>
      </c>
      <c r="B3842" t="s">
        <v>43</v>
      </c>
      <c r="C3842" t="s">
        <v>32</v>
      </c>
      <c r="D3842">
        <v>27</v>
      </c>
      <c r="E3842">
        <v>27</v>
      </c>
      <c r="F3842">
        <v>17.13</v>
      </c>
      <c r="G3842">
        <v>0</v>
      </c>
      <c r="H3842">
        <v>0</v>
      </c>
      <c r="I3842" s="3">
        <f>E3842+G3842+H3842</f>
        <v>27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26</v>
      </c>
      <c r="K3842" s="3">
        <f>I3842-J3842</f>
        <v>1</v>
      </c>
      <c r="L3842" s="3" t="str">
        <f>IF(K3842&lt;-5,"CRÍTICO",IF(K3842&lt;0,"ATENÇÃO",IF(K3842&lt;=5,"OPORTUNO","MUITO BOM")))</f>
        <v>OPORTUNO</v>
      </c>
      <c r="M3842">
        <v>28</v>
      </c>
      <c r="N3842">
        <v>100</v>
      </c>
      <c r="O3842">
        <v>23.9870340356564</v>
      </c>
      <c r="P3842"/>
    </row>
    <row r="3843" spans="1:16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>
        <v>27</v>
      </c>
      <c r="N3843">
        <v>95.49</v>
      </c>
      <c r="O3843">
        <v>28.370221327967808</v>
      </c>
      <c r="P3843"/>
    </row>
    <row r="3844" spans="1:16" hidden="1" x14ac:dyDescent="0.25">
      <c r="A3844" s="11">
        <v>46121</v>
      </c>
      <c r="B3844" t="s">
        <v>20</v>
      </c>
      <c r="C3844" t="s">
        <v>16</v>
      </c>
      <c r="D3844">
        <v>13</v>
      </c>
      <c r="E3844">
        <v>12</v>
      </c>
      <c r="F3844">
        <v>24.15</v>
      </c>
      <c r="G3844">
        <v>0</v>
      </c>
      <c r="H3844">
        <v>0</v>
      </c>
      <c r="I3844" s="3">
        <f>E3844+G3844+H3844</f>
        <v>12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7</v>
      </c>
      <c r="K3844" s="3">
        <f>I3844-J3844</f>
        <v>5</v>
      </c>
      <c r="L3844" s="3" t="str">
        <f>IF(K3844&lt;-5,"CRÍTICO",IF(K3844&lt;0,"ATENÇÃO",IF(K3844&lt;=5,"OPORTUNO","MUITO BOM")))</f>
        <v>OPORTUNO</v>
      </c>
      <c r="M3844">
        <v>8</v>
      </c>
      <c r="N3844">
        <v>100</v>
      </c>
      <c r="O3844">
        <v>23.77622377622378</v>
      </c>
      <c r="P3844"/>
    </row>
    <row r="3845" spans="1:16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>
        <v>12</v>
      </c>
      <c r="N3845">
        <v>96.15</v>
      </c>
      <c r="O3845">
        <v>24.045801526717561</v>
      </c>
      <c r="P3845"/>
    </row>
    <row r="3846" spans="1:16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>
        <v>22</v>
      </c>
      <c r="N3846">
        <v>99.02</v>
      </c>
      <c r="O3846">
        <v>34.797297297297298</v>
      </c>
      <c r="P3846"/>
    </row>
    <row r="3847" spans="1:16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>
        <v>12</v>
      </c>
      <c r="N3847">
        <v>98.84</v>
      </c>
      <c r="O3847">
        <v>31.868131868131869</v>
      </c>
      <c r="P3847"/>
    </row>
    <row r="3848" spans="1:16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>
        <v>18</v>
      </c>
      <c r="N3848">
        <v>100</v>
      </c>
      <c r="O3848">
        <v>34.666666666666671</v>
      </c>
      <c r="P3848"/>
    </row>
    <row r="3849" spans="1:16" hidden="1" x14ac:dyDescent="0.25">
      <c r="A3849" s="11">
        <v>46121</v>
      </c>
      <c r="B3849" t="s">
        <v>21</v>
      </c>
      <c r="C3849" t="s">
        <v>16</v>
      </c>
      <c r="D3849">
        <v>6</v>
      </c>
      <c r="E3849">
        <v>6</v>
      </c>
      <c r="F3849">
        <v>27.12</v>
      </c>
      <c r="G3849">
        <v>0</v>
      </c>
      <c r="H3849">
        <v>0</v>
      </c>
      <c r="I3849" s="3">
        <f>E3849+G3849+H3849</f>
        <v>6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7</v>
      </c>
      <c r="K3849" s="3">
        <f>I3849-J3849</f>
        <v>-1</v>
      </c>
      <c r="L3849" s="3" t="str">
        <f>IF(K3849&lt;-5,"CRÍTICO",IF(K3849&lt;0,"ATENÇÃO",IF(K3849&lt;=5,"OPORTUNO","MUITO BOM")))</f>
        <v>ATENÇÃO</v>
      </c>
      <c r="M3849">
        <v>4</v>
      </c>
      <c r="N3849">
        <v>94.12</v>
      </c>
      <c r="O3849">
        <v>32.799999999999997</v>
      </c>
      <c r="P3849"/>
    </row>
    <row r="3850" spans="1:16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>
        <v>24</v>
      </c>
      <c r="N3850">
        <v>98.32</v>
      </c>
      <c r="O3850">
        <v>26.858513189448441</v>
      </c>
      <c r="P3850"/>
    </row>
    <row r="3851" spans="1:16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>
        <v>30</v>
      </c>
      <c r="N3851">
        <v>100</v>
      </c>
      <c r="O3851">
        <v>31.135531135531139</v>
      </c>
      <c r="P3851"/>
    </row>
    <row r="3852" spans="1:16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>
        <v>17</v>
      </c>
      <c r="N3852">
        <v>100</v>
      </c>
      <c r="O3852">
        <v>26.36986301369863</v>
      </c>
      <c r="P3852"/>
    </row>
    <row r="3853" spans="1:16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>
        <v>23</v>
      </c>
      <c r="N3853">
        <v>99.21</v>
      </c>
      <c r="O3853">
        <v>25.188916876574311</v>
      </c>
      <c r="P3853"/>
    </row>
    <row r="3854" spans="1:16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>
        <v>10</v>
      </c>
      <c r="N3854">
        <v>100</v>
      </c>
      <c r="O3854">
        <v>32.764505119453922</v>
      </c>
      <c r="P3854"/>
    </row>
    <row r="3855" spans="1:16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>
        <v>14</v>
      </c>
      <c r="N3855">
        <v>98.66</v>
      </c>
      <c r="O3855">
        <v>35.416666666666671</v>
      </c>
      <c r="P3855"/>
    </row>
    <row r="3856" spans="1:16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>
        <v>32</v>
      </c>
      <c r="N3856">
        <v>99.32</v>
      </c>
      <c r="O3856">
        <v>30.648330058939099</v>
      </c>
      <c r="P3856"/>
    </row>
    <row r="3857" spans="1:16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>
        <v>30</v>
      </c>
      <c r="N3857">
        <v>100</v>
      </c>
      <c r="O3857">
        <v>27.803738317757009</v>
      </c>
      <c r="P3857"/>
    </row>
    <row r="3858" spans="1:16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>
        <v>12</v>
      </c>
      <c r="N3858">
        <v>96.74</v>
      </c>
      <c r="O3858">
        <v>28.67647058823529</v>
      </c>
      <c r="P3858"/>
    </row>
    <row r="3859" spans="1:16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>
        <v>30</v>
      </c>
      <c r="N3859">
        <v>98.82</v>
      </c>
      <c r="O3859">
        <v>30.741410488245929</v>
      </c>
      <c r="P3859"/>
    </row>
    <row r="3860" spans="1:16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>
        <v>18</v>
      </c>
      <c r="N3860">
        <v>98.2</v>
      </c>
      <c r="O3860">
        <v>27.170868347338931</v>
      </c>
      <c r="P3860"/>
    </row>
    <row r="3861" spans="1:16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>
        <v>5</v>
      </c>
      <c r="N3861">
        <v>100</v>
      </c>
      <c r="O3861">
        <v>23.134328358208951</v>
      </c>
      <c r="P3861"/>
    </row>
    <row r="3862" spans="1:16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>
        <v>29</v>
      </c>
      <c r="N3862">
        <v>96.3</v>
      </c>
      <c r="O3862">
        <v>32.219570405727922</v>
      </c>
      <c r="P3862"/>
    </row>
    <row r="3863" spans="1:16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>
        <v>20</v>
      </c>
      <c r="N3863">
        <v>93.75</v>
      </c>
      <c r="O3863">
        <v>26.819923371647509</v>
      </c>
      <c r="P3863"/>
    </row>
    <row r="3864" spans="1:16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>
        <v>28</v>
      </c>
      <c r="N3864">
        <v>97.86</v>
      </c>
      <c r="O3864">
        <v>31.018518518518519</v>
      </c>
      <c r="P3864"/>
    </row>
    <row r="3865" spans="1:16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>
        <v>13</v>
      </c>
      <c r="N3865">
        <v>100</v>
      </c>
      <c r="O3865">
        <v>36.594202898550733</v>
      </c>
      <c r="P3865"/>
    </row>
    <row r="3866" spans="1:16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>
        <v>27</v>
      </c>
      <c r="N3866">
        <v>100</v>
      </c>
      <c r="O3866">
        <v>38.653846153846153</v>
      </c>
      <c r="P3866"/>
    </row>
    <row r="3867" spans="1:16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>
        <v>3</v>
      </c>
      <c r="N3867">
        <v>100</v>
      </c>
      <c r="O3867">
        <v>27.368421052631579</v>
      </c>
      <c r="P3867"/>
    </row>
    <row r="3868" spans="1:16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>
        <v>22</v>
      </c>
      <c r="N3868">
        <v>97.83</v>
      </c>
      <c r="O3868">
        <v>28.35164835164835</v>
      </c>
      <c r="P3868"/>
    </row>
    <row r="3869" spans="1:16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>
        <v>32</v>
      </c>
      <c r="N3869">
        <v>99.26</v>
      </c>
      <c r="O3869">
        <v>29.766536964980549</v>
      </c>
      <c r="P3869"/>
    </row>
    <row r="3870" spans="1:16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>
        <v>14</v>
      </c>
      <c r="N3870">
        <v>99.19</v>
      </c>
      <c r="O3870">
        <v>29.462365591397852</v>
      </c>
      <c r="P3870"/>
    </row>
    <row r="3871" spans="1:16" hidden="1" x14ac:dyDescent="0.25">
      <c r="A3871" s="11">
        <v>46167</v>
      </c>
      <c r="B3871" t="s">
        <v>55</v>
      </c>
      <c r="C3871" t="s">
        <v>48</v>
      </c>
      <c r="D3871" s="3">
        <v>21</v>
      </c>
      <c r="E3871" s="3">
        <v>17</v>
      </c>
      <c r="F3871" s="3">
        <v>17.190000000000001</v>
      </c>
      <c r="G3871" s="3">
        <v>0</v>
      </c>
      <c r="H3871" s="3">
        <v>0</v>
      </c>
      <c r="I3871" s="3">
        <v>0</v>
      </c>
      <c r="J3871" s="3">
        <v>0</v>
      </c>
      <c r="K3871" s="3">
        <v>0</v>
      </c>
      <c r="L3871" s="3" t="str">
        <f>IF(K3871&lt;-5,"CRÍTICO",IF(K3871&lt;0,"ATENÇÃO",IF(K3871&lt;=5,"OPORTUNO","MUITO BOM")))</f>
        <v>OPORTUNO</v>
      </c>
      <c r="M3871" s="3">
        <v>17</v>
      </c>
      <c r="N3871" s="3">
        <v>98.94</v>
      </c>
      <c r="O3871" s="3">
        <v>21.270718232044199</v>
      </c>
    </row>
    <row r="3872" spans="1:16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</v>
      </c>
      <c r="N3872">
        <v>100</v>
      </c>
      <c r="O3872">
        <v>28.921568627450981</v>
      </c>
      <c r="P3872"/>
    </row>
    <row r="3873" spans="1:16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>
        <v>31</v>
      </c>
      <c r="N3873">
        <v>99.57</v>
      </c>
      <c r="O3873">
        <v>30.635838150289018</v>
      </c>
      <c r="P3873"/>
    </row>
    <row r="3874" spans="1:16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>
        <v>0</v>
      </c>
      <c r="N3874">
        <v>95.65</v>
      </c>
      <c r="O3874">
        <v>32.432432432432442</v>
      </c>
      <c r="P3874"/>
    </row>
    <row r="3875" spans="1:16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>
        <v>16</v>
      </c>
      <c r="N3875">
        <v>98.81</v>
      </c>
      <c r="O3875">
        <v>26.256983240223459</v>
      </c>
      <c r="P3875"/>
    </row>
    <row r="3876" spans="1:16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>
        <v>0</v>
      </c>
      <c r="N3876">
        <v>0</v>
      </c>
      <c r="O3876">
        <v>0</v>
      </c>
      <c r="P3876"/>
    </row>
    <row r="3877" spans="1:16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>
        <v>15</v>
      </c>
      <c r="N3877">
        <v>97.17</v>
      </c>
      <c r="O3877">
        <v>28.81844380403458</v>
      </c>
      <c r="P3877"/>
    </row>
    <row r="3878" spans="1:16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>
        <v>14</v>
      </c>
      <c r="N3878">
        <v>96.81</v>
      </c>
      <c r="O3878">
        <v>48.018648018648022</v>
      </c>
      <c r="P3878"/>
    </row>
    <row r="3879" spans="1:16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>
        <v>8</v>
      </c>
      <c r="N3879">
        <v>98.15</v>
      </c>
      <c r="O3879">
        <v>27.1551724137931</v>
      </c>
      <c r="P3879"/>
    </row>
    <row r="3880" spans="1:16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>
        <v>26</v>
      </c>
      <c r="N3880">
        <v>99.15</v>
      </c>
      <c r="O3880">
        <v>27.586206896551719</v>
      </c>
      <c r="P3880"/>
    </row>
    <row r="3881" spans="1:16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>
        <v>16</v>
      </c>
      <c r="N3881">
        <v>99.17</v>
      </c>
      <c r="O3881">
        <v>29.75206611570248</v>
      </c>
      <c r="P3881"/>
    </row>
    <row r="3882" spans="1:16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>
        <v>8</v>
      </c>
      <c r="N3882">
        <v>98.73</v>
      </c>
      <c r="O3882">
        <v>28.961748633879779</v>
      </c>
      <c r="P3882"/>
    </row>
    <row r="3883" spans="1:16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>
        <v>28</v>
      </c>
      <c r="N3883">
        <v>88.68</v>
      </c>
      <c r="O3883">
        <v>22.03389830508474</v>
      </c>
      <c r="P3883"/>
    </row>
    <row r="3884" spans="1:16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>
        <v>21</v>
      </c>
      <c r="N3884">
        <v>97.37</v>
      </c>
      <c r="O3884">
        <v>25.76530612244898</v>
      </c>
      <c r="P3884"/>
    </row>
    <row r="3885" spans="1:16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>
        <v>15</v>
      </c>
      <c r="N3885">
        <v>100</v>
      </c>
      <c r="O3885">
        <v>25</v>
      </c>
      <c r="P3885"/>
    </row>
    <row r="3886" spans="1:16" hidden="1" x14ac:dyDescent="0.25">
      <c r="A3886" s="11">
        <v>46122</v>
      </c>
      <c r="B3886" t="s">
        <v>43</v>
      </c>
      <c r="C3886" t="s">
        <v>32</v>
      </c>
      <c r="D3886">
        <v>13</v>
      </c>
      <c r="E3886">
        <v>11</v>
      </c>
      <c r="F3886">
        <v>18.43</v>
      </c>
      <c r="G3886">
        <v>0</v>
      </c>
      <c r="H3886">
        <v>0</v>
      </c>
      <c r="I3886" s="3">
        <f>E3886+G3886+H3886</f>
        <v>11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26</v>
      </c>
      <c r="K3886" s="3">
        <f>I3886-J3886</f>
        <v>-15</v>
      </c>
      <c r="L3886" s="3" t="str">
        <f>IF(K3886&lt;-5,"CRÍTICO",IF(K3886&lt;0,"ATENÇÃO",IF(K3886&lt;=5,"OPORTUNO","MUITO BOM")))</f>
        <v>CRÍTICO</v>
      </c>
      <c r="M3886">
        <v>19</v>
      </c>
      <c r="N3886">
        <v>100</v>
      </c>
      <c r="O3886">
        <v>23.9870340356564</v>
      </c>
      <c r="P3886"/>
    </row>
    <row r="3887" spans="1:16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>
        <v>22</v>
      </c>
      <c r="N3887">
        <v>95.49</v>
      </c>
      <c r="O3887">
        <v>28.370221327967808</v>
      </c>
      <c r="P3887"/>
    </row>
    <row r="3888" spans="1:16" hidden="1" x14ac:dyDescent="0.25">
      <c r="A3888" s="11">
        <v>46122</v>
      </c>
      <c r="B3888" t="s">
        <v>20</v>
      </c>
      <c r="C3888" t="s">
        <v>16</v>
      </c>
      <c r="D3888">
        <v>16</v>
      </c>
      <c r="E3888">
        <v>16</v>
      </c>
      <c r="F3888">
        <v>23.2</v>
      </c>
      <c r="G3888">
        <v>0</v>
      </c>
      <c r="H3888">
        <v>0</v>
      </c>
      <c r="I3888" s="3">
        <f>E3888+G3888+H3888</f>
        <v>16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7</v>
      </c>
      <c r="K3888" s="3">
        <f>I3888-J3888</f>
        <v>9</v>
      </c>
      <c r="L3888" s="3" t="str">
        <f>IF(K3888&lt;-5,"CRÍTICO",IF(K3888&lt;0,"ATENÇÃO",IF(K3888&lt;=5,"OPORTUNO","MUITO BOM")))</f>
        <v>MUITO BOM</v>
      </c>
      <c r="M3888">
        <v>10</v>
      </c>
      <c r="N3888">
        <v>100</v>
      </c>
      <c r="O3888">
        <v>23.77622377622378</v>
      </c>
      <c r="P3888"/>
    </row>
    <row r="3889" spans="1:16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>
        <v>20</v>
      </c>
      <c r="N3889">
        <v>96.15</v>
      </c>
      <c r="O3889">
        <v>24.045801526717561</v>
      </c>
      <c r="P3889"/>
    </row>
    <row r="3890" spans="1:16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>
        <v>16</v>
      </c>
      <c r="N3890">
        <v>99.02</v>
      </c>
      <c r="O3890">
        <v>34.797297297297298</v>
      </c>
      <c r="P3890"/>
    </row>
    <row r="3891" spans="1:16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11</v>
      </c>
      <c r="N3891">
        <v>98.84</v>
      </c>
      <c r="O3891">
        <v>31.868131868131869</v>
      </c>
      <c r="P3891"/>
    </row>
    <row r="3892" spans="1:16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>
        <v>18</v>
      </c>
      <c r="N3892">
        <v>100</v>
      </c>
      <c r="O3892">
        <v>34.666666666666671</v>
      </c>
      <c r="P3892"/>
    </row>
    <row r="3893" spans="1:16" hidden="1" x14ac:dyDescent="0.25">
      <c r="A3893" s="11">
        <v>46122</v>
      </c>
      <c r="B3893" t="s">
        <v>21</v>
      </c>
      <c r="C3893" t="s">
        <v>16</v>
      </c>
      <c r="D3893">
        <v>9</v>
      </c>
      <c r="E3893">
        <v>7</v>
      </c>
      <c r="F3893">
        <v>24.15</v>
      </c>
      <c r="G3893">
        <v>0</v>
      </c>
      <c r="H3893">
        <v>0</v>
      </c>
      <c r="I3893" s="3">
        <f>E3893+G3893+H3893</f>
        <v>7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7</v>
      </c>
      <c r="K3893" s="3">
        <f>I3893-J3893</f>
        <v>0</v>
      </c>
      <c r="L3893" s="3" t="str">
        <f>IF(K3893&lt;-5,"CRÍTICO",IF(K3893&lt;0,"ATENÇÃO",IF(K3893&lt;=5,"OPORTUNO","MUITO BOM")))</f>
        <v>OPORTUNO</v>
      </c>
      <c r="M3893">
        <v>6</v>
      </c>
      <c r="N3893">
        <v>94.12</v>
      </c>
      <c r="O3893">
        <v>32.799999999999997</v>
      </c>
      <c r="P3893"/>
    </row>
    <row r="3894" spans="1:16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>
        <v>19</v>
      </c>
      <c r="N3894">
        <v>98.32</v>
      </c>
      <c r="O3894">
        <v>26.858513189448441</v>
      </c>
      <c r="P3894"/>
    </row>
    <row r="3895" spans="1:16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32</v>
      </c>
      <c r="N3895">
        <v>100</v>
      </c>
      <c r="O3895">
        <v>31.135531135531139</v>
      </c>
      <c r="P3895"/>
    </row>
    <row r="3896" spans="1:16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>
        <v>12</v>
      </c>
      <c r="N3896">
        <v>100</v>
      </c>
      <c r="O3896">
        <v>26.36986301369863</v>
      </c>
      <c r="P3896"/>
    </row>
    <row r="3897" spans="1:16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>
        <v>11</v>
      </c>
      <c r="N3897">
        <v>99.21</v>
      </c>
      <c r="O3897">
        <v>25.188916876574311</v>
      </c>
      <c r="P3897"/>
    </row>
    <row r="3898" spans="1:16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>
        <v>9</v>
      </c>
      <c r="N3898">
        <v>100</v>
      </c>
      <c r="O3898">
        <v>32.764505119453922</v>
      </c>
      <c r="P3898"/>
    </row>
    <row r="3899" spans="1:16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>
        <v>19</v>
      </c>
      <c r="N3899">
        <v>98.66</v>
      </c>
      <c r="O3899">
        <v>35.416666666666671</v>
      </c>
      <c r="P3899"/>
    </row>
    <row r="3900" spans="1:16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>
        <v>20</v>
      </c>
      <c r="N3900">
        <v>99.32</v>
      </c>
      <c r="O3900">
        <v>30.648330058939099</v>
      </c>
      <c r="P3900"/>
    </row>
    <row r="3901" spans="1:16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>
        <v>14</v>
      </c>
      <c r="N3901">
        <v>100</v>
      </c>
      <c r="O3901">
        <v>27.803738317757009</v>
      </c>
      <c r="P3901"/>
    </row>
    <row r="3902" spans="1:16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>
        <v>22</v>
      </c>
      <c r="N3902">
        <v>96.74</v>
      </c>
      <c r="O3902">
        <v>28.67647058823529</v>
      </c>
      <c r="P3902"/>
    </row>
    <row r="3903" spans="1:16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>
        <v>23</v>
      </c>
      <c r="N3903">
        <v>98.82</v>
      </c>
      <c r="O3903">
        <v>30.741410488245929</v>
      </c>
      <c r="P3903"/>
    </row>
    <row r="3904" spans="1:16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>
        <v>11</v>
      </c>
      <c r="N3904">
        <v>98.2</v>
      </c>
      <c r="O3904">
        <v>27.170868347338931</v>
      </c>
      <c r="P3904"/>
    </row>
    <row r="3905" spans="1:16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>
        <v>8</v>
      </c>
      <c r="N3905">
        <v>100</v>
      </c>
      <c r="O3905">
        <v>23.134328358208951</v>
      </c>
      <c r="P3905"/>
    </row>
    <row r="3906" spans="1:16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>
        <v>24</v>
      </c>
      <c r="N3906">
        <v>96.3</v>
      </c>
      <c r="O3906">
        <v>32.219570405727922</v>
      </c>
      <c r="P3906"/>
    </row>
    <row r="3907" spans="1:16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>
        <v>29</v>
      </c>
      <c r="N3907">
        <v>93.75</v>
      </c>
      <c r="O3907">
        <v>26.819923371647509</v>
      </c>
      <c r="P3907"/>
    </row>
    <row r="3908" spans="1:16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>
        <v>17</v>
      </c>
      <c r="N3908">
        <v>97.86</v>
      </c>
      <c r="O3908">
        <v>31.018518518518519</v>
      </c>
      <c r="P3908"/>
    </row>
    <row r="3909" spans="1:16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>
        <v>9</v>
      </c>
      <c r="N3909">
        <v>100</v>
      </c>
      <c r="O3909">
        <v>36.594202898550733</v>
      </c>
      <c r="P3909"/>
    </row>
    <row r="3910" spans="1:16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>
        <v>24</v>
      </c>
      <c r="N3910">
        <v>100</v>
      </c>
      <c r="O3910">
        <v>38.653846153846153</v>
      </c>
      <c r="P3910"/>
    </row>
    <row r="3911" spans="1:16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>
        <v>3</v>
      </c>
      <c r="N3911">
        <v>100</v>
      </c>
      <c r="O3911">
        <v>27.368421052631579</v>
      </c>
      <c r="P3911"/>
    </row>
    <row r="3912" spans="1:16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>
        <v>23</v>
      </c>
      <c r="N3912">
        <v>97.83</v>
      </c>
      <c r="O3912">
        <v>28.35164835164835</v>
      </c>
      <c r="P3912"/>
    </row>
    <row r="3913" spans="1:16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>
        <v>29</v>
      </c>
      <c r="N3913">
        <v>99.26</v>
      </c>
      <c r="O3913">
        <v>29.766536964980549</v>
      </c>
      <c r="P3913"/>
    </row>
    <row r="3914" spans="1:16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>
        <v>15</v>
      </c>
      <c r="N3914">
        <v>99.19</v>
      </c>
      <c r="O3914">
        <v>29.462365591397852</v>
      </c>
      <c r="P3914"/>
    </row>
    <row r="3915" spans="1:16" hidden="1" x14ac:dyDescent="0.25">
      <c r="A3915" s="11">
        <v>46167</v>
      </c>
      <c r="B3915" t="s">
        <v>56</v>
      </c>
      <c r="C3915" t="s">
        <v>48</v>
      </c>
      <c r="D3915" s="3">
        <v>24</v>
      </c>
      <c r="E3915" s="3">
        <v>24</v>
      </c>
      <c r="F3915" s="3">
        <v>20.36</v>
      </c>
      <c r="G3915" s="3">
        <v>0</v>
      </c>
      <c r="H3915" s="3">
        <v>0</v>
      </c>
      <c r="I3915" s="3">
        <v>0</v>
      </c>
      <c r="J3915" s="3">
        <v>0</v>
      </c>
      <c r="K3915" s="3">
        <v>0</v>
      </c>
      <c r="L3915" s="3" t="str">
        <f>IF(K3915&lt;-5,"CRÍTICO",IF(K3915&lt;0,"ATENÇÃO",IF(K3915&lt;=5,"OPORTUNO","MUITO BOM")))</f>
        <v>OPORTUNO</v>
      </c>
      <c r="M3915" s="3">
        <v>18</v>
      </c>
      <c r="N3915" s="3">
        <v>99</v>
      </c>
      <c r="O3915" s="3">
        <v>22.010869565217391</v>
      </c>
    </row>
    <row r="3916" spans="1:16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0</v>
      </c>
      <c r="N3916">
        <v>100</v>
      </c>
      <c r="O3916">
        <v>28.921568627450981</v>
      </c>
      <c r="P3916"/>
    </row>
    <row r="3917" spans="1:16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>
        <v>37</v>
      </c>
      <c r="N3917">
        <v>99.57</v>
      </c>
      <c r="O3917">
        <v>30.635838150289018</v>
      </c>
      <c r="P3917"/>
    </row>
    <row r="3918" spans="1:16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>
        <v>0</v>
      </c>
      <c r="N3918">
        <v>95.65</v>
      </c>
      <c r="O3918">
        <v>32.432432432432442</v>
      </c>
      <c r="P3918"/>
    </row>
    <row r="3919" spans="1:16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>
        <v>18</v>
      </c>
      <c r="N3919">
        <v>98.81</v>
      </c>
      <c r="O3919">
        <v>26.256983240223459</v>
      </c>
      <c r="P3919"/>
    </row>
    <row r="3920" spans="1:16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>
        <v>0</v>
      </c>
      <c r="N3920">
        <v>0</v>
      </c>
      <c r="O3920">
        <v>0</v>
      </c>
      <c r="P3920"/>
    </row>
    <row r="3921" spans="1:16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>
        <v>24</v>
      </c>
      <c r="N3921">
        <v>97.17</v>
      </c>
      <c r="O3921">
        <v>28.81844380403458</v>
      </c>
      <c r="P3921"/>
    </row>
    <row r="3922" spans="1:16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>
        <v>18</v>
      </c>
      <c r="N3922">
        <v>96.81</v>
      </c>
      <c r="O3922">
        <v>48.018648018648022</v>
      </c>
      <c r="P3922"/>
    </row>
    <row r="3923" spans="1:16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>
        <v>14</v>
      </c>
      <c r="N3923">
        <v>98.15</v>
      </c>
      <c r="O3923">
        <v>27.1551724137931</v>
      </c>
      <c r="P3923"/>
    </row>
    <row r="3924" spans="1:16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>
        <v>17</v>
      </c>
      <c r="N3924">
        <v>99.15</v>
      </c>
      <c r="O3924">
        <v>27.586206896551719</v>
      </c>
      <c r="P3924"/>
    </row>
    <row r="3925" spans="1:16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>
        <v>17</v>
      </c>
      <c r="N3925">
        <v>99.17</v>
      </c>
      <c r="O3925">
        <v>29.75206611570248</v>
      </c>
      <c r="P3925"/>
    </row>
    <row r="3926" spans="1:16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>
        <v>0</v>
      </c>
      <c r="N3926">
        <v>98.73</v>
      </c>
      <c r="O3926">
        <v>28.961748633879779</v>
      </c>
      <c r="P3926"/>
    </row>
    <row r="3927" spans="1:16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>
        <v>25</v>
      </c>
      <c r="N3927">
        <v>88.68</v>
      </c>
      <c r="O3927">
        <v>22.03389830508474</v>
      </c>
      <c r="P3927"/>
    </row>
    <row r="3928" spans="1:16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>
        <v>24</v>
      </c>
      <c r="N3928">
        <v>97.37</v>
      </c>
      <c r="O3928">
        <v>25.76530612244898</v>
      </c>
      <c r="P3928"/>
    </row>
    <row r="3929" spans="1:16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>
        <v>0</v>
      </c>
      <c r="N3929">
        <v>100</v>
      </c>
      <c r="O3929">
        <v>25</v>
      </c>
      <c r="P3929"/>
    </row>
    <row r="3930" spans="1:16" hidden="1" x14ac:dyDescent="0.25">
      <c r="A3930" s="11">
        <v>46125</v>
      </c>
      <c r="B3930" t="s">
        <v>43</v>
      </c>
      <c r="C3930" t="s">
        <v>32</v>
      </c>
      <c r="D3930">
        <v>23</v>
      </c>
      <c r="E3930">
        <v>21</v>
      </c>
      <c r="F3930">
        <v>18.440000000000001</v>
      </c>
      <c r="G3930">
        <v>0</v>
      </c>
      <c r="H3930">
        <v>0</v>
      </c>
      <c r="I3930" s="3">
        <f>E3930+G3930+H3930</f>
        <v>21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25</v>
      </c>
      <c r="K3930" s="3">
        <f>I3930-J3930</f>
        <v>-4</v>
      </c>
      <c r="L3930" s="3" t="str">
        <f>IF(K3930&lt;-5,"CRÍTICO",IF(K3930&lt;0,"ATENÇÃO",IF(K3930&lt;=5,"OPORTUNO","MUITO BOM")))</f>
        <v>ATENÇÃO</v>
      </c>
      <c r="M3930">
        <v>19</v>
      </c>
      <c r="N3930">
        <v>100</v>
      </c>
      <c r="O3930">
        <v>23.9870340356564</v>
      </c>
      <c r="P3930"/>
    </row>
    <row r="3931" spans="1:16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>
        <v>29</v>
      </c>
      <c r="N3931">
        <v>95.49</v>
      </c>
      <c r="O3931">
        <v>28.370221327967808</v>
      </c>
      <c r="P3931"/>
    </row>
    <row r="3932" spans="1:16" hidden="1" x14ac:dyDescent="0.25">
      <c r="A3932" s="11">
        <v>46125</v>
      </c>
      <c r="B3932" t="s">
        <v>20</v>
      </c>
      <c r="C3932" t="s">
        <v>16</v>
      </c>
      <c r="D3932">
        <v>13</v>
      </c>
      <c r="E3932">
        <v>13</v>
      </c>
      <c r="F3932">
        <v>28.58</v>
      </c>
      <c r="G3932">
        <v>0</v>
      </c>
      <c r="H3932">
        <v>0</v>
      </c>
      <c r="I3932" s="3">
        <f>E3932+G3932+H3932</f>
        <v>13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7</v>
      </c>
      <c r="K3932" s="3">
        <f>I3932-J3932</f>
        <v>6</v>
      </c>
      <c r="L3932" s="3" t="str">
        <f>IF(K3932&lt;-5,"CRÍTICO",IF(K3932&lt;0,"ATENÇÃO",IF(K3932&lt;=5,"OPORTUNO","MUITO BOM")))</f>
        <v>MUITO BOM</v>
      </c>
      <c r="M3932">
        <v>7</v>
      </c>
      <c r="N3932">
        <v>100</v>
      </c>
      <c r="O3932">
        <v>23.77622377622378</v>
      </c>
      <c r="P3932"/>
    </row>
    <row r="3933" spans="1:16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>
        <v>17</v>
      </c>
      <c r="N3933">
        <v>96.15</v>
      </c>
      <c r="O3933">
        <v>24.045801526717561</v>
      </c>
      <c r="P3933"/>
    </row>
    <row r="3934" spans="1:16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>
        <v>20</v>
      </c>
      <c r="N3934">
        <v>99.02</v>
      </c>
      <c r="O3934">
        <v>34.797297297297298</v>
      </c>
      <c r="P3934"/>
    </row>
    <row r="3935" spans="1:16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>
        <v>13</v>
      </c>
      <c r="N3935">
        <v>98.84</v>
      </c>
      <c r="O3935">
        <v>31.868131868131869</v>
      </c>
      <c r="P3935"/>
    </row>
    <row r="3936" spans="1:16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>
        <v>18</v>
      </c>
      <c r="N3936">
        <v>100</v>
      </c>
      <c r="O3936">
        <v>34.666666666666671</v>
      </c>
      <c r="P3936"/>
    </row>
    <row r="3937" spans="1:16" hidden="1" x14ac:dyDescent="0.25">
      <c r="A3937" s="11">
        <v>46125</v>
      </c>
      <c r="B3937" t="s">
        <v>21</v>
      </c>
      <c r="C3937" t="s">
        <v>16</v>
      </c>
      <c r="D3937">
        <v>3</v>
      </c>
      <c r="E3937">
        <v>3</v>
      </c>
      <c r="F3937">
        <v>50.24</v>
      </c>
      <c r="G3937">
        <v>0</v>
      </c>
      <c r="H3937">
        <v>0</v>
      </c>
      <c r="I3937" s="3">
        <f>E3937+G3937+H3937</f>
        <v>3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7</v>
      </c>
      <c r="K3937" s="3">
        <f>I3937-J3937</f>
        <v>-4</v>
      </c>
      <c r="L3937" s="3" t="str">
        <f>IF(K3937&lt;-5,"CRÍTICO",IF(K3937&lt;0,"ATENÇÃO",IF(K3937&lt;=5,"OPORTUNO","MUITO BOM")))</f>
        <v>ATENÇÃO</v>
      </c>
      <c r="M3937">
        <v>3</v>
      </c>
      <c r="N3937">
        <v>94.12</v>
      </c>
      <c r="O3937">
        <v>32.799999999999997</v>
      </c>
      <c r="P3937"/>
    </row>
    <row r="3938" spans="1:16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>
        <v>18</v>
      </c>
      <c r="N3938">
        <v>98.32</v>
      </c>
      <c r="O3938">
        <v>26.858513189448441</v>
      </c>
      <c r="P3938"/>
    </row>
    <row r="3939" spans="1:16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>
        <v>16</v>
      </c>
      <c r="N3939">
        <v>100</v>
      </c>
      <c r="O3939">
        <v>31.135531135531139</v>
      </c>
      <c r="P3939"/>
    </row>
    <row r="3940" spans="1:16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>
        <v>12</v>
      </c>
      <c r="N3940">
        <v>100</v>
      </c>
      <c r="O3940">
        <v>26.36986301369863</v>
      </c>
      <c r="P3940"/>
    </row>
    <row r="3941" spans="1:16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>
        <v>18</v>
      </c>
      <c r="N3941">
        <v>99.21</v>
      </c>
      <c r="O3941">
        <v>25.188916876574311</v>
      </c>
      <c r="P3941"/>
    </row>
    <row r="3942" spans="1:16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>
        <v>8</v>
      </c>
      <c r="N3942">
        <v>100</v>
      </c>
      <c r="O3942">
        <v>32.764505119453922</v>
      </c>
      <c r="P3942"/>
    </row>
    <row r="3943" spans="1:16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>
        <v>19</v>
      </c>
      <c r="N3943">
        <v>98.66</v>
      </c>
      <c r="O3943">
        <v>35.416666666666671</v>
      </c>
      <c r="P3943"/>
    </row>
    <row r="3944" spans="1:16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>
        <v>19</v>
      </c>
      <c r="N3944">
        <v>99.32</v>
      </c>
      <c r="O3944">
        <v>30.648330058939099</v>
      </c>
      <c r="P3944"/>
    </row>
    <row r="3945" spans="1:16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>
        <v>30</v>
      </c>
      <c r="N3945">
        <v>100</v>
      </c>
      <c r="O3945">
        <v>27.803738317757009</v>
      </c>
      <c r="P3945"/>
    </row>
    <row r="3946" spans="1:16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>
        <v>30</v>
      </c>
      <c r="N3946">
        <v>96.74</v>
      </c>
      <c r="O3946">
        <v>28.67647058823529</v>
      </c>
      <c r="P3946"/>
    </row>
    <row r="3947" spans="1:16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>
        <v>35</v>
      </c>
      <c r="N3947">
        <v>98.82</v>
      </c>
      <c r="O3947">
        <v>30.741410488245929</v>
      </c>
      <c r="P3947"/>
    </row>
    <row r="3948" spans="1:16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>
        <v>17</v>
      </c>
      <c r="N3948">
        <v>98.2</v>
      </c>
      <c r="O3948">
        <v>27.170868347338931</v>
      </c>
      <c r="P3948"/>
    </row>
    <row r="3949" spans="1:16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>
        <v>5</v>
      </c>
      <c r="N3949">
        <v>100</v>
      </c>
      <c r="O3949">
        <v>23.134328358208951</v>
      </c>
      <c r="P3949"/>
    </row>
    <row r="3950" spans="1:16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>
        <v>23</v>
      </c>
      <c r="N3950">
        <v>96.3</v>
      </c>
      <c r="O3950">
        <v>32.219570405727922</v>
      </c>
      <c r="P3950"/>
    </row>
    <row r="3951" spans="1:16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>
        <v>36</v>
      </c>
      <c r="N3951">
        <v>93.75</v>
      </c>
      <c r="O3951">
        <v>26.819923371647509</v>
      </c>
      <c r="P3951"/>
    </row>
    <row r="3952" spans="1:16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>
        <v>20</v>
      </c>
      <c r="N3952">
        <v>97.86</v>
      </c>
      <c r="O3952">
        <v>31.018518518518519</v>
      </c>
      <c r="P3952"/>
    </row>
    <row r="3953" spans="1:16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>
        <v>15</v>
      </c>
      <c r="N3953">
        <v>100</v>
      </c>
      <c r="O3953">
        <v>36.594202898550733</v>
      </c>
      <c r="P3953"/>
    </row>
    <row r="3954" spans="1:16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>
        <v>23</v>
      </c>
      <c r="N3954">
        <v>100</v>
      </c>
      <c r="O3954">
        <v>38.653846153846153</v>
      </c>
      <c r="P3954"/>
    </row>
    <row r="3955" spans="1:16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>
        <v>6</v>
      </c>
      <c r="N3955">
        <v>100</v>
      </c>
      <c r="O3955">
        <v>27.368421052631579</v>
      </c>
      <c r="P3955"/>
    </row>
    <row r="3956" spans="1:16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>
        <v>16</v>
      </c>
      <c r="N3956">
        <v>97.83</v>
      </c>
      <c r="O3956">
        <v>28.35164835164835</v>
      </c>
      <c r="P3956"/>
    </row>
    <row r="3957" spans="1:16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>
        <v>31</v>
      </c>
      <c r="N3957">
        <v>99.26</v>
      </c>
      <c r="O3957">
        <v>29.766536964980549</v>
      </c>
      <c r="P3957"/>
    </row>
    <row r="3958" spans="1:16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>
        <v>27</v>
      </c>
      <c r="N3958">
        <v>99.19</v>
      </c>
      <c r="O3958">
        <v>29.462365591397852</v>
      </c>
      <c r="P3958"/>
    </row>
    <row r="3959" spans="1:16" hidden="1" x14ac:dyDescent="0.25">
      <c r="A3959" s="11">
        <v>46167</v>
      </c>
      <c r="B3959" t="s">
        <v>57</v>
      </c>
      <c r="C3959" t="s">
        <v>48</v>
      </c>
      <c r="D3959" s="3">
        <v>19</v>
      </c>
      <c r="E3959" s="3">
        <v>15</v>
      </c>
      <c r="F3959" s="3">
        <v>24.06</v>
      </c>
      <c r="G3959" s="3">
        <v>0</v>
      </c>
      <c r="H3959" s="3">
        <v>0</v>
      </c>
      <c r="I3959" s="3">
        <v>0</v>
      </c>
      <c r="J3959" s="3">
        <v>0</v>
      </c>
      <c r="K3959" s="3">
        <v>0</v>
      </c>
      <c r="L3959" s="3" t="str">
        <f>IF(K3959&lt;-5,"CRÍTICO",IF(K3959&lt;0,"ATENÇÃO",IF(K3959&lt;=5,"OPORTUNO","MUITO BOM")))</f>
        <v>OPORTUNO</v>
      </c>
      <c r="M3959" s="3">
        <v>16</v>
      </c>
      <c r="N3959" s="3">
        <v>100</v>
      </c>
      <c r="O3959" s="3">
        <v>25</v>
      </c>
    </row>
    <row r="3960" spans="1:16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0</v>
      </c>
      <c r="N3960">
        <v>100</v>
      </c>
      <c r="O3960">
        <v>28.921568627450981</v>
      </c>
      <c r="P3960"/>
    </row>
    <row r="3961" spans="1:16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>
        <v>33</v>
      </c>
      <c r="N3961">
        <v>99.57</v>
      </c>
      <c r="O3961">
        <v>30.635838150289018</v>
      </c>
      <c r="P3961"/>
    </row>
    <row r="3962" spans="1:16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>
        <v>0</v>
      </c>
      <c r="N3962">
        <v>95.65</v>
      </c>
      <c r="O3962">
        <v>32.432432432432442</v>
      </c>
      <c r="P3962"/>
    </row>
    <row r="3963" spans="1:16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>
        <v>10</v>
      </c>
      <c r="N3963">
        <v>98.81</v>
      </c>
      <c r="O3963">
        <v>26.256983240223459</v>
      </c>
      <c r="P3963"/>
    </row>
    <row r="3964" spans="1:16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>
        <v>0</v>
      </c>
      <c r="N3964">
        <v>0</v>
      </c>
      <c r="O3964">
        <v>0</v>
      </c>
      <c r="P3964"/>
    </row>
    <row r="3965" spans="1:16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>
        <v>21</v>
      </c>
      <c r="N3965">
        <v>97.17</v>
      </c>
      <c r="O3965">
        <v>28.81844380403458</v>
      </c>
      <c r="P3965"/>
    </row>
    <row r="3966" spans="1:16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>
        <v>23</v>
      </c>
      <c r="N3966">
        <v>96.81</v>
      </c>
      <c r="O3966">
        <v>48.018648018648022</v>
      </c>
      <c r="P3966"/>
    </row>
    <row r="3967" spans="1:16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>
        <v>10</v>
      </c>
      <c r="N3967">
        <v>98.15</v>
      </c>
      <c r="O3967">
        <v>27.1551724137931</v>
      </c>
      <c r="P3967"/>
    </row>
    <row r="3968" spans="1:16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25</v>
      </c>
      <c r="N3968">
        <v>99.15</v>
      </c>
      <c r="O3968">
        <v>27.586206896551719</v>
      </c>
      <c r="P3968"/>
    </row>
    <row r="3969" spans="1:16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>
        <v>16</v>
      </c>
      <c r="N3969">
        <v>99.17</v>
      </c>
      <c r="O3969">
        <v>29.75206611570248</v>
      </c>
      <c r="P3969"/>
    </row>
    <row r="3970" spans="1:16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>
        <v>0</v>
      </c>
      <c r="N3970">
        <v>98.73</v>
      </c>
      <c r="O3970">
        <v>28.961748633879779</v>
      </c>
      <c r="P3970"/>
    </row>
    <row r="3971" spans="1:16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>
        <v>20</v>
      </c>
      <c r="N3971">
        <v>88.68</v>
      </c>
      <c r="O3971">
        <v>22.03389830508474</v>
      </c>
      <c r="P3971"/>
    </row>
    <row r="3972" spans="1:16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>
        <v>18</v>
      </c>
      <c r="N3972">
        <v>97.37</v>
      </c>
      <c r="O3972">
        <v>25.76530612244898</v>
      </c>
      <c r="P3972"/>
    </row>
    <row r="3973" spans="1:16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>
        <v>7</v>
      </c>
      <c r="N3973">
        <v>100</v>
      </c>
      <c r="O3973">
        <v>25</v>
      </c>
      <c r="P3973"/>
    </row>
    <row r="3974" spans="1:16" hidden="1" x14ac:dyDescent="0.25">
      <c r="A3974" s="11">
        <v>46126</v>
      </c>
      <c r="B3974" t="s">
        <v>43</v>
      </c>
      <c r="C3974" t="s">
        <v>32</v>
      </c>
      <c r="D3974">
        <v>31</v>
      </c>
      <c r="E3974">
        <v>25</v>
      </c>
      <c r="F3974">
        <v>13.21</v>
      </c>
      <c r="G3974">
        <v>0</v>
      </c>
      <c r="H3974">
        <v>0</v>
      </c>
      <c r="I3974" s="3">
        <f>E3974+G3974+H3974</f>
        <v>25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30</v>
      </c>
      <c r="K3974" s="3">
        <f>I3974-J3974</f>
        <v>-5</v>
      </c>
      <c r="L3974" s="3" t="str">
        <f>IF(K3974&lt;-5,"CRÍTICO",IF(K3974&lt;0,"ATENÇÃO",IF(K3974&lt;=5,"OPORTUNO","MUITO BOM")))</f>
        <v>ATENÇÃO</v>
      </c>
      <c r="M3974">
        <v>31</v>
      </c>
      <c r="N3974">
        <v>100</v>
      </c>
      <c r="O3974">
        <v>23.9870340356564</v>
      </c>
      <c r="P3974"/>
    </row>
    <row r="3975" spans="1:16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>
        <v>3</v>
      </c>
      <c r="N3975">
        <v>95.49</v>
      </c>
      <c r="O3975">
        <v>28.370221327967808</v>
      </c>
      <c r="P3975"/>
    </row>
    <row r="3976" spans="1:16" hidden="1" x14ac:dyDescent="0.25">
      <c r="A3976" s="11">
        <v>46126</v>
      </c>
      <c r="B3976" t="s">
        <v>20</v>
      </c>
      <c r="C3976" t="s">
        <v>16</v>
      </c>
      <c r="D3976">
        <v>0</v>
      </c>
      <c r="E3976">
        <v>0</v>
      </c>
      <c r="F3976">
        <v>0</v>
      </c>
      <c r="G3976">
        <v>0</v>
      </c>
      <c r="H3976">
        <v>0</v>
      </c>
      <c r="I3976" s="3">
        <v>0</v>
      </c>
      <c r="J3976" s="3">
        <v>0</v>
      </c>
      <c r="K3976" s="3">
        <v>0</v>
      </c>
      <c r="L3976" s="3" t="str">
        <f>IF(K3976&lt;-5,"CRÍTICO",IF(K3976&lt;0,"ATENÇÃO",IF(K3976&lt;=5,"OPORTUNO","MUITO BOM")))</f>
        <v>OPORTUNO</v>
      </c>
      <c r="M3976">
        <v>0</v>
      </c>
      <c r="N3976">
        <v>100</v>
      </c>
      <c r="O3976">
        <v>23.77622377622378</v>
      </c>
      <c r="P3976"/>
    </row>
    <row r="3977" spans="1:16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>
        <v>20</v>
      </c>
      <c r="N3977">
        <v>96.15</v>
      </c>
      <c r="O3977">
        <v>24.045801526717561</v>
      </c>
      <c r="P3977"/>
    </row>
    <row r="3978" spans="1:16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>
        <v>22</v>
      </c>
      <c r="N3978">
        <v>99.02</v>
      </c>
      <c r="O3978">
        <v>34.797297297297298</v>
      </c>
      <c r="P3978"/>
    </row>
    <row r="3979" spans="1:16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>
        <v>19</v>
      </c>
      <c r="N3979">
        <v>98.84</v>
      </c>
      <c r="O3979">
        <v>31.868131868131869</v>
      </c>
      <c r="P3979"/>
    </row>
    <row r="3980" spans="1:16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>
        <v>15</v>
      </c>
      <c r="N3980">
        <v>100</v>
      </c>
      <c r="O3980">
        <v>34.666666666666671</v>
      </c>
      <c r="P3980"/>
    </row>
    <row r="3981" spans="1:16" hidden="1" x14ac:dyDescent="0.25">
      <c r="A3981" s="11">
        <v>46126</v>
      </c>
      <c r="B3981" t="s">
        <v>21</v>
      </c>
      <c r="C3981" t="s">
        <v>16</v>
      </c>
      <c r="D3981">
        <v>0</v>
      </c>
      <c r="E3981">
        <v>0</v>
      </c>
      <c r="F3981">
        <v>0</v>
      </c>
      <c r="G3981">
        <v>0</v>
      </c>
      <c r="H3981">
        <v>0</v>
      </c>
      <c r="I3981" s="3">
        <v>0</v>
      </c>
      <c r="J3981" s="3">
        <v>0</v>
      </c>
      <c r="K3981" s="3">
        <v>0</v>
      </c>
      <c r="L3981" s="3" t="str">
        <f>IF(K3981&lt;-5,"CRÍTICO",IF(K3981&lt;0,"ATENÇÃO",IF(K3981&lt;=5,"OPORTUNO","MUITO BOM")))</f>
        <v>OPORTUNO</v>
      </c>
      <c r="M3981">
        <v>0</v>
      </c>
      <c r="N3981">
        <v>94.12</v>
      </c>
      <c r="O3981">
        <v>32.799999999999997</v>
      </c>
      <c r="P3981"/>
    </row>
    <row r="3982" spans="1:16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>
        <v>26</v>
      </c>
      <c r="N3982">
        <v>98.32</v>
      </c>
      <c r="O3982">
        <v>26.858513189448441</v>
      </c>
      <c r="P3982"/>
    </row>
    <row r="3983" spans="1:16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>
        <v>29</v>
      </c>
      <c r="N3983">
        <v>100</v>
      </c>
      <c r="O3983">
        <v>31.135531135531139</v>
      </c>
      <c r="P3983"/>
    </row>
    <row r="3984" spans="1:16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>
        <v>17</v>
      </c>
      <c r="N3984">
        <v>100</v>
      </c>
      <c r="O3984">
        <v>26.36986301369863</v>
      </c>
      <c r="P3984"/>
    </row>
    <row r="3985" spans="1:16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>
        <v>21</v>
      </c>
      <c r="N3985">
        <v>99.21</v>
      </c>
      <c r="O3985">
        <v>25.188916876574311</v>
      </c>
      <c r="P3985"/>
    </row>
    <row r="3986" spans="1:16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>
        <v>12</v>
      </c>
      <c r="N3986">
        <v>100</v>
      </c>
      <c r="O3986">
        <v>32.764505119453922</v>
      </c>
      <c r="P3986"/>
    </row>
    <row r="3987" spans="1:16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>
        <v>30</v>
      </c>
      <c r="N3987">
        <v>98.66</v>
      </c>
      <c r="O3987">
        <v>35.416666666666671</v>
      </c>
      <c r="P3987"/>
    </row>
    <row r="3988" spans="1:16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>
        <v>32</v>
      </c>
      <c r="N3988">
        <v>99.32</v>
      </c>
      <c r="O3988">
        <v>30.648330058939099</v>
      </c>
      <c r="P3988"/>
    </row>
    <row r="3989" spans="1:16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>
        <v>29</v>
      </c>
      <c r="N3989">
        <v>100</v>
      </c>
      <c r="O3989">
        <v>27.803738317757009</v>
      </c>
      <c r="P3989"/>
    </row>
    <row r="3990" spans="1:16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>
        <v>30</v>
      </c>
      <c r="N3990">
        <v>96.74</v>
      </c>
      <c r="O3990">
        <v>28.67647058823529</v>
      </c>
      <c r="P3990"/>
    </row>
    <row r="3991" spans="1:16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>
        <v>37</v>
      </c>
      <c r="N3991">
        <v>98.82</v>
      </c>
      <c r="O3991">
        <v>30.741410488245929</v>
      </c>
      <c r="P3991"/>
    </row>
    <row r="3992" spans="1:16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>
        <v>17</v>
      </c>
      <c r="N3992">
        <v>98.2</v>
      </c>
      <c r="O3992">
        <v>27.170868347338931</v>
      </c>
      <c r="P3992"/>
    </row>
    <row r="3993" spans="1:16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>
        <v>6</v>
      </c>
      <c r="N3993">
        <v>100</v>
      </c>
      <c r="O3993">
        <v>23.134328358208951</v>
      </c>
      <c r="P3993"/>
    </row>
    <row r="3994" spans="1:16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>
        <v>24</v>
      </c>
      <c r="N3994">
        <v>96.3</v>
      </c>
      <c r="O3994">
        <v>32.219570405727922</v>
      </c>
      <c r="P3994"/>
    </row>
    <row r="3995" spans="1:16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>
        <v>39</v>
      </c>
      <c r="N3995">
        <v>93.75</v>
      </c>
      <c r="O3995">
        <v>26.819923371647509</v>
      </c>
      <c r="P3995"/>
    </row>
    <row r="3996" spans="1:16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>
        <v>23</v>
      </c>
      <c r="N3996">
        <v>97.86</v>
      </c>
      <c r="O3996">
        <v>31.018518518518519</v>
      </c>
      <c r="P3996"/>
    </row>
    <row r="3997" spans="1:16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>
        <v>16</v>
      </c>
      <c r="N3997">
        <v>100</v>
      </c>
      <c r="O3997">
        <v>36.594202898550733</v>
      </c>
      <c r="P3997"/>
    </row>
    <row r="3998" spans="1:16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>
        <v>32</v>
      </c>
      <c r="N3998">
        <v>100</v>
      </c>
      <c r="O3998">
        <v>38.653846153846153</v>
      </c>
      <c r="P3998"/>
    </row>
    <row r="3999" spans="1:16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>
        <v>6</v>
      </c>
      <c r="N3999">
        <v>100</v>
      </c>
      <c r="O3999">
        <v>27.368421052631579</v>
      </c>
      <c r="P3999"/>
    </row>
    <row r="4000" spans="1:16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>
        <v>20</v>
      </c>
      <c r="N4000">
        <v>97.83</v>
      </c>
      <c r="O4000">
        <v>28.35164835164835</v>
      </c>
      <c r="P4000"/>
    </row>
    <row r="4001" spans="1:16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>
        <v>28</v>
      </c>
      <c r="N4001">
        <v>99.26</v>
      </c>
      <c r="O4001">
        <v>29.766536964980549</v>
      </c>
      <c r="P4001"/>
    </row>
    <row r="4002" spans="1:16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>
        <v>27</v>
      </c>
      <c r="N4002">
        <v>99.19</v>
      </c>
      <c r="O4002">
        <v>29.462365591397852</v>
      </c>
      <c r="P4002"/>
    </row>
    <row r="4003" spans="1:16" hidden="1" x14ac:dyDescent="0.25">
      <c r="A4003" s="11">
        <v>46167</v>
      </c>
      <c r="B4003" t="s">
        <v>58</v>
      </c>
      <c r="C4003" t="s">
        <v>48</v>
      </c>
      <c r="D4003" s="3">
        <v>0</v>
      </c>
      <c r="E4003" s="3">
        <v>0</v>
      </c>
      <c r="F4003" s="3">
        <v>0</v>
      </c>
      <c r="G4003" s="3">
        <v>0</v>
      </c>
      <c r="H4003" s="3">
        <v>0</v>
      </c>
      <c r="I4003" s="3">
        <v>0</v>
      </c>
      <c r="J4003" s="3">
        <v>0</v>
      </c>
      <c r="K4003" s="3">
        <v>0</v>
      </c>
      <c r="L4003" s="3" t="str">
        <f>IF(K4003&lt;-5,"CRÍTICO",IF(K4003&lt;0,"ATENÇÃO",IF(K4003&lt;=5,"OPORTUNO","MUITO BOM")))</f>
        <v>OPORTUNO</v>
      </c>
      <c r="M4003" s="3">
        <v>0</v>
      </c>
      <c r="N4003" s="3">
        <v>100</v>
      </c>
      <c r="O4003" s="3">
        <v>20.183486238532112</v>
      </c>
    </row>
    <row r="4004" spans="1:16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28.921568627450981</v>
      </c>
      <c r="P4004"/>
    </row>
    <row r="4005" spans="1:16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>
        <v>37</v>
      </c>
      <c r="N4005">
        <v>99.57</v>
      </c>
      <c r="O4005">
        <v>30.635838150289018</v>
      </c>
      <c r="P4005"/>
    </row>
    <row r="4006" spans="1:16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>
        <v>0</v>
      </c>
      <c r="N4006">
        <v>95.65</v>
      </c>
      <c r="O4006">
        <v>32.432432432432442</v>
      </c>
      <c r="P4006"/>
    </row>
    <row r="4007" spans="1:16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>
        <v>23</v>
      </c>
      <c r="N4007">
        <v>98.81</v>
      </c>
      <c r="O4007">
        <v>26.256983240223459</v>
      </c>
      <c r="P4007"/>
    </row>
    <row r="4008" spans="1:16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>
        <v>0</v>
      </c>
      <c r="N4008">
        <v>0</v>
      </c>
      <c r="O4008">
        <v>0</v>
      </c>
      <c r="P4008"/>
    </row>
    <row r="4009" spans="1:16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>
        <v>23</v>
      </c>
      <c r="N4009">
        <v>97.17</v>
      </c>
      <c r="O4009">
        <v>28.81844380403458</v>
      </c>
      <c r="P4009"/>
    </row>
    <row r="4010" spans="1:16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>
        <v>44</v>
      </c>
      <c r="N4010">
        <v>96.81</v>
      </c>
      <c r="O4010">
        <v>48.018648018648022</v>
      </c>
      <c r="P4010"/>
    </row>
    <row r="4011" spans="1:16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>
        <v>12</v>
      </c>
      <c r="N4011">
        <v>98.15</v>
      </c>
      <c r="O4011">
        <v>27.1551724137931</v>
      </c>
      <c r="P4011"/>
    </row>
    <row r="4012" spans="1:16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>
        <v>25</v>
      </c>
      <c r="N4012">
        <v>99.15</v>
      </c>
      <c r="O4012">
        <v>27.586206896551719</v>
      </c>
      <c r="P4012"/>
    </row>
    <row r="4013" spans="1:16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>
        <v>32</v>
      </c>
      <c r="N4013">
        <v>99.17</v>
      </c>
      <c r="O4013">
        <v>29.75206611570248</v>
      </c>
      <c r="P4013"/>
    </row>
    <row r="4014" spans="1:16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>
        <v>0</v>
      </c>
      <c r="N4014">
        <v>98.73</v>
      </c>
      <c r="O4014">
        <v>28.961748633879779</v>
      </c>
      <c r="P4014"/>
    </row>
    <row r="4015" spans="1:16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>
        <v>27</v>
      </c>
      <c r="N4015">
        <v>88.68</v>
      </c>
      <c r="O4015">
        <v>22.03389830508474</v>
      </c>
      <c r="P4015"/>
    </row>
    <row r="4016" spans="1:16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>
        <v>17</v>
      </c>
      <c r="N4016">
        <v>97.37</v>
      </c>
      <c r="O4016">
        <v>25.76530612244898</v>
      </c>
      <c r="P4016"/>
    </row>
    <row r="4017" spans="1:16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>
        <v>6</v>
      </c>
      <c r="N4017">
        <v>100</v>
      </c>
      <c r="O4017">
        <v>25</v>
      </c>
      <c r="P4017"/>
    </row>
    <row r="4018" spans="1:16" hidden="1" x14ac:dyDescent="0.25">
      <c r="A4018" s="11">
        <v>46127</v>
      </c>
      <c r="B4018" t="s">
        <v>43</v>
      </c>
      <c r="C4018" t="s">
        <v>32</v>
      </c>
      <c r="D4018">
        <v>30</v>
      </c>
      <c r="E4018">
        <v>28</v>
      </c>
      <c r="F4018">
        <v>13.55</v>
      </c>
      <c r="G4018">
        <v>0</v>
      </c>
      <c r="H4018">
        <v>0</v>
      </c>
      <c r="I4018" s="3">
        <f>E4018+G4018+H4018</f>
        <v>28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32</v>
      </c>
      <c r="K4018" s="3">
        <f>I4018-J4018</f>
        <v>-4</v>
      </c>
      <c r="L4018" s="3" t="str">
        <f>IF(K4018&lt;-5,"CRÍTICO",IF(K4018&lt;0,"ATENÇÃO",IF(K4018&lt;=5,"OPORTUNO","MUITO BOM")))</f>
        <v>ATENÇÃO</v>
      </c>
      <c r="M4018">
        <v>39</v>
      </c>
      <c r="N4018">
        <v>100</v>
      </c>
      <c r="O4018">
        <v>23.9870340356564</v>
      </c>
      <c r="P4018"/>
    </row>
    <row r="4019" spans="1:16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>
        <v>51</v>
      </c>
      <c r="N4019">
        <v>95.49</v>
      </c>
      <c r="O4019">
        <v>28.370221327967808</v>
      </c>
      <c r="P4019"/>
    </row>
    <row r="4020" spans="1:16" hidden="1" x14ac:dyDescent="0.25">
      <c r="A4020" s="11">
        <v>46127</v>
      </c>
      <c r="B4020" t="s">
        <v>20</v>
      </c>
      <c r="C4020" t="s">
        <v>16</v>
      </c>
      <c r="D4020">
        <v>19</v>
      </c>
      <c r="E4020">
        <v>19</v>
      </c>
      <c r="F4020">
        <v>30.04</v>
      </c>
      <c r="G4020">
        <v>0</v>
      </c>
      <c r="H4020">
        <v>0</v>
      </c>
      <c r="I4020" s="3">
        <f>E4020+G4020+H4020</f>
        <v>19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9</v>
      </c>
      <c r="K4020" s="3">
        <f>I4020-J4020</f>
        <v>10</v>
      </c>
      <c r="L4020" s="3" t="str">
        <f>IF(K4020&lt;-5,"CRÍTICO",IF(K4020&lt;0,"ATENÇÃO",IF(K4020&lt;=5,"OPORTUNO","MUITO BOM")))</f>
        <v>MUITO BOM</v>
      </c>
      <c r="M4020">
        <v>15</v>
      </c>
      <c r="N4020">
        <v>100</v>
      </c>
      <c r="O4020">
        <v>23.77622377622378</v>
      </c>
      <c r="P4020"/>
    </row>
    <row r="4021" spans="1:16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>
        <v>18</v>
      </c>
      <c r="N4021">
        <v>96.15</v>
      </c>
      <c r="O4021">
        <v>24.045801526717561</v>
      </c>
      <c r="P4021"/>
    </row>
    <row r="4022" spans="1:16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>
        <v>22</v>
      </c>
      <c r="N4022">
        <v>99.02</v>
      </c>
      <c r="O4022">
        <v>34.797297297297298</v>
      </c>
      <c r="P4022"/>
    </row>
    <row r="4023" spans="1:16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>
        <v>21</v>
      </c>
      <c r="N4023">
        <v>98.84</v>
      </c>
      <c r="O4023">
        <v>31.868131868131869</v>
      </c>
      <c r="P4023"/>
    </row>
    <row r="4024" spans="1:16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>
        <v>21</v>
      </c>
      <c r="N4024">
        <v>100</v>
      </c>
      <c r="O4024">
        <v>34.666666666666671</v>
      </c>
      <c r="P4024"/>
    </row>
    <row r="4025" spans="1:16" hidden="1" x14ac:dyDescent="0.25">
      <c r="A4025" s="11">
        <v>46127</v>
      </c>
      <c r="B4025" t="s">
        <v>21</v>
      </c>
      <c r="C4025" t="s">
        <v>16</v>
      </c>
      <c r="D4025">
        <v>11</v>
      </c>
      <c r="E4025">
        <v>11</v>
      </c>
      <c r="F4025">
        <v>27.16</v>
      </c>
      <c r="G4025">
        <v>0</v>
      </c>
      <c r="H4025">
        <v>0</v>
      </c>
      <c r="I4025" s="3">
        <f>E4025+G4025+H4025</f>
        <v>11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9</v>
      </c>
      <c r="K4025" s="3">
        <f>I4025-J4025</f>
        <v>2</v>
      </c>
      <c r="L4025" s="3" t="str">
        <f>IF(K4025&lt;-5,"CRÍTICO",IF(K4025&lt;0,"ATENÇÃO",IF(K4025&lt;=5,"OPORTUNO","MUITO BOM")))</f>
        <v>OPORTUNO</v>
      </c>
      <c r="M4025">
        <v>10</v>
      </c>
      <c r="N4025">
        <v>94.12</v>
      </c>
      <c r="O4025">
        <v>32.799999999999997</v>
      </c>
      <c r="P4025"/>
    </row>
    <row r="4026" spans="1:16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  <c r="P4026"/>
    </row>
    <row r="4027" spans="1:16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>
        <v>22</v>
      </c>
      <c r="N4027">
        <v>100</v>
      </c>
      <c r="O4027">
        <v>31.135531135531139</v>
      </c>
      <c r="P4027"/>
    </row>
    <row r="4028" spans="1:16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>
        <v>11</v>
      </c>
      <c r="N4028">
        <v>100</v>
      </c>
      <c r="O4028">
        <v>26.36986301369863</v>
      </c>
      <c r="P4028"/>
    </row>
    <row r="4029" spans="1:16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>
        <v>28</v>
      </c>
      <c r="N4029">
        <v>99.21</v>
      </c>
      <c r="O4029">
        <v>25.188916876574311</v>
      </c>
      <c r="P4029"/>
    </row>
    <row r="4030" spans="1:16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>
        <v>11</v>
      </c>
      <c r="N4030">
        <v>100</v>
      </c>
      <c r="O4030">
        <v>32.764505119453922</v>
      </c>
      <c r="P4030"/>
    </row>
    <row r="4031" spans="1:16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>
        <v>21</v>
      </c>
      <c r="N4031">
        <v>98.66</v>
      </c>
      <c r="O4031">
        <v>35.416666666666671</v>
      </c>
      <c r="P4031"/>
    </row>
    <row r="4032" spans="1:16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>
        <v>24</v>
      </c>
      <c r="N4032">
        <v>99.32</v>
      </c>
      <c r="O4032">
        <v>30.648330058939099</v>
      </c>
      <c r="P4032"/>
    </row>
    <row r="4033" spans="1:16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>
        <v>23</v>
      </c>
      <c r="N4033">
        <v>100</v>
      </c>
      <c r="O4033">
        <v>27.803738317757009</v>
      </c>
      <c r="P4033"/>
    </row>
    <row r="4034" spans="1:16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>
        <v>25</v>
      </c>
      <c r="N4034">
        <v>96.74</v>
      </c>
      <c r="O4034">
        <v>28.67647058823529</v>
      </c>
      <c r="P4034"/>
    </row>
    <row r="4035" spans="1:16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43</v>
      </c>
      <c r="N4035">
        <v>98.82</v>
      </c>
      <c r="O4035">
        <v>30.741410488245929</v>
      </c>
      <c r="P4035"/>
    </row>
    <row r="4036" spans="1:16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>
        <v>26</v>
      </c>
      <c r="N4036">
        <v>98.2</v>
      </c>
      <c r="O4036">
        <v>27.170868347338931</v>
      </c>
      <c r="P4036"/>
    </row>
    <row r="4037" spans="1:16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7</v>
      </c>
      <c r="N4037">
        <v>100</v>
      </c>
      <c r="O4037">
        <v>23.134328358208951</v>
      </c>
      <c r="P4037"/>
    </row>
    <row r="4038" spans="1:16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>
        <v>11</v>
      </c>
      <c r="N4038">
        <v>96.3</v>
      </c>
      <c r="O4038">
        <v>32.219570405727922</v>
      </c>
      <c r="P4038"/>
    </row>
    <row r="4039" spans="1:16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>
        <v>26</v>
      </c>
      <c r="N4039">
        <v>93.75</v>
      </c>
      <c r="O4039">
        <v>26.819923371647509</v>
      </c>
      <c r="P4039"/>
    </row>
    <row r="4040" spans="1:16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>
        <v>29</v>
      </c>
      <c r="N4040">
        <v>97.86</v>
      </c>
      <c r="O4040">
        <v>31.018518518518519</v>
      </c>
      <c r="P4040"/>
    </row>
    <row r="4041" spans="1:16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>
        <v>23</v>
      </c>
      <c r="N4041">
        <v>100</v>
      </c>
      <c r="O4041">
        <v>36.594202898550733</v>
      </c>
      <c r="P4041"/>
    </row>
    <row r="4042" spans="1:16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>
        <v>12</v>
      </c>
      <c r="N4042">
        <v>100</v>
      </c>
      <c r="O4042">
        <v>38.653846153846153</v>
      </c>
      <c r="P4042"/>
    </row>
    <row r="4043" spans="1:16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>
        <v>3</v>
      </c>
      <c r="N4043">
        <v>100</v>
      </c>
      <c r="O4043">
        <v>27.368421052631579</v>
      </c>
      <c r="P4043"/>
    </row>
    <row r="4044" spans="1:16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>
        <v>24</v>
      </c>
      <c r="N4044">
        <v>97.83</v>
      </c>
      <c r="O4044">
        <v>28.35164835164835</v>
      </c>
      <c r="P4044"/>
    </row>
    <row r="4045" spans="1:16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>
        <v>22</v>
      </c>
      <c r="N4045">
        <v>99.26</v>
      </c>
      <c r="O4045">
        <v>29.766536964980549</v>
      </c>
      <c r="P4045"/>
    </row>
    <row r="4046" spans="1:16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>
        <v>22</v>
      </c>
      <c r="N4046">
        <v>99.19</v>
      </c>
      <c r="O4046">
        <v>29.462365591397852</v>
      </c>
      <c r="P4046"/>
    </row>
    <row r="4047" spans="1:16" hidden="1" x14ac:dyDescent="0.25">
      <c r="A4047" s="5">
        <v>46148</v>
      </c>
      <c r="B4047" s="6" t="s">
        <v>52</v>
      </c>
      <c r="C4047" s="3" t="s">
        <v>48</v>
      </c>
      <c r="D4047" s="3">
        <v>15</v>
      </c>
      <c r="E4047" s="3">
        <v>14</v>
      </c>
      <c r="F4047" s="3">
        <v>17.309999999999999</v>
      </c>
      <c r="G4047" s="3">
        <v>9</v>
      </c>
      <c r="H4047" s="3">
        <v>0</v>
      </c>
      <c r="I4047" s="3">
        <f>E4047+G4047+H4047</f>
        <v>23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28</v>
      </c>
      <c r="K4047" s="3">
        <f>I4047-J4047</f>
        <v>-5</v>
      </c>
      <c r="L4047" s="3" t="str">
        <f>IF(K4047&lt;-5,"CRÍTICO",IF(K4047&lt;0,"ATENÇÃO",IF(K4047&lt;=5,"BOM","EXCELENTE")))</f>
        <v>ATENÇÃO</v>
      </c>
      <c r="M4047" s="3">
        <v>22</v>
      </c>
      <c r="N4047" s="3">
        <v>99.01</v>
      </c>
      <c r="O4047" s="3">
        <v>17.766497461928939</v>
      </c>
    </row>
    <row r="4048" spans="1:16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>
        <v>0</v>
      </c>
      <c r="N4048">
        <v>100</v>
      </c>
      <c r="O4048">
        <v>28.921568627450981</v>
      </c>
      <c r="P4048"/>
    </row>
    <row r="4049" spans="1:16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>
        <v>31</v>
      </c>
      <c r="N4049">
        <v>99.57</v>
      </c>
      <c r="O4049">
        <v>30.635838150289018</v>
      </c>
      <c r="P4049"/>
    </row>
    <row r="4050" spans="1:16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>
        <v>0</v>
      </c>
      <c r="N4050">
        <v>95.65</v>
      </c>
      <c r="O4050">
        <v>32.432432432432442</v>
      </c>
      <c r="P4050"/>
    </row>
    <row r="4051" spans="1:16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>
        <v>9</v>
      </c>
      <c r="N4051">
        <v>98.81</v>
      </c>
      <c r="O4051">
        <v>26.256983240223459</v>
      </c>
      <c r="P4051"/>
    </row>
    <row r="4052" spans="1:16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>
        <v>0</v>
      </c>
      <c r="N4052">
        <v>0</v>
      </c>
      <c r="O4052">
        <v>0</v>
      </c>
      <c r="P4052"/>
    </row>
    <row r="4053" spans="1:16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>
        <v>20</v>
      </c>
      <c r="N4053">
        <v>97.17</v>
      </c>
      <c r="O4053">
        <v>28.81844380403458</v>
      </c>
      <c r="P4053"/>
    </row>
    <row r="4054" spans="1:16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>
        <v>22</v>
      </c>
      <c r="N4054">
        <v>96.81</v>
      </c>
      <c r="O4054">
        <v>48.018648018648022</v>
      </c>
      <c r="P4054"/>
    </row>
    <row r="4055" spans="1:16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>
        <v>11</v>
      </c>
      <c r="N4055">
        <v>98.15</v>
      </c>
      <c r="O4055">
        <v>27.1551724137931</v>
      </c>
      <c r="P4055"/>
    </row>
    <row r="4056" spans="1:16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>
        <v>19</v>
      </c>
      <c r="N4056">
        <v>99.15</v>
      </c>
      <c r="O4056">
        <v>27.586206896551719</v>
      </c>
      <c r="P4056"/>
    </row>
    <row r="4057" spans="1:16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>
        <v>17</v>
      </c>
      <c r="N4057">
        <v>99.17</v>
      </c>
      <c r="O4057">
        <v>29.75206611570248</v>
      </c>
      <c r="P4057"/>
    </row>
    <row r="4058" spans="1:16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>
        <v>0</v>
      </c>
      <c r="N4058">
        <v>98.73</v>
      </c>
      <c r="O4058">
        <v>28.961748633879779</v>
      </c>
      <c r="P4058"/>
    </row>
    <row r="4059" spans="1:16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>
        <v>11</v>
      </c>
      <c r="N4059">
        <v>88.68</v>
      </c>
      <c r="O4059">
        <v>22.03389830508474</v>
      </c>
      <c r="P4059"/>
    </row>
    <row r="4060" spans="1:16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>
        <v>20</v>
      </c>
      <c r="N4060">
        <v>97.37</v>
      </c>
      <c r="O4060">
        <v>25.76530612244898</v>
      </c>
      <c r="P4060"/>
    </row>
    <row r="4061" spans="1:16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>
        <v>4</v>
      </c>
      <c r="N4061">
        <v>100</v>
      </c>
      <c r="O4061">
        <v>25</v>
      </c>
      <c r="P4061"/>
    </row>
    <row r="4062" spans="1:16" hidden="1" x14ac:dyDescent="0.25">
      <c r="A4062" s="11">
        <v>46128</v>
      </c>
      <c r="B4062" t="s">
        <v>43</v>
      </c>
      <c r="C4062" t="s">
        <v>32</v>
      </c>
      <c r="D4062">
        <v>27</v>
      </c>
      <c r="E4062">
        <v>24</v>
      </c>
      <c r="F4062">
        <v>17.28</v>
      </c>
      <c r="G4062">
        <v>0</v>
      </c>
      <c r="H4062">
        <v>0</v>
      </c>
      <c r="I4062" s="3">
        <f>E4062+G4062+H4062</f>
        <v>24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29</v>
      </c>
      <c r="K4062" s="3">
        <f>I4062-J4062</f>
        <v>-5</v>
      </c>
      <c r="L4062" s="3" t="str">
        <f>IF(K4062&lt;-5,"CRÍTICO",IF(K4062&lt;0,"ATENÇÃO",IF(K4062&lt;=5,"OPORTUNO","MUITO BOM")))</f>
        <v>ATENÇÃO</v>
      </c>
      <c r="M4062">
        <v>29</v>
      </c>
      <c r="N4062">
        <v>100</v>
      </c>
      <c r="O4062">
        <v>23.9870340356564</v>
      </c>
      <c r="P4062"/>
    </row>
    <row r="4063" spans="1:16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>
        <v>34</v>
      </c>
      <c r="N4063">
        <v>95.49</v>
      </c>
      <c r="O4063">
        <v>28.370221327967808</v>
      </c>
      <c r="P4063"/>
    </row>
    <row r="4064" spans="1:16" hidden="1" x14ac:dyDescent="0.25">
      <c r="A4064" s="11">
        <v>46128</v>
      </c>
      <c r="B4064" t="s">
        <v>20</v>
      </c>
      <c r="C4064" t="s">
        <v>16</v>
      </c>
      <c r="D4064">
        <v>18</v>
      </c>
      <c r="E4064">
        <v>16</v>
      </c>
      <c r="F4064">
        <v>25.32</v>
      </c>
      <c r="G4064">
        <v>0</v>
      </c>
      <c r="H4064">
        <v>0</v>
      </c>
      <c r="I4064" s="3">
        <f>E4064+G4064+H4064</f>
        <v>16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8</v>
      </c>
      <c r="K4064" s="3">
        <f>I4064-J4064</f>
        <v>8</v>
      </c>
      <c r="L4064" s="3" t="str">
        <f>IF(K4064&lt;-5,"CRÍTICO",IF(K4064&lt;0,"ATENÇÃO",IF(K4064&lt;=5,"OPORTUNO","MUITO BOM")))</f>
        <v>MUITO BOM</v>
      </c>
      <c r="M4064">
        <v>11</v>
      </c>
      <c r="N4064">
        <v>100</v>
      </c>
      <c r="O4064">
        <v>23.77622377622378</v>
      </c>
      <c r="P4064"/>
    </row>
    <row r="4065" spans="1:16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15</v>
      </c>
      <c r="N4065">
        <v>96.15</v>
      </c>
      <c r="O4065">
        <v>24.045801526717561</v>
      </c>
      <c r="P4065"/>
    </row>
    <row r="4066" spans="1:16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>
        <v>16</v>
      </c>
      <c r="N4066">
        <v>99.02</v>
      </c>
      <c r="O4066">
        <v>34.797297297297298</v>
      </c>
      <c r="P4066"/>
    </row>
    <row r="4067" spans="1:16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>
        <v>13</v>
      </c>
      <c r="N4067">
        <v>98.84</v>
      </c>
      <c r="O4067">
        <v>31.868131868131869</v>
      </c>
      <c r="P4067"/>
    </row>
    <row r="4068" spans="1:16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>
        <v>13</v>
      </c>
      <c r="N4068">
        <v>100</v>
      </c>
      <c r="O4068">
        <v>34.666666666666671</v>
      </c>
      <c r="P4068"/>
    </row>
    <row r="4069" spans="1:16" hidden="1" x14ac:dyDescent="0.25">
      <c r="A4069" s="11">
        <v>46128</v>
      </c>
      <c r="B4069" t="s">
        <v>21</v>
      </c>
      <c r="C4069" t="s">
        <v>16</v>
      </c>
      <c r="D4069">
        <v>15</v>
      </c>
      <c r="E4069">
        <v>13</v>
      </c>
      <c r="F4069">
        <v>33.28</v>
      </c>
      <c r="G4069">
        <v>0</v>
      </c>
      <c r="H4069">
        <v>0</v>
      </c>
      <c r="I4069" s="3">
        <f>E4069+G4069+H4069</f>
        <v>13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5</v>
      </c>
      <c r="L4069" s="3" t="str">
        <f>IF(K4069&lt;-5,"CRÍTICO",IF(K4069&lt;0,"ATENÇÃO",IF(K4069&lt;=5,"OPORTUNO","MUITO BOM")))</f>
        <v>OPORTUNO</v>
      </c>
      <c r="M4069">
        <v>9</v>
      </c>
      <c r="N4069">
        <v>94.12</v>
      </c>
      <c r="O4069">
        <v>32.799999999999997</v>
      </c>
      <c r="P4069"/>
    </row>
    <row r="4070" spans="1:16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>
        <v>32</v>
      </c>
      <c r="N4070">
        <v>98.32</v>
      </c>
      <c r="O4070">
        <v>26.858513189448441</v>
      </c>
      <c r="P4070"/>
    </row>
    <row r="4071" spans="1:16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>
        <v>27</v>
      </c>
      <c r="N4071">
        <v>100</v>
      </c>
      <c r="O4071">
        <v>31.135531135531139</v>
      </c>
      <c r="P4071"/>
    </row>
    <row r="4072" spans="1:16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>
        <v>14</v>
      </c>
      <c r="N4072">
        <v>100</v>
      </c>
      <c r="O4072">
        <v>26.36986301369863</v>
      </c>
      <c r="P4072"/>
    </row>
    <row r="4073" spans="1:16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25</v>
      </c>
      <c r="N4073">
        <v>99.21</v>
      </c>
      <c r="O4073">
        <v>25.188916876574311</v>
      </c>
      <c r="P4073"/>
    </row>
    <row r="4074" spans="1:16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4</v>
      </c>
      <c r="N4074">
        <v>100</v>
      </c>
      <c r="O4074">
        <v>32.764505119453922</v>
      </c>
      <c r="P4074"/>
    </row>
    <row r="4075" spans="1:16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>
        <v>30</v>
      </c>
      <c r="N4075">
        <v>98.66</v>
      </c>
      <c r="O4075">
        <v>35.416666666666671</v>
      </c>
      <c r="P4075"/>
    </row>
    <row r="4076" spans="1:16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>
        <v>21</v>
      </c>
      <c r="N4076">
        <v>99.32</v>
      </c>
      <c r="O4076">
        <v>30.648330058939099</v>
      </c>
      <c r="P4076"/>
    </row>
    <row r="4077" spans="1:16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>
        <v>20</v>
      </c>
      <c r="N4077">
        <v>100</v>
      </c>
      <c r="O4077">
        <v>27.803738317757009</v>
      </c>
      <c r="P4077"/>
    </row>
    <row r="4078" spans="1:16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>
        <v>0</v>
      </c>
      <c r="N4078">
        <v>96.74</v>
      </c>
      <c r="O4078">
        <v>28.67647058823529</v>
      </c>
      <c r="P4078"/>
    </row>
    <row r="4079" spans="1:16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>
        <v>31</v>
      </c>
      <c r="N4079">
        <v>98.82</v>
      </c>
      <c r="O4079">
        <v>30.741410488245929</v>
      </c>
      <c r="P4079"/>
    </row>
    <row r="4080" spans="1:16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>
        <v>14</v>
      </c>
      <c r="N4080">
        <v>98.2</v>
      </c>
      <c r="O4080">
        <v>27.170868347338931</v>
      </c>
      <c r="P4080"/>
    </row>
    <row r="4081" spans="1:16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>
        <v>6</v>
      </c>
      <c r="N4081">
        <v>100</v>
      </c>
      <c r="O4081">
        <v>23.134328358208951</v>
      </c>
      <c r="P4081"/>
    </row>
    <row r="4082" spans="1:16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>
        <v>29</v>
      </c>
      <c r="N4082">
        <v>96.3</v>
      </c>
      <c r="O4082">
        <v>32.219570405727922</v>
      </c>
      <c r="P4082"/>
    </row>
    <row r="4083" spans="1:16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>
        <v>26</v>
      </c>
      <c r="N4083">
        <v>93.75</v>
      </c>
      <c r="O4083">
        <v>26.819923371647509</v>
      </c>
      <c r="P4083"/>
    </row>
    <row r="4084" spans="1:16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>
        <v>20</v>
      </c>
      <c r="N4084">
        <v>97.86</v>
      </c>
      <c r="O4084">
        <v>31.018518518518519</v>
      </c>
      <c r="P4084"/>
    </row>
    <row r="4085" spans="1:16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>
        <v>15</v>
      </c>
      <c r="N4085">
        <v>100</v>
      </c>
      <c r="O4085">
        <v>36.594202898550733</v>
      </c>
      <c r="P4085"/>
    </row>
    <row r="4086" spans="1:16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>
        <v>28</v>
      </c>
      <c r="N4086">
        <v>100</v>
      </c>
      <c r="O4086">
        <v>38.653846153846153</v>
      </c>
      <c r="P4086"/>
    </row>
    <row r="4087" spans="1:16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>
        <v>7</v>
      </c>
      <c r="N4087">
        <v>100</v>
      </c>
      <c r="O4087">
        <v>27.368421052631579</v>
      </c>
      <c r="P4087"/>
    </row>
    <row r="4088" spans="1:16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25</v>
      </c>
      <c r="N4088">
        <v>97.83</v>
      </c>
      <c r="O4088">
        <v>28.35164835164835</v>
      </c>
      <c r="P4088"/>
    </row>
    <row r="4089" spans="1:16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>
        <v>30</v>
      </c>
      <c r="N4089">
        <v>99.26</v>
      </c>
      <c r="O4089">
        <v>29.766536964980549</v>
      </c>
      <c r="P4089"/>
    </row>
    <row r="4090" spans="1:16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>
        <v>23</v>
      </c>
      <c r="N4090">
        <v>99.19</v>
      </c>
      <c r="O4090">
        <v>29.462365591397852</v>
      </c>
      <c r="P4090"/>
    </row>
    <row r="4091" spans="1:16" hidden="1" x14ac:dyDescent="0.25">
      <c r="A4091" s="11">
        <v>46168</v>
      </c>
      <c r="B4091" t="s">
        <v>52</v>
      </c>
      <c r="C4091" t="s">
        <v>48</v>
      </c>
      <c r="D4091" s="3">
        <v>21</v>
      </c>
      <c r="E4091" s="3">
        <v>21</v>
      </c>
      <c r="F4091" s="3">
        <v>13.22</v>
      </c>
      <c r="G4091" s="3">
        <v>1</v>
      </c>
      <c r="M4091" s="3">
        <v>17</v>
      </c>
      <c r="N4091" s="3">
        <v>99.01</v>
      </c>
      <c r="O4091" s="3">
        <v>19.54314720812183</v>
      </c>
    </row>
    <row r="4092" spans="1:16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>
        <v>0</v>
      </c>
      <c r="N4092">
        <v>100</v>
      </c>
      <c r="O4092">
        <v>28.921568627450981</v>
      </c>
      <c r="P4092"/>
    </row>
    <row r="4093" spans="1:16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>
        <v>31</v>
      </c>
      <c r="N4093">
        <v>99.57</v>
      </c>
      <c r="O4093">
        <v>30.635838150289018</v>
      </c>
      <c r="P4093"/>
    </row>
    <row r="4094" spans="1:16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>
        <v>0</v>
      </c>
      <c r="N4094">
        <v>95.65</v>
      </c>
      <c r="O4094">
        <v>32.432432432432442</v>
      </c>
      <c r="P4094"/>
    </row>
    <row r="4095" spans="1:16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>
        <v>16</v>
      </c>
      <c r="N4095">
        <v>98.81</v>
      </c>
      <c r="O4095">
        <v>26.256983240223459</v>
      </c>
      <c r="P4095"/>
    </row>
    <row r="4096" spans="1:16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>
        <v>0</v>
      </c>
      <c r="N4096">
        <v>0</v>
      </c>
      <c r="O4096">
        <v>0</v>
      </c>
      <c r="P4096"/>
    </row>
    <row r="4097" spans="1:16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>
        <v>21</v>
      </c>
      <c r="N4097">
        <v>97.17</v>
      </c>
      <c r="O4097">
        <v>28.81844380403458</v>
      </c>
      <c r="P4097"/>
    </row>
    <row r="4098" spans="1:16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>
        <v>22</v>
      </c>
      <c r="N4098">
        <v>96.81</v>
      </c>
      <c r="O4098">
        <v>48.018648018648022</v>
      </c>
      <c r="P4098"/>
    </row>
    <row r="4099" spans="1:16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>
        <v>6</v>
      </c>
      <c r="N4099">
        <v>98.15</v>
      </c>
      <c r="O4099">
        <v>27.1551724137931</v>
      </c>
      <c r="P4099"/>
    </row>
    <row r="4100" spans="1:16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>
        <v>23</v>
      </c>
      <c r="N4100">
        <v>99.15</v>
      </c>
      <c r="O4100">
        <v>27.586206896551719</v>
      </c>
      <c r="P4100"/>
    </row>
    <row r="4101" spans="1:16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>
        <v>18</v>
      </c>
      <c r="N4101">
        <v>99.17</v>
      </c>
      <c r="O4101">
        <v>29.75206611570248</v>
      </c>
      <c r="P4101"/>
    </row>
    <row r="4102" spans="1:16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>
        <v>0</v>
      </c>
      <c r="N4102">
        <v>98.73</v>
      </c>
      <c r="O4102">
        <v>28.961748633879779</v>
      </c>
      <c r="P4102"/>
    </row>
    <row r="4103" spans="1:16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88.68</v>
      </c>
      <c r="O4103">
        <v>22.03389830508474</v>
      </c>
      <c r="P4103"/>
    </row>
    <row r="4104" spans="1:16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>
        <v>19</v>
      </c>
      <c r="N4104">
        <v>97.37</v>
      </c>
      <c r="O4104">
        <v>25.76530612244898</v>
      </c>
      <c r="P4104"/>
    </row>
    <row r="4105" spans="1:16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>
        <v>7</v>
      </c>
      <c r="N4105">
        <v>100</v>
      </c>
      <c r="O4105">
        <v>25</v>
      </c>
      <c r="P4105"/>
    </row>
    <row r="4106" spans="1:16" hidden="1" x14ac:dyDescent="0.25">
      <c r="A4106" s="11">
        <v>46129</v>
      </c>
      <c r="B4106" t="s">
        <v>43</v>
      </c>
      <c r="C4106" t="s">
        <v>32</v>
      </c>
      <c r="D4106">
        <v>29</v>
      </c>
      <c r="E4106">
        <v>29</v>
      </c>
      <c r="F4106">
        <v>12.35</v>
      </c>
      <c r="G4106">
        <v>0</v>
      </c>
      <c r="H4106">
        <v>0</v>
      </c>
      <c r="I4106" s="3">
        <f>E4106+G4106+H4106</f>
        <v>29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27</v>
      </c>
      <c r="K4106" s="3">
        <f>I4106-J4106</f>
        <v>2</v>
      </c>
      <c r="L4106" s="3" t="str">
        <f>IF(K4106&lt;-5,"CRÍTICO",IF(K4106&lt;0,"ATENÇÃO",IF(K4106&lt;=5,"OPORTUNO","MUITO BOM")))</f>
        <v>OPORTUNO</v>
      </c>
      <c r="M4106">
        <v>30</v>
      </c>
      <c r="N4106">
        <v>100</v>
      </c>
      <c r="O4106">
        <v>23.9870340356564</v>
      </c>
      <c r="P4106"/>
    </row>
    <row r="4107" spans="1:16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>
        <v>22</v>
      </c>
      <c r="N4107">
        <v>95.49</v>
      </c>
      <c r="O4107">
        <v>28.370221327967808</v>
      </c>
      <c r="P4107"/>
    </row>
    <row r="4108" spans="1:16" hidden="1" x14ac:dyDescent="0.25">
      <c r="A4108" s="11">
        <v>46129</v>
      </c>
      <c r="B4108" t="s">
        <v>20</v>
      </c>
      <c r="C4108" t="s">
        <v>16</v>
      </c>
      <c r="D4108">
        <v>13</v>
      </c>
      <c r="E4108">
        <v>12</v>
      </c>
      <c r="F4108">
        <v>25.3</v>
      </c>
      <c r="G4108">
        <v>0</v>
      </c>
      <c r="H4108">
        <v>0</v>
      </c>
      <c r="I4108" s="3">
        <f>E4108+G4108+H4108</f>
        <v>12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4</v>
      </c>
      <c r="L4108" s="3" t="str">
        <f>IF(K4108&lt;-5,"CRÍTICO",IF(K4108&lt;0,"ATENÇÃO",IF(K4108&lt;=5,"OPORTUNO","MUITO BOM")))</f>
        <v>OPORTUNO</v>
      </c>
      <c r="M4108">
        <v>5</v>
      </c>
      <c r="N4108">
        <v>100</v>
      </c>
      <c r="O4108">
        <v>23.77622377622378</v>
      </c>
      <c r="P4108"/>
    </row>
    <row r="4109" spans="1:16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>
        <v>16</v>
      </c>
      <c r="N4109">
        <v>96.15</v>
      </c>
      <c r="O4109">
        <v>24.045801526717561</v>
      </c>
      <c r="P4109"/>
    </row>
    <row r="4110" spans="1:16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>
        <v>24</v>
      </c>
      <c r="N4110">
        <v>99.02</v>
      </c>
      <c r="O4110">
        <v>34.797297297297298</v>
      </c>
      <c r="P4110"/>
    </row>
    <row r="4111" spans="1:16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>
        <v>17</v>
      </c>
      <c r="N4111">
        <v>98.84</v>
      </c>
      <c r="O4111">
        <v>31.868131868131869</v>
      </c>
      <c r="P4111"/>
    </row>
    <row r="4112" spans="1:16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>
        <v>15</v>
      </c>
      <c r="N4112">
        <v>100</v>
      </c>
      <c r="O4112">
        <v>34.666666666666671</v>
      </c>
      <c r="P4112"/>
    </row>
    <row r="4113" spans="1:16" hidden="1" x14ac:dyDescent="0.25">
      <c r="A4113" s="11">
        <v>46129</v>
      </c>
      <c r="B4113" t="s">
        <v>21</v>
      </c>
      <c r="C4113" t="s">
        <v>16</v>
      </c>
      <c r="D4113">
        <v>16</v>
      </c>
      <c r="E4113">
        <v>14</v>
      </c>
      <c r="F4113">
        <v>30.56</v>
      </c>
      <c r="G4113">
        <v>0</v>
      </c>
      <c r="H4113">
        <v>0</v>
      </c>
      <c r="I4113" s="3">
        <f>E4113+G4113+H4113</f>
        <v>14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8</v>
      </c>
      <c r="K4113" s="3">
        <f>I4113-J4113</f>
        <v>6</v>
      </c>
      <c r="L4113" s="3" t="str">
        <f>IF(K4113&lt;-5,"CRÍTICO",IF(K4113&lt;0,"ATENÇÃO",IF(K4113&lt;=5,"OPORTUNO","MUITO BOM")))</f>
        <v>MUITO BOM</v>
      </c>
      <c r="M4113">
        <v>10</v>
      </c>
      <c r="N4113">
        <v>94.12</v>
      </c>
      <c r="O4113">
        <v>32.799999999999997</v>
      </c>
      <c r="P4113"/>
    </row>
    <row r="4114" spans="1:16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>
        <v>21</v>
      </c>
      <c r="N4114">
        <v>98.32</v>
      </c>
      <c r="O4114">
        <v>26.858513189448441</v>
      </c>
      <c r="P4114"/>
    </row>
    <row r="4115" spans="1:16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>
        <v>31</v>
      </c>
      <c r="N4115">
        <v>100</v>
      </c>
      <c r="O4115">
        <v>31.135531135531139</v>
      </c>
      <c r="P4115"/>
    </row>
    <row r="4116" spans="1:16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>
        <v>16</v>
      </c>
      <c r="N4116">
        <v>100</v>
      </c>
      <c r="O4116">
        <v>26.36986301369863</v>
      </c>
      <c r="P4116"/>
    </row>
    <row r="4117" spans="1:16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>
        <v>0</v>
      </c>
      <c r="N4117">
        <v>99.21</v>
      </c>
      <c r="O4117">
        <v>25.188916876574311</v>
      </c>
      <c r="P4117"/>
    </row>
    <row r="4118" spans="1:16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>
        <v>18</v>
      </c>
      <c r="N4118">
        <v>100</v>
      </c>
      <c r="O4118">
        <v>32.764505119453922</v>
      </c>
      <c r="P4118"/>
    </row>
    <row r="4119" spans="1:16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>
        <v>11</v>
      </c>
      <c r="N4119">
        <v>98.66</v>
      </c>
      <c r="O4119">
        <v>35.416666666666671</v>
      </c>
      <c r="P4119"/>
    </row>
    <row r="4120" spans="1:16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>
        <v>24</v>
      </c>
      <c r="N4120">
        <v>99.32</v>
      </c>
      <c r="O4120">
        <v>30.648330058939099</v>
      </c>
      <c r="P4120"/>
    </row>
    <row r="4121" spans="1:16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>
        <v>17</v>
      </c>
      <c r="N4121">
        <v>100</v>
      </c>
      <c r="O4121">
        <v>27.803738317757009</v>
      </c>
      <c r="P4121"/>
    </row>
    <row r="4122" spans="1:16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>
        <v>11</v>
      </c>
      <c r="N4122">
        <v>96.74</v>
      </c>
      <c r="O4122">
        <v>28.67647058823529</v>
      </c>
      <c r="P4122"/>
    </row>
    <row r="4123" spans="1:16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>
        <v>32</v>
      </c>
      <c r="N4123">
        <v>98.82</v>
      </c>
      <c r="O4123">
        <v>30.741410488245929</v>
      </c>
      <c r="P4123"/>
    </row>
    <row r="4124" spans="1:16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>
        <v>24</v>
      </c>
      <c r="N4124">
        <v>98.2</v>
      </c>
      <c r="O4124">
        <v>27.170868347338931</v>
      </c>
      <c r="P4124"/>
    </row>
    <row r="4125" spans="1:16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>
        <v>1</v>
      </c>
      <c r="N4125">
        <v>100</v>
      </c>
      <c r="O4125">
        <v>23.134328358208951</v>
      </c>
      <c r="P4125"/>
    </row>
    <row r="4126" spans="1:16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>
        <v>19</v>
      </c>
      <c r="N4126">
        <v>96.3</v>
      </c>
      <c r="O4126">
        <v>32.219570405727922</v>
      </c>
      <c r="P4126"/>
    </row>
    <row r="4127" spans="1:16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>
        <v>16</v>
      </c>
      <c r="N4127">
        <v>93.75</v>
      </c>
      <c r="O4127">
        <v>26.819923371647509</v>
      </c>
      <c r="P4127"/>
    </row>
    <row r="4128" spans="1:16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>
        <v>24</v>
      </c>
      <c r="N4128">
        <v>97.86</v>
      </c>
      <c r="O4128">
        <v>31.018518518518519</v>
      </c>
      <c r="P4128"/>
    </row>
    <row r="4129" spans="1:16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>
        <v>11</v>
      </c>
      <c r="N4129">
        <v>100</v>
      </c>
      <c r="O4129">
        <v>36.594202898550733</v>
      </c>
      <c r="P4129"/>
    </row>
    <row r="4130" spans="1:16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>
        <v>23</v>
      </c>
      <c r="N4130">
        <v>100</v>
      </c>
      <c r="O4130">
        <v>38.653846153846153</v>
      </c>
      <c r="P4130"/>
    </row>
    <row r="4131" spans="1:16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>
        <v>4</v>
      </c>
      <c r="N4131">
        <v>100</v>
      </c>
      <c r="O4131">
        <v>27.368421052631579</v>
      </c>
      <c r="P4131"/>
    </row>
    <row r="4132" spans="1:16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>
        <v>22</v>
      </c>
      <c r="N4132">
        <v>97.83</v>
      </c>
      <c r="O4132">
        <v>28.35164835164835</v>
      </c>
      <c r="P4132"/>
    </row>
    <row r="4133" spans="1:16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>
        <v>24</v>
      </c>
      <c r="N4133">
        <v>99.26</v>
      </c>
      <c r="O4133">
        <v>29.766536964980549</v>
      </c>
      <c r="P4133"/>
    </row>
    <row r="4134" spans="1:16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>
        <v>7</v>
      </c>
      <c r="N4134">
        <v>99.19</v>
      </c>
      <c r="O4134">
        <v>29.462365591397852</v>
      </c>
      <c r="P4134"/>
    </row>
    <row r="4135" spans="1:16" hidden="1" x14ac:dyDescent="0.25">
      <c r="A4135" s="11">
        <v>46140</v>
      </c>
      <c r="B4135" t="s">
        <v>53</v>
      </c>
      <c r="C4135" t="s">
        <v>48</v>
      </c>
      <c r="D4135" s="3">
        <v>29</v>
      </c>
      <c r="E4135" s="3">
        <v>25</v>
      </c>
      <c r="F4135" s="3">
        <v>20.23</v>
      </c>
      <c r="G4135" s="3">
        <v>0</v>
      </c>
      <c r="H4135" s="3">
        <v>0</v>
      </c>
      <c r="I4135" s="3">
        <f>E4135+G4135+H4135</f>
        <v>25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27</v>
      </c>
      <c r="K4135" s="3">
        <f>I4135-J4135</f>
        <v>-2</v>
      </c>
      <c r="L4135" s="3" t="str">
        <f>IF(K4135&lt;-5,"CRÍTICO",IF(K4135&lt;0,"ATENÇÃO",IF(K4135&lt;=5,"OPORTUNO","MUITO BOM")))</f>
        <v>ATENÇÃO</v>
      </c>
      <c r="M4135" s="3">
        <v>23</v>
      </c>
      <c r="N4135" s="3">
        <v>99.19</v>
      </c>
      <c r="O4135" s="3">
        <v>29.462365591397852</v>
      </c>
    </row>
    <row r="4136" spans="1:16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>
        <v>0</v>
      </c>
      <c r="N4136">
        <v>100</v>
      </c>
      <c r="O4136">
        <v>28.921568627450981</v>
      </c>
      <c r="P4136"/>
    </row>
    <row r="4137" spans="1:16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>
        <v>27</v>
      </c>
      <c r="N4137">
        <v>99.57</v>
      </c>
      <c r="O4137">
        <v>30.635838150289018</v>
      </c>
      <c r="P4137"/>
    </row>
    <row r="4138" spans="1:16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>
        <v>0</v>
      </c>
      <c r="N4138">
        <v>95.65</v>
      </c>
      <c r="O4138">
        <v>32.432432432432442</v>
      </c>
      <c r="P4138"/>
    </row>
    <row r="4139" spans="1:16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>
        <v>19</v>
      </c>
      <c r="N4139">
        <v>98.81</v>
      </c>
      <c r="O4139">
        <v>26.256983240223459</v>
      </c>
      <c r="P4139"/>
    </row>
    <row r="4140" spans="1:16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>
        <v>0</v>
      </c>
      <c r="N4140">
        <v>0</v>
      </c>
      <c r="O4140">
        <v>0</v>
      </c>
      <c r="P4140"/>
    </row>
    <row r="4141" spans="1:16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>
        <v>5</v>
      </c>
      <c r="N4141">
        <v>97.17</v>
      </c>
      <c r="O4141">
        <v>28.81844380403458</v>
      </c>
      <c r="P4141"/>
    </row>
    <row r="4142" spans="1:16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>
        <v>17</v>
      </c>
      <c r="N4142">
        <v>96.81</v>
      </c>
      <c r="O4142">
        <v>48.018648018648022</v>
      </c>
      <c r="P4142"/>
    </row>
    <row r="4143" spans="1:16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>
        <v>6</v>
      </c>
      <c r="N4143">
        <v>98.15</v>
      </c>
      <c r="O4143">
        <v>27.1551724137931</v>
      </c>
      <c r="P4143"/>
    </row>
    <row r="4144" spans="1:16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>
        <v>22</v>
      </c>
      <c r="N4144">
        <v>99.15</v>
      </c>
      <c r="O4144">
        <v>27.586206896551719</v>
      </c>
      <c r="P4144"/>
    </row>
    <row r="4145" spans="1:16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>
        <v>9</v>
      </c>
      <c r="N4145">
        <v>99.17</v>
      </c>
      <c r="O4145">
        <v>29.75206611570248</v>
      </c>
      <c r="P4145"/>
    </row>
    <row r="4146" spans="1:16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>
        <v>0</v>
      </c>
      <c r="N4146">
        <v>98.73</v>
      </c>
      <c r="O4146">
        <v>28.961748633879779</v>
      </c>
      <c r="P4146"/>
    </row>
    <row r="4147" spans="1:16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88.68</v>
      </c>
      <c r="O4147">
        <v>22.03389830508474</v>
      </c>
      <c r="P4147"/>
    </row>
    <row r="4148" spans="1:16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>
        <v>13</v>
      </c>
      <c r="N4148">
        <v>97.37</v>
      </c>
      <c r="O4148">
        <v>25.76530612244898</v>
      </c>
      <c r="P4148"/>
    </row>
    <row r="4149" spans="1:16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>
        <v>8</v>
      </c>
      <c r="N4149">
        <v>100</v>
      </c>
      <c r="O4149">
        <v>25</v>
      </c>
      <c r="P4149"/>
    </row>
    <row r="4150" spans="1:16" hidden="1" x14ac:dyDescent="0.25">
      <c r="A4150" s="11">
        <v>46132</v>
      </c>
      <c r="B4150" t="s">
        <v>43</v>
      </c>
      <c r="C4150" t="s">
        <v>32</v>
      </c>
      <c r="D4150">
        <v>23</v>
      </c>
      <c r="E4150">
        <v>21</v>
      </c>
      <c r="F4150">
        <v>14.14</v>
      </c>
      <c r="G4150">
        <v>0</v>
      </c>
      <c r="H4150">
        <v>0</v>
      </c>
      <c r="I4150" s="3">
        <f>E4150+G4150+H4150</f>
        <v>21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21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>
        <v>23</v>
      </c>
      <c r="N4150">
        <v>100</v>
      </c>
      <c r="O4150">
        <v>23.9870340356564</v>
      </c>
      <c r="P4150"/>
    </row>
    <row r="4151" spans="1:16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>
        <v>22</v>
      </c>
      <c r="N4151">
        <v>95.49</v>
      </c>
      <c r="O4151">
        <v>28.370221327967808</v>
      </c>
      <c r="P4151"/>
    </row>
    <row r="4152" spans="1:16" hidden="1" x14ac:dyDescent="0.25">
      <c r="A4152" s="11">
        <v>46132</v>
      </c>
      <c r="B4152" t="s">
        <v>20</v>
      </c>
      <c r="C4152" t="s">
        <v>16</v>
      </c>
      <c r="D4152">
        <v>0</v>
      </c>
      <c r="E4152">
        <v>0</v>
      </c>
      <c r="F4152">
        <v>0</v>
      </c>
      <c r="G4152">
        <v>0</v>
      </c>
      <c r="H4152">
        <v>0</v>
      </c>
      <c r="I4152" s="3">
        <v>0</v>
      </c>
      <c r="J4152" s="3">
        <v>0</v>
      </c>
      <c r="K4152" s="3">
        <v>0</v>
      </c>
      <c r="L4152" s="3" t="str">
        <f>IF(K4152&lt;-5,"CRÍTICO",IF(K4152&lt;0,"ATENÇÃO",IF(K4152&lt;=5,"OPORTUNO","MUITO BOM")))</f>
        <v>OPORTUNO</v>
      </c>
      <c r="M4152">
        <v>0</v>
      </c>
      <c r="N4152">
        <v>100</v>
      </c>
      <c r="O4152">
        <v>23.77622377622378</v>
      </c>
      <c r="P4152"/>
    </row>
    <row r="4153" spans="1:16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>
        <v>7</v>
      </c>
      <c r="N4153">
        <v>96.15</v>
      </c>
      <c r="O4153">
        <v>24.045801526717561</v>
      </c>
      <c r="P4153"/>
    </row>
    <row r="4154" spans="1:16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14</v>
      </c>
      <c r="N4154">
        <v>99.02</v>
      </c>
      <c r="O4154">
        <v>34.797297297297298</v>
      </c>
      <c r="P4154"/>
    </row>
    <row r="4155" spans="1:16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>
        <v>10</v>
      </c>
      <c r="N4155">
        <v>98.84</v>
      </c>
      <c r="O4155">
        <v>31.868131868131869</v>
      </c>
      <c r="P4155"/>
    </row>
    <row r="4156" spans="1:16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  <c r="P4156"/>
    </row>
    <row r="4157" spans="1:16" hidden="1" x14ac:dyDescent="0.25">
      <c r="A4157" s="11">
        <v>46132</v>
      </c>
      <c r="B4157" t="s">
        <v>21</v>
      </c>
      <c r="C4157" t="s">
        <v>16</v>
      </c>
      <c r="D4157">
        <v>6</v>
      </c>
      <c r="E4157">
        <v>6</v>
      </c>
      <c r="F4157">
        <v>36.4</v>
      </c>
      <c r="G4157">
        <v>0</v>
      </c>
      <c r="H4157">
        <v>0</v>
      </c>
      <c r="I4157" s="3">
        <f>E4157+G4157+H4157</f>
        <v>6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6</v>
      </c>
      <c r="K4157" s="3">
        <f>I4157-J4157</f>
        <v>0</v>
      </c>
      <c r="L4157" s="3" t="str">
        <f>IF(K4157&lt;-5,"CRÍTICO",IF(K4157&lt;0,"ATENÇÃO",IF(K4157&lt;=5,"OPORTUNO","MUITO BOM")))</f>
        <v>OPORTUNO</v>
      </c>
      <c r="M4157">
        <v>5</v>
      </c>
      <c r="N4157">
        <v>94.12</v>
      </c>
      <c r="O4157">
        <v>32.799999999999997</v>
      </c>
      <c r="P4157"/>
    </row>
    <row r="4158" spans="1:16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>
        <v>6</v>
      </c>
      <c r="N4158">
        <v>98.32</v>
      </c>
      <c r="O4158">
        <v>26.858513189448441</v>
      </c>
      <c r="P4158"/>
    </row>
    <row r="4159" spans="1:16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>
        <v>19</v>
      </c>
      <c r="N4159">
        <v>100</v>
      </c>
      <c r="O4159">
        <v>31.135531135531139</v>
      </c>
      <c r="P4159"/>
    </row>
    <row r="4160" spans="1:16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>
        <v>7</v>
      </c>
      <c r="N4160">
        <v>100</v>
      </c>
      <c r="O4160">
        <v>26.36986301369863</v>
      </c>
      <c r="P4160"/>
    </row>
    <row r="4161" spans="1:16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>
        <v>19</v>
      </c>
      <c r="N4161">
        <v>99.21</v>
      </c>
      <c r="O4161">
        <v>25.188916876574311</v>
      </c>
      <c r="P4161"/>
    </row>
    <row r="4162" spans="1:16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>
        <v>30</v>
      </c>
      <c r="N4162">
        <v>100</v>
      </c>
      <c r="O4162">
        <v>32.764505119453922</v>
      </c>
      <c r="P4162"/>
    </row>
    <row r="4163" spans="1:16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>
        <v>21</v>
      </c>
      <c r="N4163">
        <v>98.66</v>
      </c>
      <c r="O4163">
        <v>35.416666666666671</v>
      </c>
      <c r="P4163"/>
    </row>
    <row r="4164" spans="1:16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>
        <v>32</v>
      </c>
      <c r="N4164">
        <v>99.32</v>
      </c>
      <c r="O4164">
        <v>30.648330058939099</v>
      </c>
      <c r="P4164"/>
    </row>
    <row r="4165" spans="1:16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>
        <v>13</v>
      </c>
      <c r="N4165">
        <v>100</v>
      </c>
      <c r="O4165">
        <v>27.803738317757009</v>
      </c>
      <c r="P4165"/>
    </row>
    <row r="4166" spans="1:16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>
        <v>22</v>
      </c>
      <c r="N4166">
        <v>96.74</v>
      </c>
      <c r="O4166">
        <v>28.67647058823529</v>
      </c>
      <c r="P4166"/>
    </row>
    <row r="4167" spans="1:16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>
        <v>0</v>
      </c>
      <c r="N4167">
        <v>98.82</v>
      </c>
      <c r="O4167">
        <v>30.741410488245929</v>
      </c>
      <c r="P4167"/>
    </row>
    <row r="4168" spans="1:16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98.2</v>
      </c>
      <c r="O4168">
        <v>27.170868347338931</v>
      </c>
      <c r="P4168"/>
    </row>
    <row r="4169" spans="1:16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>
        <v>4</v>
      </c>
      <c r="N4169">
        <v>100</v>
      </c>
      <c r="O4169">
        <v>23.134328358208951</v>
      </c>
      <c r="P4169"/>
    </row>
    <row r="4170" spans="1:16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13</v>
      </c>
      <c r="N4170">
        <v>96.3</v>
      </c>
      <c r="O4170">
        <v>32.219570405727922</v>
      </c>
      <c r="P4170"/>
    </row>
    <row r="4171" spans="1:16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>
        <v>19</v>
      </c>
      <c r="N4171">
        <v>93.75</v>
      </c>
      <c r="O4171">
        <v>26.819923371647509</v>
      </c>
      <c r="P4171"/>
    </row>
    <row r="4172" spans="1:16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>
        <v>21</v>
      </c>
      <c r="N4172">
        <v>97.86</v>
      </c>
      <c r="O4172">
        <v>31.018518518518519</v>
      </c>
      <c r="P4172"/>
    </row>
    <row r="4173" spans="1:16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>
        <v>8</v>
      </c>
      <c r="N4173">
        <v>100</v>
      </c>
      <c r="O4173">
        <v>36.594202898550733</v>
      </c>
      <c r="P4173"/>
    </row>
    <row r="4174" spans="1:16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>
        <v>16</v>
      </c>
      <c r="N4174">
        <v>100</v>
      </c>
      <c r="O4174">
        <v>38.653846153846153</v>
      </c>
      <c r="P4174"/>
    </row>
    <row r="4175" spans="1:16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>
        <v>5</v>
      </c>
      <c r="N4175">
        <v>100</v>
      </c>
      <c r="O4175">
        <v>27.368421052631579</v>
      </c>
      <c r="P4175"/>
    </row>
    <row r="4176" spans="1:16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>
        <v>27</v>
      </c>
      <c r="N4176">
        <v>97.83</v>
      </c>
      <c r="O4176">
        <v>28.35164835164835</v>
      </c>
      <c r="P4176"/>
    </row>
    <row r="4177" spans="1:16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>
        <v>19</v>
      </c>
      <c r="N4177">
        <v>99.26</v>
      </c>
      <c r="O4177">
        <v>29.766536964980549</v>
      </c>
      <c r="P4177"/>
    </row>
    <row r="4178" spans="1:16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>
        <v>17</v>
      </c>
      <c r="N4178">
        <v>99.19</v>
      </c>
      <c r="O4178">
        <v>29.462365591397852</v>
      </c>
      <c r="P4178"/>
    </row>
    <row r="4179" spans="1:16" hidden="1" x14ac:dyDescent="0.25">
      <c r="A4179" s="11">
        <v>46141</v>
      </c>
      <c r="B4179" t="s">
        <v>53</v>
      </c>
      <c r="C4179" t="s">
        <v>48</v>
      </c>
      <c r="D4179" s="3">
        <v>36</v>
      </c>
      <c r="E4179" s="3">
        <v>34</v>
      </c>
      <c r="F4179" s="3">
        <v>15.24</v>
      </c>
      <c r="G4179" s="3">
        <v>0</v>
      </c>
      <c r="H4179" s="3">
        <v>0</v>
      </c>
      <c r="I4179" s="3">
        <f>E4179+G4179+H4179</f>
        <v>34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28</v>
      </c>
      <c r="K4179" s="3">
        <f>I4179-J4179</f>
        <v>6</v>
      </c>
      <c r="L4179" s="3" t="str">
        <f>IF(K4179&lt;-5,"CRÍTICO",IF(K4179&lt;0,"ATENÇÃO",IF(K4179&lt;=5,"OPORTUNO","MUITO BOM")))</f>
        <v>MUITO BOM</v>
      </c>
      <c r="M4179" s="3">
        <v>30</v>
      </c>
      <c r="N4179" s="3">
        <v>99.19</v>
      </c>
      <c r="O4179" s="3">
        <v>29.462365591397852</v>
      </c>
    </row>
    <row r="4180" spans="1:16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>
        <v>20</v>
      </c>
      <c r="N4180">
        <v>100</v>
      </c>
      <c r="O4180">
        <v>28.921568627450981</v>
      </c>
      <c r="P4180"/>
    </row>
    <row r="4181" spans="1:16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>
        <v>27</v>
      </c>
      <c r="N4181">
        <v>99.57</v>
      </c>
      <c r="O4181">
        <v>30.635838150289018</v>
      </c>
      <c r="P4181"/>
    </row>
    <row r="4182" spans="1:16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>
        <v>0</v>
      </c>
      <c r="N4182">
        <v>95.65</v>
      </c>
      <c r="O4182">
        <v>32.432432432432442</v>
      </c>
      <c r="P4182"/>
    </row>
    <row r="4183" spans="1:16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>
        <v>20</v>
      </c>
      <c r="N4183">
        <v>98.81</v>
      </c>
      <c r="O4183">
        <v>26.256983240223459</v>
      </c>
      <c r="P4183"/>
    </row>
    <row r="4184" spans="1:16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>
        <v>0</v>
      </c>
      <c r="N4184">
        <v>0</v>
      </c>
      <c r="O4184">
        <v>0</v>
      </c>
      <c r="P4184"/>
    </row>
    <row r="4185" spans="1:16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>
        <v>10</v>
      </c>
      <c r="N4185">
        <v>97.17</v>
      </c>
      <c r="O4185">
        <v>28.81844380403458</v>
      </c>
      <c r="P4185"/>
    </row>
    <row r="4186" spans="1:16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>
        <v>20</v>
      </c>
      <c r="N4186">
        <v>96.81</v>
      </c>
      <c r="O4186">
        <v>48.018648018648022</v>
      </c>
      <c r="P4186"/>
    </row>
    <row r="4187" spans="1:16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>
        <v>5</v>
      </c>
      <c r="N4187">
        <v>98.15</v>
      </c>
      <c r="O4187">
        <v>27.1551724137931</v>
      </c>
      <c r="P4187"/>
    </row>
    <row r="4188" spans="1:16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>
        <v>25</v>
      </c>
      <c r="N4188">
        <v>99.15</v>
      </c>
      <c r="O4188">
        <v>27.586206896551719</v>
      </c>
      <c r="P4188"/>
    </row>
    <row r="4189" spans="1:16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>
        <v>21</v>
      </c>
      <c r="N4189">
        <v>99.17</v>
      </c>
      <c r="O4189">
        <v>29.75206611570248</v>
      </c>
      <c r="P4189"/>
    </row>
    <row r="4190" spans="1:16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>
        <v>0</v>
      </c>
      <c r="N4190">
        <v>98.73</v>
      </c>
      <c r="O4190">
        <v>28.961748633879779</v>
      </c>
      <c r="P4190"/>
    </row>
    <row r="4191" spans="1:16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88.68</v>
      </c>
      <c r="O4191">
        <v>22.03389830508474</v>
      </c>
      <c r="P4191"/>
    </row>
    <row r="4192" spans="1:16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>
        <v>15</v>
      </c>
      <c r="N4192">
        <v>97.37</v>
      </c>
      <c r="O4192">
        <v>25.76530612244898</v>
      </c>
      <c r="P4192"/>
    </row>
    <row r="4193" spans="1:16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>
        <v>0</v>
      </c>
      <c r="N4193">
        <v>100</v>
      </c>
      <c r="O4193">
        <v>25</v>
      </c>
      <c r="P4193"/>
    </row>
    <row r="4194" spans="1:16" hidden="1" x14ac:dyDescent="0.25">
      <c r="A4194" s="11">
        <v>46134</v>
      </c>
      <c r="B4194" t="s">
        <v>43</v>
      </c>
      <c r="C4194" t="s">
        <v>32</v>
      </c>
      <c r="D4194">
        <v>22</v>
      </c>
      <c r="E4194">
        <v>21</v>
      </c>
      <c r="F4194">
        <v>14.13</v>
      </c>
      <c r="G4194">
        <v>0</v>
      </c>
      <c r="H4194">
        <v>0</v>
      </c>
      <c r="I4194" s="3">
        <f>E4194+G4194+H4194</f>
        <v>21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23</v>
      </c>
      <c r="K4194" s="3">
        <f>I4194-J4194</f>
        <v>-2</v>
      </c>
      <c r="L4194" s="3" t="str">
        <f>IF(K4194&lt;-5,"CRÍTICO",IF(K4194&lt;0,"ATENÇÃO",IF(K4194&lt;=5,"OPORTUNO","MUITO BOM")))</f>
        <v>ATENÇÃO</v>
      </c>
      <c r="M4194">
        <v>31</v>
      </c>
      <c r="N4194">
        <v>100</v>
      </c>
      <c r="O4194">
        <v>23.9870340356564</v>
      </c>
      <c r="P4194"/>
    </row>
    <row r="4195" spans="1:16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>
        <v>16</v>
      </c>
      <c r="N4195">
        <v>95.49</v>
      </c>
      <c r="O4195">
        <v>28.370221327967808</v>
      </c>
      <c r="P4195"/>
    </row>
    <row r="4196" spans="1:16" hidden="1" x14ac:dyDescent="0.25">
      <c r="A4196" s="11">
        <v>46134</v>
      </c>
      <c r="B4196" t="s">
        <v>20</v>
      </c>
      <c r="C4196" t="s">
        <v>16</v>
      </c>
      <c r="D4196">
        <v>21</v>
      </c>
      <c r="E4196">
        <v>18</v>
      </c>
      <c r="F4196">
        <v>16.5</v>
      </c>
      <c r="G4196">
        <v>0</v>
      </c>
      <c r="H4196">
        <v>0</v>
      </c>
      <c r="I4196" s="3">
        <f>E4196+G4196+H4196</f>
        <v>18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7</v>
      </c>
      <c r="K4196" s="3">
        <f>I4196-J4196</f>
        <v>11</v>
      </c>
      <c r="L4196" s="3" t="str">
        <f>IF(K4196&lt;-5,"CRÍTICO",IF(K4196&lt;0,"ATENÇÃO",IF(K4196&lt;=5,"OPORTUNO","MUITO BOM")))</f>
        <v>MUITO BOM</v>
      </c>
      <c r="M4196">
        <v>9</v>
      </c>
      <c r="N4196">
        <v>100</v>
      </c>
      <c r="O4196">
        <v>23.77622377622378</v>
      </c>
      <c r="P4196"/>
    </row>
    <row r="4197" spans="1:16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>
        <v>10</v>
      </c>
      <c r="N4197">
        <v>96.15</v>
      </c>
      <c r="O4197">
        <v>24.045801526717561</v>
      </c>
      <c r="P4197"/>
    </row>
    <row r="4198" spans="1:16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>
        <v>8</v>
      </c>
      <c r="N4198">
        <v>99.02</v>
      </c>
      <c r="O4198">
        <v>34.797297297297298</v>
      </c>
      <c r="P4198"/>
    </row>
    <row r="4199" spans="1:16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>
        <v>3</v>
      </c>
      <c r="N4199">
        <v>98.84</v>
      </c>
      <c r="O4199">
        <v>31.868131868131869</v>
      </c>
      <c r="P4199"/>
    </row>
    <row r="4200" spans="1:16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>
        <v>8</v>
      </c>
      <c r="N4200">
        <v>100</v>
      </c>
      <c r="O4200">
        <v>34.666666666666671</v>
      </c>
      <c r="P4200"/>
    </row>
    <row r="4201" spans="1:16" hidden="1" x14ac:dyDescent="0.25">
      <c r="A4201" s="11">
        <v>46134</v>
      </c>
      <c r="B4201" t="s">
        <v>21</v>
      </c>
      <c r="C4201" t="s">
        <v>16</v>
      </c>
      <c r="D4201">
        <v>7</v>
      </c>
      <c r="E4201">
        <v>7</v>
      </c>
      <c r="F4201">
        <v>30.53</v>
      </c>
      <c r="G4201">
        <v>0</v>
      </c>
      <c r="H4201">
        <v>0</v>
      </c>
      <c r="I4201" s="3">
        <f>E4201+G4201+H4201</f>
        <v>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7</v>
      </c>
      <c r="K4201" s="3">
        <f>I4201-J4201</f>
        <v>0</v>
      </c>
      <c r="L4201" s="3" t="str">
        <f>IF(K4201&lt;-5,"CRÍTICO",IF(K4201&lt;0,"ATENÇÃO",IF(K4201&lt;=5,"OPORTUNO","MUITO BOM")))</f>
        <v>OPORTUNO</v>
      </c>
      <c r="M4201">
        <v>5</v>
      </c>
      <c r="N4201">
        <v>94.12</v>
      </c>
      <c r="O4201">
        <v>32.799999999999997</v>
      </c>
      <c r="P4201"/>
    </row>
    <row r="4202" spans="1:16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>
        <v>16</v>
      </c>
      <c r="N4202">
        <v>98.32</v>
      </c>
      <c r="O4202">
        <v>26.858513189448441</v>
      </c>
      <c r="P4202"/>
    </row>
    <row r="4203" spans="1:16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>
        <v>19</v>
      </c>
      <c r="N4203">
        <v>100</v>
      </c>
      <c r="O4203">
        <v>31.135531135531139</v>
      </c>
      <c r="P4203"/>
    </row>
    <row r="4204" spans="1:16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>
        <v>12</v>
      </c>
      <c r="N4204">
        <v>100</v>
      </c>
      <c r="O4204">
        <v>26.36986301369863</v>
      </c>
      <c r="P4204"/>
    </row>
    <row r="4205" spans="1:16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>
        <v>16</v>
      </c>
      <c r="N4205">
        <v>99.21</v>
      </c>
      <c r="O4205">
        <v>25.188916876574311</v>
      </c>
      <c r="P4205"/>
    </row>
    <row r="4206" spans="1:16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>
        <v>22</v>
      </c>
      <c r="N4206">
        <v>100</v>
      </c>
      <c r="O4206">
        <v>32.764505119453922</v>
      </c>
      <c r="P4206"/>
    </row>
    <row r="4207" spans="1:16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>
        <v>18</v>
      </c>
      <c r="N4207">
        <v>98.66</v>
      </c>
      <c r="O4207">
        <v>35.416666666666671</v>
      </c>
      <c r="P4207"/>
    </row>
    <row r="4208" spans="1:16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>
        <v>21</v>
      </c>
      <c r="N4208">
        <v>99.32</v>
      </c>
      <c r="O4208">
        <v>30.648330058939099</v>
      </c>
      <c r="P4208"/>
    </row>
    <row r="4209" spans="1:16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>
        <v>19</v>
      </c>
      <c r="N4209">
        <v>100</v>
      </c>
      <c r="O4209">
        <v>27.803738317757009</v>
      </c>
      <c r="P4209"/>
    </row>
    <row r="4210" spans="1:16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>
        <v>30</v>
      </c>
      <c r="N4210">
        <v>96.74</v>
      </c>
      <c r="O4210">
        <v>28.67647058823529</v>
      </c>
      <c r="P4210"/>
    </row>
    <row r="4211" spans="1:16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>
        <v>0</v>
      </c>
      <c r="N4211">
        <v>98.82</v>
      </c>
      <c r="O4211">
        <v>30.741410488245929</v>
      </c>
      <c r="P4211"/>
    </row>
    <row r="4212" spans="1:16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98.2</v>
      </c>
      <c r="O4212">
        <v>27.170868347338931</v>
      </c>
      <c r="P4212"/>
    </row>
    <row r="4213" spans="1:16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>
        <v>6</v>
      </c>
      <c r="N4213">
        <v>100</v>
      </c>
      <c r="O4213">
        <v>23.134328358208951</v>
      </c>
      <c r="P4213"/>
    </row>
    <row r="4214" spans="1:16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>
        <v>13</v>
      </c>
      <c r="N4214">
        <v>96.3</v>
      </c>
      <c r="O4214">
        <v>32.219570405727922</v>
      </c>
      <c r="P4214"/>
    </row>
    <row r="4215" spans="1:16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>
        <v>17</v>
      </c>
      <c r="N4215">
        <v>93.75</v>
      </c>
      <c r="O4215">
        <v>26.819923371647509</v>
      </c>
      <c r="P4215"/>
    </row>
    <row r="4216" spans="1:16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>
        <v>22</v>
      </c>
      <c r="N4216">
        <v>97.86</v>
      </c>
      <c r="O4216">
        <v>31.018518518518519</v>
      </c>
      <c r="P4216"/>
    </row>
    <row r="4217" spans="1:16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>
        <v>15</v>
      </c>
      <c r="N4217">
        <v>100</v>
      </c>
      <c r="O4217">
        <v>36.594202898550733</v>
      </c>
      <c r="P4217"/>
    </row>
    <row r="4218" spans="1:16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>
        <v>16</v>
      </c>
      <c r="N4218">
        <v>100</v>
      </c>
      <c r="O4218">
        <v>38.653846153846153</v>
      </c>
      <c r="P4218"/>
    </row>
    <row r="4219" spans="1:16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>
        <v>8</v>
      </c>
      <c r="N4219">
        <v>100</v>
      </c>
      <c r="O4219">
        <v>27.368421052631579</v>
      </c>
      <c r="P4219"/>
    </row>
    <row r="4220" spans="1:16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24</v>
      </c>
      <c r="N4220">
        <v>97.83</v>
      </c>
      <c r="O4220">
        <v>28.35164835164835</v>
      </c>
      <c r="P4220"/>
    </row>
    <row r="4221" spans="1:16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>
        <v>25</v>
      </c>
      <c r="N4221">
        <v>99.26</v>
      </c>
      <c r="O4221">
        <v>29.766536964980549</v>
      </c>
      <c r="P4221"/>
    </row>
    <row r="4222" spans="1:16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>
        <v>24</v>
      </c>
      <c r="N4222">
        <v>99.19</v>
      </c>
      <c r="O4222">
        <v>29.462365591397852</v>
      </c>
      <c r="P4222"/>
    </row>
    <row r="4223" spans="1:16" hidden="1" x14ac:dyDescent="0.25">
      <c r="A4223" s="11">
        <v>46142</v>
      </c>
      <c r="B4223" t="s">
        <v>53</v>
      </c>
      <c r="C4223" t="s">
        <v>48</v>
      </c>
      <c r="D4223" s="3">
        <v>42</v>
      </c>
      <c r="E4223" s="3">
        <v>42</v>
      </c>
      <c r="F4223" s="3">
        <v>16.41</v>
      </c>
      <c r="G4223" s="3">
        <v>0</v>
      </c>
      <c r="H4223" s="3">
        <v>0</v>
      </c>
      <c r="I4223" s="3">
        <f>E4223+G4223+H4223</f>
        <v>42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26</v>
      </c>
      <c r="K4223" s="3">
        <f>I4223-J4223</f>
        <v>16</v>
      </c>
      <c r="L4223" s="3" t="str">
        <f>IF(K4223&lt;-5,"CRÍTICO",IF(K4223&lt;0,"ATENÇÃO",IF(K4223&lt;=5,"OPORTUNO","MUITO BOM")))</f>
        <v>MUITO BOM</v>
      </c>
      <c r="M4223" s="3">
        <v>35</v>
      </c>
      <c r="N4223" s="3">
        <v>99.19</v>
      </c>
      <c r="O4223" s="3">
        <v>29.462365591397852</v>
      </c>
    </row>
    <row r="4224" spans="1:16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>
        <v>16</v>
      </c>
      <c r="N4224">
        <v>100</v>
      </c>
      <c r="O4224">
        <v>28.921568627450981</v>
      </c>
      <c r="P4224"/>
    </row>
    <row r="4225" spans="1:16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>
        <v>31</v>
      </c>
      <c r="N4225">
        <v>99.57</v>
      </c>
      <c r="O4225">
        <v>30.635838150289018</v>
      </c>
      <c r="P4225"/>
    </row>
    <row r="4226" spans="1:16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>
        <v>0</v>
      </c>
      <c r="N4226">
        <v>95.65</v>
      </c>
      <c r="O4226">
        <v>32.432432432432442</v>
      </c>
      <c r="P4226"/>
    </row>
    <row r="4227" spans="1:16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>
        <v>20</v>
      </c>
      <c r="N4227">
        <v>98.81</v>
      </c>
      <c r="O4227">
        <v>26.256983240223459</v>
      </c>
      <c r="P4227"/>
    </row>
    <row r="4228" spans="1:16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>
        <v>0</v>
      </c>
      <c r="N4228">
        <v>0</v>
      </c>
      <c r="O4228">
        <v>0</v>
      </c>
      <c r="P4228"/>
    </row>
    <row r="4229" spans="1:16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>
        <v>7</v>
      </c>
      <c r="N4229">
        <v>97.17</v>
      </c>
      <c r="O4229">
        <v>28.81844380403458</v>
      </c>
      <c r="P4229"/>
    </row>
    <row r="4230" spans="1:16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>
        <v>30</v>
      </c>
      <c r="N4230">
        <v>96.81</v>
      </c>
      <c r="O4230">
        <v>48.018648018648022</v>
      </c>
      <c r="P4230"/>
    </row>
    <row r="4231" spans="1:16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>
        <v>18</v>
      </c>
      <c r="N4231">
        <v>98.15</v>
      </c>
      <c r="O4231">
        <v>27.1551724137931</v>
      </c>
      <c r="P4231"/>
    </row>
    <row r="4232" spans="1:16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>
        <v>20</v>
      </c>
      <c r="N4232">
        <v>99.15</v>
      </c>
      <c r="O4232">
        <v>27.586206896551719</v>
      </c>
      <c r="P4232"/>
    </row>
    <row r="4233" spans="1:16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>
        <v>17</v>
      </c>
      <c r="N4233">
        <v>99.17</v>
      </c>
      <c r="O4233">
        <v>29.75206611570248</v>
      </c>
      <c r="P4233"/>
    </row>
    <row r="4234" spans="1:16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>
        <v>0</v>
      </c>
      <c r="N4234">
        <v>98.73</v>
      </c>
      <c r="O4234">
        <v>28.961748633879779</v>
      </c>
      <c r="P4234"/>
    </row>
    <row r="4235" spans="1:16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88.68</v>
      </c>
      <c r="O4235">
        <v>22.03389830508474</v>
      </c>
      <c r="P4235"/>
    </row>
    <row r="4236" spans="1:16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>
        <v>22</v>
      </c>
      <c r="N4236">
        <v>97.37</v>
      </c>
      <c r="O4236">
        <v>25.76530612244898</v>
      </c>
      <c r="P4236"/>
    </row>
    <row r="4237" spans="1:16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>
        <v>0</v>
      </c>
      <c r="N4237">
        <v>100</v>
      </c>
      <c r="O4237">
        <v>25</v>
      </c>
      <c r="P4237"/>
    </row>
    <row r="4238" spans="1:16" hidden="1" x14ac:dyDescent="0.25">
      <c r="A4238" s="11">
        <v>46135</v>
      </c>
      <c r="B4238" t="s">
        <v>43</v>
      </c>
      <c r="C4238" t="s">
        <v>32</v>
      </c>
      <c r="D4238">
        <v>19</v>
      </c>
      <c r="E4238">
        <v>17</v>
      </c>
      <c r="F4238">
        <v>12.26</v>
      </c>
      <c r="G4238">
        <v>0</v>
      </c>
      <c r="H4238">
        <v>0</v>
      </c>
      <c r="I4238" s="3">
        <f>E4238+G4238+H4238</f>
        <v>17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25</v>
      </c>
      <c r="K4238" s="3">
        <f>I4238-J4238</f>
        <v>-8</v>
      </c>
      <c r="L4238" s="3" t="str">
        <f>IF(K4238&lt;-5,"CRÍTICO",IF(K4238&lt;0,"ATENÇÃO",IF(K4238&lt;=5,"OPORTUNO","MUITO BOM")))</f>
        <v>CRÍTICO</v>
      </c>
      <c r="M4238">
        <v>26</v>
      </c>
      <c r="N4238">
        <v>100</v>
      </c>
      <c r="O4238">
        <v>23.9870340356564</v>
      </c>
      <c r="P4238"/>
    </row>
    <row r="4239" spans="1:16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>
        <v>20</v>
      </c>
      <c r="N4239">
        <v>95.49</v>
      </c>
      <c r="O4239">
        <v>28.370221327967808</v>
      </c>
      <c r="P4239"/>
    </row>
    <row r="4240" spans="1:16" hidden="1" x14ac:dyDescent="0.25">
      <c r="A4240" s="11">
        <v>46135</v>
      </c>
      <c r="B4240" t="s">
        <v>20</v>
      </c>
      <c r="C4240" t="s">
        <v>16</v>
      </c>
      <c r="D4240">
        <v>12</v>
      </c>
      <c r="E4240">
        <v>12</v>
      </c>
      <c r="F4240">
        <v>23.38</v>
      </c>
      <c r="G4240">
        <v>0</v>
      </c>
      <c r="H4240">
        <v>0</v>
      </c>
      <c r="I4240" s="3">
        <f>E4240+G4240+H4240</f>
        <v>12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7</v>
      </c>
      <c r="K4240" s="3">
        <f>I4240-J4240</f>
        <v>5</v>
      </c>
      <c r="L4240" s="3" t="str">
        <f>IF(K4240&lt;-5,"CRÍTICO",IF(K4240&lt;0,"ATENÇÃO",IF(K4240&lt;=5,"OPORTUNO","MUITO BOM")))</f>
        <v>OPORTUNO</v>
      </c>
      <c r="M4240">
        <v>7</v>
      </c>
      <c r="N4240">
        <v>100</v>
      </c>
      <c r="O4240">
        <v>23.77622377622378</v>
      </c>
      <c r="P4240"/>
    </row>
    <row r="4241" spans="1:16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16</v>
      </c>
      <c r="N4241">
        <v>96.15</v>
      </c>
      <c r="O4241">
        <v>24.045801526717561</v>
      </c>
      <c r="P4241"/>
    </row>
    <row r="4242" spans="1:16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>
        <v>0</v>
      </c>
      <c r="N4242">
        <v>99.02</v>
      </c>
      <c r="O4242">
        <v>34.797297297297298</v>
      </c>
      <c r="P4242"/>
    </row>
    <row r="4243" spans="1:16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98.84</v>
      </c>
      <c r="O4243">
        <v>31.868131868131869</v>
      </c>
      <c r="P4243"/>
    </row>
    <row r="4244" spans="1:16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>
        <v>10</v>
      </c>
      <c r="N4244">
        <v>100</v>
      </c>
      <c r="O4244">
        <v>34.666666666666671</v>
      </c>
      <c r="P4244"/>
    </row>
    <row r="4245" spans="1:16" hidden="1" x14ac:dyDescent="0.25">
      <c r="A4245" s="11">
        <v>46135</v>
      </c>
      <c r="B4245" t="s">
        <v>21</v>
      </c>
      <c r="C4245" t="s">
        <v>16</v>
      </c>
      <c r="D4245">
        <v>5</v>
      </c>
      <c r="E4245">
        <v>5</v>
      </c>
      <c r="F4245">
        <v>23.21</v>
      </c>
      <c r="G4245">
        <v>0</v>
      </c>
      <c r="H4245">
        <v>0</v>
      </c>
      <c r="I4245" s="3">
        <f>E4245+G4245+H4245</f>
        <v>5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7</v>
      </c>
      <c r="K4245" s="3">
        <f>I4245-J4245</f>
        <v>-2</v>
      </c>
      <c r="L4245" s="3" t="str">
        <f>IF(K4245&lt;-5,"CRÍTICO",IF(K4245&lt;0,"ATENÇÃO",IF(K4245&lt;=5,"OPORTUNO","MUITO BOM")))</f>
        <v>ATENÇÃO</v>
      </c>
      <c r="M4245">
        <v>4</v>
      </c>
      <c r="N4245">
        <v>94.12</v>
      </c>
      <c r="O4245">
        <v>32.799999999999997</v>
      </c>
      <c r="P4245"/>
    </row>
    <row r="4246" spans="1:16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>
        <v>23</v>
      </c>
      <c r="N4246">
        <v>98.32</v>
      </c>
      <c r="O4246">
        <v>26.858513189448441</v>
      </c>
      <c r="P4246"/>
    </row>
    <row r="4247" spans="1:16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>
        <v>20</v>
      </c>
      <c r="N4247">
        <v>100</v>
      </c>
      <c r="O4247">
        <v>31.135531135531139</v>
      </c>
      <c r="P4247"/>
    </row>
    <row r="4248" spans="1:16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>
        <v>19</v>
      </c>
      <c r="N4248">
        <v>100</v>
      </c>
      <c r="O4248">
        <v>26.36986301369863</v>
      </c>
      <c r="P4248"/>
    </row>
    <row r="4249" spans="1:16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>
        <v>21</v>
      </c>
      <c r="N4249">
        <v>99.21</v>
      </c>
      <c r="O4249">
        <v>25.188916876574311</v>
      </c>
      <c r="P4249"/>
    </row>
    <row r="4250" spans="1:16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>
        <v>24</v>
      </c>
      <c r="N4250">
        <v>100</v>
      </c>
      <c r="O4250">
        <v>32.764505119453922</v>
      </c>
      <c r="P4250"/>
    </row>
    <row r="4251" spans="1:16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>
        <v>14</v>
      </c>
      <c r="N4251">
        <v>98.66</v>
      </c>
      <c r="O4251">
        <v>35.416666666666671</v>
      </c>
      <c r="P4251"/>
    </row>
    <row r="4252" spans="1:16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>
        <v>24</v>
      </c>
      <c r="N4252">
        <v>99.32</v>
      </c>
      <c r="O4252">
        <v>30.648330058939099</v>
      </c>
      <c r="P4252"/>
    </row>
    <row r="4253" spans="1:16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>
        <v>21</v>
      </c>
      <c r="N4253">
        <v>100</v>
      </c>
      <c r="O4253">
        <v>27.803738317757009</v>
      </c>
      <c r="P4253"/>
    </row>
    <row r="4254" spans="1:16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>
        <v>29</v>
      </c>
      <c r="N4254">
        <v>96.74</v>
      </c>
      <c r="O4254">
        <v>28.67647058823529</v>
      </c>
      <c r="P4254"/>
    </row>
    <row r="4255" spans="1:16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>
        <v>0</v>
      </c>
      <c r="N4255">
        <v>98.82</v>
      </c>
      <c r="O4255">
        <v>30.741410488245929</v>
      </c>
      <c r="P4255"/>
    </row>
    <row r="4256" spans="1:16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2</v>
      </c>
      <c r="N4256">
        <v>98.2</v>
      </c>
      <c r="O4256">
        <v>27.170868347338931</v>
      </c>
      <c r="P4256"/>
    </row>
    <row r="4257" spans="1:16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>
        <v>7</v>
      </c>
      <c r="N4257">
        <v>100</v>
      </c>
      <c r="O4257">
        <v>23.134328358208951</v>
      </c>
      <c r="P4257"/>
    </row>
    <row r="4258" spans="1:16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>
        <v>14</v>
      </c>
      <c r="N4258">
        <v>96.3</v>
      </c>
      <c r="O4258">
        <v>32.219570405727922</v>
      </c>
      <c r="P4258"/>
    </row>
    <row r="4259" spans="1:16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>
        <v>23</v>
      </c>
      <c r="N4259">
        <v>93.75</v>
      </c>
      <c r="O4259">
        <v>26.819923371647509</v>
      </c>
      <c r="P4259"/>
    </row>
    <row r="4260" spans="1:16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>
        <v>0</v>
      </c>
      <c r="N4260">
        <v>97.86</v>
      </c>
      <c r="O4260">
        <v>31.018518518518519</v>
      </c>
      <c r="P4260"/>
    </row>
    <row r="4261" spans="1:16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>
        <v>10</v>
      </c>
      <c r="N4261">
        <v>100</v>
      </c>
      <c r="O4261">
        <v>36.594202898550733</v>
      </c>
      <c r="P4261"/>
    </row>
    <row r="4262" spans="1:16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>
        <v>23</v>
      </c>
      <c r="N4262">
        <v>100</v>
      </c>
      <c r="O4262">
        <v>38.653846153846153</v>
      </c>
      <c r="P4262"/>
    </row>
    <row r="4263" spans="1:16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>
        <v>5</v>
      </c>
      <c r="N4263">
        <v>100</v>
      </c>
      <c r="O4263">
        <v>27.368421052631579</v>
      </c>
      <c r="P4263"/>
    </row>
    <row r="4264" spans="1:16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>
        <v>19</v>
      </c>
      <c r="N4264">
        <v>97.83</v>
      </c>
      <c r="O4264">
        <v>28.35164835164835</v>
      </c>
      <c r="P4264"/>
    </row>
    <row r="4265" spans="1:16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>
        <v>22</v>
      </c>
      <c r="N4265">
        <v>99.26</v>
      </c>
      <c r="O4265">
        <v>29.766536964980549</v>
      </c>
      <c r="P4265"/>
    </row>
    <row r="4266" spans="1:16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>
        <v>24</v>
      </c>
      <c r="N4266">
        <v>99.19</v>
      </c>
      <c r="O4266">
        <v>29.462365591397852</v>
      </c>
      <c r="P4266"/>
    </row>
    <row r="4267" spans="1:16" hidden="1" x14ac:dyDescent="0.25">
      <c r="A4267" s="5">
        <v>46146</v>
      </c>
      <c r="B4267" s="6" t="s">
        <v>53</v>
      </c>
      <c r="C4267" s="3" t="s">
        <v>48</v>
      </c>
      <c r="D4267" s="3">
        <v>36</v>
      </c>
      <c r="E4267" s="3">
        <v>33</v>
      </c>
      <c r="F4267" s="3">
        <v>18.37</v>
      </c>
      <c r="G4267" s="3">
        <v>0</v>
      </c>
      <c r="H4267" s="3">
        <v>0</v>
      </c>
      <c r="I4267" s="3">
        <f>E4267+G4267+H4267</f>
        <v>33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28</v>
      </c>
      <c r="K4267" s="3">
        <f>I4267-J4267</f>
        <v>5</v>
      </c>
      <c r="L4267" s="3" t="str">
        <f>IF(K4267&lt;-5,"CRÍTICO",IF(K4267&lt;0,"ATENÇÃO",IF(K4267&lt;=5,"BOM","EXCELENTE")))</f>
        <v>BOM</v>
      </c>
      <c r="M4267" s="3">
        <v>29</v>
      </c>
      <c r="N4267" s="3">
        <v>100</v>
      </c>
      <c r="O4267" s="3">
        <v>17.241379310344829</v>
      </c>
    </row>
    <row r="4268" spans="1:16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>
        <v>19</v>
      </c>
      <c r="N4268">
        <v>100</v>
      </c>
      <c r="O4268">
        <v>28.921568627450981</v>
      </c>
      <c r="P4268"/>
    </row>
    <row r="4269" spans="1:16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>
        <v>28</v>
      </c>
      <c r="N4269">
        <v>99.57</v>
      </c>
      <c r="O4269">
        <v>30.635838150289018</v>
      </c>
      <c r="P4269"/>
    </row>
    <row r="4270" spans="1:16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>
        <v>0</v>
      </c>
      <c r="N4270">
        <v>95.65</v>
      </c>
      <c r="O4270">
        <v>32.432432432432442</v>
      </c>
      <c r="P4270"/>
    </row>
    <row r="4271" spans="1:16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>
        <v>14</v>
      </c>
      <c r="N4271">
        <v>98.81</v>
      </c>
      <c r="O4271">
        <v>26.256983240223459</v>
      </c>
      <c r="P4271"/>
    </row>
    <row r="4272" spans="1:16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>
        <v>0</v>
      </c>
      <c r="N4272">
        <v>0</v>
      </c>
      <c r="O4272">
        <v>0</v>
      </c>
      <c r="P4272"/>
    </row>
    <row r="4273" spans="1:16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>
        <v>14</v>
      </c>
      <c r="N4273">
        <v>97.17</v>
      </c>
      <c r="O4273">
        <v>28.81844380403458</v>
      </c>
      <c r="P4273"/>
    </row>
    <row r="4274" spans="1:16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>
        <v>28</v>
      </c>
      <c r="N4274">
        <v>96.81</v>
      </c>
      <c r="O4274">
        <v>48.018648018648022</v>
      </c>
      <c r="P4274"/>
    </row>
    <row r="4275" spans="1:16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>
        <v>11</v>
      </c>
      <c r="N4275">
        <v>98.15</v>
      </c>
      <c r="O4275">
        <v>27.1551724137931</v>
      </c>
      <c r="P4275"/>
    </row>
    <row r="4276" spans="1:16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>
        <v>19</v>
      </c>
      <c r="N4276">
        <v>99.15</v>
      </c>
      <c r="O4276">
        <v>27.586206896551719</v>
      </c>
      <c r="P4276"/>
    </row>
    <row r="4277" spans="1:16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>
        <v>9</v>
      </c>
      <c r="N4277">
        <v>99.17</v>
      </c>
      <c r="O4277">
        <v>29.75206611570248</v>
      </c>
      <c r="P4277"/>
    </row>
    <row r="4278" spans="1:16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>
        <v>0</v>
      </c>
      <c r="N4278">
        <v>98.73</v>
      </c>
      <c r="O4278">
        <v>28.961748633879779</v>
      </c>
      <c r="P4278"/>
    </row>
    <row r="4279" spans="1:16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88.68</v>
      </c>
      <c r="O4279">
        <v>22.03389830508474</v>
      </c>
      <c r="P4279"/>
    </row>
    <row r="4280" spans="1:16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>
        <v>14</v>
      </c>
      <c r="N4280">
        <v>97.37</v>
      </c>
      <c r="O4280">
        <v>25.76530612244898</v>
      </c>
      <c r="P4280"/>
    </row>
    <row r="4281" spans="1:16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>
        <v>5</v>
      </c>
      <c r="N4281">
        <v>100</v>
      </c>
      <c r="O4281">
        <v>25</v>
      </c>
      <c r="P4281"/>
    </row>
    <row r="4282" spans="1:16" hidden="1" x14ac:dyDescent="0.25">
      <c r="A4282" s="11">
        <v>46136</v>
      </c>
      <c r="B4282" t="s">
        <v>43</v>
      </c>
      <c r="C4282" t="s">
        <v>32</v>
      </c>
      <c r="D4282">
        <v>13</v>
      </c>
      <c r="E4282">
        <v>12</v>
      </c>
      <c r="F4282">
        <v>17.18</v>
      </c>
      <c r="G4282">
        <v>0</v>
      </c>
      <c r="H4282">
        <v>0</v>
      </c>
      <c r="I4282" s="3">
        <f>E4282+G4282+H4282</f>
        <v>12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23</v>
      </c>
      <c r="K4282" s="3">
        <f>I4282-J4282</f>
        <v>-11</v>
      </c>
      <c r="L4282" s="3" t="str">
        <f>IF(K4282&lt;-5,"CRÍTICO",IF(K4282&lt;0,"ATENÇÃO",IF(K4282&lt;=5,"OPORTUNO","MUITO BOM")))</f>
        <v>CRÍTICO</v>
      </c>
      <c r="M4282">
        <v>10</v>
      </c>
      <c r="N4282">
        <v>100</v>
      </c>
      <c r="O4282">
        <v>23.9870340356564</v>
      </c>
      <c r="P4282"/>
    </row>
    <row r="4283" spans="1:16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>
        <v>20</v>
      </c>
      <c r="N4283">
        <v>95.49</v>
      </c>
      <c r="O4283">
        <v>28.370221327967808</v>
      </c>
      <c r="P4283"/>
    </row>
    <row r="4284" spans="1:16" hidden="1" x14ac:dyDescent="0.25">
      <c r="A4284" s="11">
        <v>46136</v>
      </c>
      <c r="B4284" t="s">
        <v>20</v>
      </c>
      <c r="C4284" t="s">
        <v>16</v>
      </c>
      <c r="D4284">
        <v>3</v>
      </c>
      <c r="E4284">
        <v>3</v>
      </c>
      <c r="F4284">
        <v>30.4</v>
      </c>
      <c r="G4284">
        <v>0</v>
      </c>
      <c r="H4284">
        <v>0</v>
      </c>
      <c r="I4284" s="3">
        <f>E4284+G4284+H4284</f>
        <v>3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6</v>
      </c>
      <c r="K4284" s="3">
        <f>I4284-J4284</f>
        <v>-3</v>
      </c>
      <c r="L4284" s="3" t="str">
        <f>IF(K4284&lt;-5,"CRÍTICO",IF(K4284&lt;0,"ATENÇÃO",IF(K4284&lt;=5,"OPORTUNO","MUITO BOM")))</f>
        <v>ATENÇÃO</v>
      </c>
      <c r="M4284">
        <v>3</v>
      </c>
      <c r="N4284">
        <v>100</v>
      </c>
      <c r="O4284">
        <v>23.77622377622378</v>
      </c>
      <c r="P4284"/>
    </row>
    <row r="4285" spans="1:16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>
        <v>12</v>
      </c>
      <c r="N4285">
        <v>96.15</v>
      </c>
      <c r="O4285">
        <v>24.045801526717561</v>
      </c>
      <c r="P4285"/>
    </row>
    <row r="4286" spans="1:16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>
        <v>17</v>
      </c>
      <c r="N4286">
        <v>99.02</v>
      </c>
      <c r="O4286">
        <v>34.797297297297298</v>
      </c>
      <c r="P4286"/>
    </row>
    <row r="4287" spans="1:16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>
        <v>14</v>
      </c>
      <c r="N4287">
        <v>98.84</v>
      </c>
      <c r="O4287">
        <v>31.868131868131869</v>
      </c>
      <c r="P4287"/>
    </row>
    <row r="4288" spans="1:16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>
        <v>18</v>
      </c>
      <c r="N4288">
        <v>100</v>
      </c>
      <c r="O4288">
        <v>34.666666666666671</v>
      </c>
      <c r="P4288"/>
    </row>
    <row r="4289" spans="1:16" hidden="1" x14ac:dyDescent="0.25">
      <c r="A4289" s="11">
        <v>46136</v>
      </c>
      <c r="B4289" t="s">
        <v>21</v>
      </c>
      <c r="C4289" t="s">
        <v>16</v>
      </c>
      <c r="D4289">
        <v>9</v>
      </c>
      <c r="E4289">
        <v>9</v>
      </c>
      <c r="F4289">
        <v>20.05</v>
      </c>
      <c r="G4289">
        <v>0</v>
      </c>
      <c r="H4289">
        <v>0</v>
      </c>
      <c r="I4289" s="3">
        <f>E4289+G4289+H4289</f>
        <v>9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6</v>
      </c>
      <c r="K4289" s="3">
        <f>I4289-J4289</f>
        <v>3</v>
      </c>
      <c r="L4289" s="3" t="str">
        <f>IF(K4289&lt;-5,"CRÍTICO",IF(K4289&lt;0,"ATENÇÃO",IF(K4289&lt;=5,"OPORTUNO","MUITO BOM")))</f>
        <v>OPORTUNO</v>
      </c>
      <c r="M4289">
        <v>4</v>
      </c>
      <c r="N4289">
        <v>94.12</v>
      </c>
      <c r="O4289">
        <v>32.799999999999997</v>
      </c>
      <c r="P4289"/>
    </row>
    <row r="4290" spans="1:16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>
        <v>12</v>
      </c>
      <c r="N4290">
        <v>98.32</v>
      </c>
      <c r="O4290">
        <v>26.858513189448441</v>
      </c>
      <c r="P4290"/>
    </row>
    <row r="4291" spans="1:16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18</v>
      </c>
      <c r="N4291">
        <v>100</v>
      </c>
      <c r="O4291">
        <v>31.135531135531139</v>
      </c>
      <c r="P4291"/>
    </row>
    <row r="4292" spans="1:16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>
        <v>13</v>
      </c>
      <c r="N4292">
        <v>100</v>
      </c>
      <c r="O4292">
        <v>26.36986301369863</v>
      </c>
      <c r="P4292"/>
    </row>
    <row r="4293" spans="1:16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>
        <v>11</v>
      </c>
      <c r="N4293">
        <v>99.21</v>
      </c>
      <c r="O4293">
        <v>25.188916876574311</v>
      </c>
      <c r="P4293"/>
    </row>
    <row r="4294" spans="1:16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>
        <v>9</v>
      </c>
      <c r="N4294">
        <v>100</v>
      </c>
      <c r="O4294">
        <v>32.764505119453922</v>
      </c>
      <c r="P4294"/>
    </row>
    <row r="4295" spans="1:16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>
        <v>15</v>
      </c>
      <c r="N4295">
        <v>98.66</v>
      </c>
      <c r="O4295">
        <v>35.416666666666671</v>
      </c>
      <c r="P4295"/>
    </row>
    <row r="4296" spans="1:16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>
        <v>12</v>
      </c>
      <c r="N4296">
        <v>99.32</v>
      </c>
      <c r="O4296">
        <v>30.648330058939099</v>
      </c>
      <c r="P4296"/>
    </row>
    <row r="4297" spans="1:16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>
        <v>10</v>
      </c>
      <c r="N4297">
        <v>100</v>
      </c>
      <c r="O4297">
        <v>27.803738317757009</v>
      </c>
      <c r="P4297"/>
    </row>
    <row r="4298" spans="1:16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>
        <v>14</v>
      </c>
      <c r="N4298">
        <v>96.74</v>
      </c>
      <c r="O4298">
        <v>28.67647058823529</v>
      </c>
      <c r="P4298"/>
    </row>
    <row r="4299" spans="1:16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>
        <v>11</v>
      </c>
      <c r="N4299">
        <v>98.82</v>
      </c>
      <c r="O4299">
        <v>30.741410488245929</v>
      </c>
      <c r="P4299"/>
    </row>
    <row r="4300" spans="1:16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>
        <v>11</v>
      </c>
      <c r="N4300">
        <v>98.2</v>
      </c>
      <c r="O4300">
        <v>27.170868347338931</v>
      </c>
      <c r="P4300"/>
    </row>
    <row r="4301" spans="1:16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>
        <v>7</v>
      </c>
      <c r="N4301">
        <v>100</v>
      </c>
      <c r="O4301">
        <v>23.134328358208951</v>
      </c>
      <c r="P4301"/>
    </row>
    <row r="4302" spans="1:16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>
        <v>4</v>
      </c>
      <c r="N4302">
        <v>96.3</v>
      </c>
      <c r="O4302">
        <v>32.219570405727922</v>
      </c>
      <c r="P4302"/>
    </row>
    <row r="4303" spans="1:16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>
        <v>13</v>
      </c>
      <c r="N4303">
        <v>93.75</v>
      </c>
      <c r="O4303">
        <v>26.819923371647509</v>
      </c>
      <c r="P4303"/>
    </row>
    <row r="4304" spans="1:16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>
        <v>10</v>
      </c>
      <c r="N4304">
        <v>97.86</v>
      </c>
      <c r="O4304">
        <v>31.018518518518519</v>
      </c>
      <c r="P4304"/>
    </row>
    <row r="4305" spans="1:16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>
        <v>8</v>
      </c>
      <c r="N4305">
        <v>100</v>
      </c>
      <c r="O4305">
        <v>36.594202898550733</v>
      </c>
      <c r="P4305"/>
    </row>
    <row r="4306" spans="1:16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>
        <v>14</v>
      </c>
      <c r="N4306">
        <v>100</v>
      </c>
      <c r="O4306">
        <v>38.653846153846153</v>
      </c>
      <c r="P4306"/>
    </row>
    <row r="4307" spans="1:16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>
        <v>8</v>
      </c>
      <c r="N4307">
        <v>100</v>
      </c>
      <c r="O4307">
        <v>27.368421052631579</v>
      </c>
      <c r="P4307"/>
    </row>
    <row r="4308" spans="1:16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>
        <v>12</v>
      </c>
      <c r="N4308">
        <v>97.83</v>
      </c>
      <c r="O4308">
        <v>28.35164835164835</v>
      </c>
      <c r="P4308"/>
    </row>
    <row r="4309" spans="1:16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>
        <v>15</v>
      </c>
      <c r="N4309">
        <v>99.26</v>
      </c>
      <c r="O4309">
        <v>29.766536964980549</v>
      </c>
      <c r="P4309"/>
    </row>
    <row r="4310" spans="1:16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>
        <v>14</v>
      </c>
      <c r="N4310">
        <v>99.19</v>
      </c>
      <c r="O4310">
        <v>29.462365591397852</v>
      </c>
      <c r="P4310"/>
    </row>
    <row r="4311" spans="1:16" hidden="1" x14ac:dyDescent="0.25">
      <c r="A4311" s="5">
        <v>46147</v>
      </c>
      <c r="B4311" s="6" t="s">
        <v>53</v>
      </c>
      <c r="C4311" s="3" t="s">
        <v>48</v>
      </c>
      <c r="D4311" s="3">
        <v>0</v>
      </c>
      <c r="E4311" s="3">
        <v>0</v>
      </c>
      <c r="F4311" s="3">
        <v>0</v>
      </c>
      <c r="G4311" s="3">
        <v>0</v>
      </c>
      <c r="H4311" s="3">
        <v>0</v>
      </c>
      <c r="I4311" s="3">
        <v>0</v>
      </c>
      <c r="J4311" s="3">
        <v>0</v>
      </c>
      <c r="K4311" s="3">
        <v>0</v>
      </c>
      <c r="L4311" s="3" t="str">
        <f>IF(K4311&lt;-5,"CRÍTICO",IF(K4311&lt;0,"ATENÇÃO",IF(K4311&lt;=5,"BOM","EXCELENTE")))</f>
        <v>BOM</v>
      </c>
      <c r="M4311" s="3">
        <v>0</v>
      </c>
      <c r="N4311" s="3">
        <v>100</v>
      </c>
      <c r="O4311" s="3">
        <v>17.241379310344829</v>
      </c>
    </row>
    <row r="4312" spans="1:16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>
        <v>8</v>
      </c>
      <c r="N4312">
        <v>100</v>
      </c>
      <c r="O4312">
        <v>28.921568627450981</v>
      </c>
      <c r="P4312"/>
    </row>
    <row r="4313" spans="1:16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>
        <v>16</v>
      </c>
      <c r="N4313">
        <v>99.57</v>
      </c>
      <c r="O4313">
        <v>30.635838150289018</v>
      </c>
      <c r="P4313"/>
    </row>
    <row r="4314" spans="1:16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>
        <v>10</v>
      </c>
      <c r="N4314">
        <v>95.65</v>
      </c>
      <c r="O4314">
        <v>32.432432432432442</v>
      </c>
      <c r="P4314"/>
    </row>
    <row r="4315" spans="1:16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>
        <v>12</v>
      </c>
      <c r="N4315">
        <v>98.81</v>
      </c>
      <c r="O4315">
        <v>26.256983240223459</v>
      </c>
      <c r="P4315"/>
    </row>
    <row r="4316" spans="1:16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>
        <v>0</v>
      </c>
      <c r="N4316">
        <v>0</v>
      </c>
      <c r="O4316">
        <v>0</v>
      </c>
      <c r="P4316"/>
    </row>
    <row r="4317" spans="1:16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>
        <v>6</v>
      </c>
      <c r="N4317">
        <v>97.17</v>
      </c>
      <c r="O4317">
        <v>28.81844380403458</v>
      </c>
      <c r="P4317"/>
    </row>
    <row r="4318" spans="1:16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>
        <v>29</v>
      </c>
      <c r="N4318">
        <v>96.81</v>
      </c>
      <c r="O4318">
        <v>48.018648018648022</v>
      </c>
      <c r="P4318"/>
    </row>
    <row r="4319" spans="1:16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>
        <v>10</v>
      </c>
      <c r="N4319">
        <v>98.15</v>
      </c>
      <c r="O4319">
        <v>27.1551724137931</v>
      </c>
      <c r="P4319"/>
    </row>
    <row r="4320" spans="1:16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>
        <v>14</v>
      </c>
      <c r="N4320">
        <v>99.15</v>
      </c>
      <c r="O4320">
        <v>27.586206896551719</v>
      </c>
      <c r="P4320"/>
    </row>
    <row r="4321" spans="1:16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>
        <v>8</v>
      </c>
      <c r="N4321">
        <v>99.17</v>
      </c>
      <c r="O4321">
        <v>29.75206611570248</v>
      </c>
      <c r="P4321"/>
    </row>
    <row r="4322" spans="1:16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>
        <v>0</v>
      </c>
      <c r="N4322">
        <v>98.73</v>
      </c>
      <c r="O4322">
        <v>28.961748633879779</v>
      </c>
      <c r="P4322"/>
    </row>
    <row r="4323" spans="1:16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88.68</v>
      </c>
      <c r="O4323">
        <v>22.03389830508474</v>
      </c>
      <c r="P4323"/>
    </row>
    <row r="4324" spans="1:16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>
        <v>8</v>
      </c>
      <c r="N4324">
        <v>97.37</v>
      </c>
      <c r="O4324">
        <v>25.76530612244898</v>
      </c>
      <c r="P4324"/>
    </row>
    <row r="4325" spans="1:16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>
        <v>0</v>
      </c>
      <c r="N4325">
        <v>100</v>
      </c>
      <c r="O4325">
        <v>25</v>
      </c>
      <c r="P4325"/>
    </row>
    <row r="4326" spans="1:16" hidden="1" x14ac:dyDescent="0.25">
      <c r="A4326" s="11">
        <v>46139</v>
      </c>
      <c r="B4326" t="s">
        <v>43</v>
      </c>
      <c r="C4326" t="s">
        <v>32</v>
      </c>
      <c r="D4326">
        <v>14</v>
      </c>
      <c r="E4326">
        <v>14</v>
      </c>
      <c r="F4326">
        <v>10.57</v>
      </c>
      <c r="G4326">
        <v>0</v>
      </c>
      <c r="H4326">
        <v>0</v>
      </c>
      <c r="I4326" s="3">
        <f>E4326+G4326+H4326</f>
        <v>14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14</v>
      </c>
      <c r="K4326" s="3">
        <f>I4326-J4326</f>
        <v>0</v>
      </c>
      <c r="L4326" s="3" t="str">
        <f>IF(K4326&lt;-5,"CRÍTICO",IF(K4326&lt;0,"ATENÇÃO",IF(K4326&lt;=5,"OPORTUNO","MUITO BOM")))</f>
        <v>OPORTUNO</v>
      </c>
      <c r="M4326">
        <v>40</v>
      </c>
      <c r="N4326">
        <v>100</v>
      </c>
      <c r="O4326">
        <v>23.9870340356564</v>
      </c>
      <c r="P4326"/>
    </row>
    <row r="4327" spans="1:16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14</v>
      </c>
      <c r="N4327">
        <v>95.49</v>
      </c>
      <c r="O4327">
        <v>28.370221327967808</v>
      </c>
      <c r="P4327"/>
    </row>
    <row r="4328" spans="1:16" hidden="1" x14ac:dyDescent="0.25">
      <c r="A4328" s="11">
        <v>46139</v>
      </c>
      <c r="B4328" t="s">
        <v>20</v>
      </c>
      <c r="C4328" t="s">
        <v>16</v>
      </c>
      <c r="D4328">
        <v>6</v>
      </c>
      <c r="E4328">
        <v>6</v>
      </c>
      <c r="F4328">
        <v>26.47</v>
      </c>
      <c r="G4328">
        <v>0</v>
      </c>
      <c r="H4328">
        <v>0</v>
      </c>
      <c r="I4328" s="3">
        <f>E4328+G4328+H4328</f>
        <v>6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4</v>
      </c>
      <c r="K4328" s="3">
        <f>I4328-J4328</f>
        <v>2</v>
      </c>
      <c r="L4328" s="3" t="str">
        <f>IF(K4328&lt;-5,"CRÍTICO",IF(K4328&lt;0,"ATENÇÃO",IF(K4328&lt;=5,"OPORTUNO","MUITO BOM")))</f>
        <v>OPORTUNO</v>
      </c>
      <c r="M4328">
        <v>5</v>
      </c>
      <c r="N4328">
        <v>100</v>
      </c>
      <c r="O4328">
        <v>23.77622377622378</v>
      </c>
      <c r="P4328"/>
    </row>
    <row r="4329" spans="1:16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>
        <v>0</v>
      </c>
      <c r="N4329">
        <v>96.15</v>
      </c>
      <c r="O4329">
        <v>24.045801526717561</v>
      </c>
      <c r="P4329"/>
    </row>
    <row r="4330" spans="1:16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>
        <v>7</v>
      </c>
      <c r="N4330">
        <v>99.02</v>
      </c>
      <c r="O4330">
        <v>34.797297297297298</v>
      </c>
      <c r="P4330"/>
    </row>
    <row r="4331" spans="1:16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>
        <v>7</v>
      </c>
      <c r="N4331">
        <v>98.84</v>
      </c>
      <c r="O4331">
        <v>31.868131868131869</v>
      </c>
      <c r="P4331"/>
    </row>
    <row r="4332" spans="1:16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>
        <v>8</v>
      </c>
      <c r="N4332">
        <v>100</v>
      </c>
      <c r="O4332">
        <v>34.666666666666671</v>
      </c>
      <c r="P4332"/>
    </row>
    <row r="4333" spans="1:16" hidden="1" x14ac:dyDescent="0.25">
      <c r="A4333" s="11">
        <v>46139</v>
      </c>
      <c r="B4333" t="s">
        <v>21</v>
      </c>
      <c r="C4333" t="s">
        <v>16</v>
      </c>
      <c r="D4333">
        <v>5</v>
      </c>
      <c r="E4333">
        <v>4</v>
      </c>
      <c r="F4333">
        <v>21.5</v>
      </c>
      <c r="G4333">
        <v>0</v>
      </c>
      <c r="H4333">
        <v>0</v>
      </c>
      <c r="I4333" s="3">
        <f>E4333+G4333+H4333</f>
        <v>4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4</v>
      </c>
      <c r="K4333" s="3">
        <f>I4333-J4333</f>
        <v>0</v>
      </c>
      <c r="L4333" s="3" t="str">
        <f>IF(K4333&lt;-5,"CRÍTICO",IF(K4333&lt;0,"ATENÇÃO",IF(K4333&lt;=5,"OPORTUNO","MUITO BOM")))</f>
        <v>OPORTUNO</v>
      </c>
      <c r="M4333">
        <v>4</v>
      </c>
      <c r="N4333">
        <v>94.12</v>
      </c>
      <c r="O4333">
        <v>32.799999999999997</v>
      </c>
      <c r="P4333"/>
    </row>
    <row r="4334" spans="1:16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>
        <v>11</v>
      </c>
      <c r="N4334">
        <v>98.32</v>
      </c>
      <c r="O4334">
        <v>26.858513189448441</v>
      </c>
      <c r="P4334"/>
    </row>
    <row r="4335" spans="1:16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>
        <v>17</v>
      </c>
      <c r="N4335">
        <v>100</v>
      </c>
      <c r="O4335">
        <v>31.135531135531139</v>
      </c>
      <c r="P4335"/>
    </row>
    <row r="4336" spans="1:16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>
        <v>9</v>
      </c>
      <c r="N4336">
        <v>100</v>
      </c>
      <c r="O4336">
        <v>26.36986301369863</v>
      </c>
      <c r="P4336"/>
    </row>
    <row r="4337" spans="1:16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14</v>
      </c>
      <c r="N4337">
        <v>99.21</v>
      </c>
      <c r="O4337">
        <v>25.188916876574311</v>
      </c>
      <c r="P4337"/>
    </row>
    <row r="4338" spans="1:16" hidden="1" x14ac:dyDescent="0.25">
      <c r="A4338" s="5">
        <v>46148</v>
      </c>
      <c r="B4338" s="6" t="s">
        <v>53</v>
      </c>
      <c r="C4338" s="3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v>0</v>
      </c>
      <c r="J4338" s="3">
        <v>0</v>
      </c>
      <c r="K4338" s="3">
        <v>0</v>
      </c>
      <c r="L4338" s="3" t="str">
        <f>IF(K4338&lt;-5,"CRÍTICO",IF(K4338&lt;0,"ATENÇÃO",IF(K4338&lt;=5,"BOM","EXCELENTE")))</f>
        <v>BOM</v>
      </c>
      <c r="M4338" s="3">
        <v>0</v>
      </c>
      <c r="N4338" s="3">
        <v>100</v>
      </c>
      <c r="O4338" s="3">
        <v>17.241379310344829</v>
      </c>
    </row>
    <row r="4339" spans="1:16" hidden="1" x14ac:dyDescent="0.25">
      <c r="A4339" s="11">
        <v>46168</v>
      </c>
      <c r="B4339" t="s">
        <v>53</v>
      </c>
      <c r="C4339" t="s">
        <v>48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v>0</v>
      </c>
      <c r="J4339" s="3">
        <v>0</v>
      </c>
      <c r="K4339" s="3">
        <v>0</v>
      </c>
      <c r="M4339" s="3">
        <v>0</v>
      </c>
      <c r="N4339" s="3">
        <v>100</v>
      </c>
      <c r="O4339" s="3">
        <v>17.241379310344829</v>
      </c>
    </row>
    <row r="4340" spans="1:16" hidden="1" x14ac:dyDescent="0.25">
      <c r="A4340" s="11">
        <v>46140</v>
      </c>
      <c r="B4340" t="s">
        <v>54</v>
      </c>
      <c r="C4340" t="s">
        <v>48</v>
      </c>
      <c r="D4340" s="3">
        <v>37</v>
      </c>
      <c r="E4340" s="3">
        <v>36</v>
      </c>
      <c r="F4340" s="3">
        <v>15.51</v>
      </c>
      <c r="G4340" s="3">
        <v>0</v>
      </c>
      <c r="H4340" s="3">
        <v>0</v>
      </c>
      <c r="I4340" s="3">
        <f>E4340+G4340+H4340</f>
        <v>36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27</v>
      </c>
      <c r="K4340" s="3">
        <f>I4340-J4340</f>
        <v>9</v>
      </c>
      <c r="L4340" s="3" t="str">
        <f>IF(K4340&lt;-5,"CRÍTICO",IF(K4340&lt;0,"ATENÇÃO",IF(K4340&lt;=5,"OPORTUNO","MUITO BOM")))</f>
        <v>MUITO BOM</v>
      </c>
      <c r="M4340" s="3">
        <v>25</v>
      </c>
      <c r="N4340" s="3">
        <v>100</v>
      </c>
      <c r="O4340" s="3">
        <v>28.921568627450981</v>
      </c>
    </row>
    <row r="4341" spans="1:16" hidden="1" x14ac:dyDescent="0.25">
      <c r="A4341" s="11">
        <v>46141</v>
      </c>
      <c r="B4341" t="s">
        <v>54</v>
      </c>
      <c r="C4341" t="s">
        <v>48</v>
      </c>
      <c r="D4341" s="3">
        <v>29</v>
      </c>
      <c r="E4341" s="3">
        <v>26</v>
      </c>
      <c r="F4341" s="3">
        <v>18.329999999999998</v>
      </c>
      <c r="G4341" s="3">
        <v>0</v>
      </c>
      <c r="H4341" s="3">
        <v>0</v>
      </c>
      <c r="I4341" s="3">
        <f>E4341+G4341+H4341</f>
        <v>26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28</v>
      </c>
      <c r="K4341" s="3">
        <f>I4341-J4341</f>
        <v>-2</v>
      </c>
      <c r="L4341" s="3" t="str">
        <f>IF(K4341&lt;-5,"CRÍTICO",IF(K4341&lt;0,"ATENÇÃO",IF(K4341&lt;=5,"OPORTUNO","MUITO BOM")))</f>
        <v>ATENÇÃO</v>
      </c>
      <c r="M4341" s="3">
        <v>27</v>
      </c>
      <c r="N4341" s="3">
        <v>100</v>
      </c>
      <c r="O4341" s="3">
        <v>28.921568627450981</v>
      </c>
    </row>
    <row r="4342" spans="1:16" hidden="1" x14ac:dyDescent="0.25">
      <c r="A4342" s="11">
        <v>46142</v>
      </c>
      <c r="B4342" t="s">
        <v>54</v>
      </c>
      <c r="C4342" t="s">
        <v>48</v>
      </c>
      <c r="D4342" s="3">
        <v>25</v>
      </c>
      <c r="E4342" s="3">
        <v>25</v>
      </c>
      <c r="F4342" s="3">
        <v>18.5</v>
      </c>
      <c r="G4342" s="3">
        <v>0</v>
      </c>
      <c r="H4342" s="3">
        <v>0</v>
      </c>
      <c r="I4342" s="3">
        <f>E4342+G4342+H4342</f>
        <v>25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26</v>
      </c>
      <c r="K4342" s="3">
        <f>I4342-J4342</f>
        <v>-1</v>
      </c>
      <c r="L4342" s="3" t="str">
        <f>IF(K4342&lt;-5,"CRÍTICO",IF(K4342&lt;0,"ATENÇÃO",IF(K4342&lt;=5,"OPORTUNO","MUITO BOM")))</f>
        <v>ATENÇÃO</v>
      </c>
      <c r="M4342" s="3">
        <v>26</v>
      </c>
      <c r="N4342" s="3">
        <v>100</v>
      </c>
      <c r="O4342" s="3">
        <v>28.921568627450981</v>
      </c>
    </row>
    <row r="4343" spans="1:16" hidden="1" x14ac:dyDescent="0.25">
      <c r="A4343" s="5">
        <v>46146</v>
      </c>
      <c r="B4343" s="6" t="s">
        <v>54</v>
      </c>
      <c r="C4343" s="9" t="s">
        <v>48</v>
      </c>
      <c r="D4343" s="3">
        <v>36</v>
      </c>
      <c r="E4343" s="3">
        <v>34</v>
      </c>
      <c r="F4343" s="3">
        <v>14.11</v>
      </c>
      <c r="G4343" s="3">
        <v>0</v>
      </c>
      <c r="H4343" s="3">
        <v>0</v>
      </c>
      <c r="I4343" s="3">
        <f>E4343+G4343+H4343</f>
        <v>34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28</v>
      </c>
      <c r="K4343" s="3">
        <f>I4343-J4343</f>
        <v>6</v>
      </c>
      <c r="L4343" s="3" t="str">
        <f>IF(K4343&lt;-5,"CRÍTICO",IF(K4343&lt;0,"ATENÇÃO",IF(K4343&lt;=5,"BOM","EXCELENTE")))</f>
        <v>EXCELENTE</v>
      </c>
      <c r="M4343" s="3">
        <v>33</v>
      </c>
      <c r="N4343" s="3">
        <v>98.98</v>
      </c>
      <c r="O4343" s="3">
        <v>19.35483870967742</v>
      </c>
    </row>
    <row r="4344" spans="1:16" hidden="1" x14ac:dyDescent="0.25">
      <c r="A4344" s="5">
        <v>46147</v>
      </c>
      <c r="B4344" s="6" t="s">
        <v>54</v>
      </c>
      <c r="C4344" s="9" t="s">
        <v>48</v>
      </c>
      <c r="D4344" s="3">
        <v>26</v>
      </c>
      <c r="E4344" s="3">
        <v>26</v>
      </c>
      <c r="F4344" s="3">
        <v>20.010000000000002</v>
      </c>
      <c r="G4344" s="3">
        <v>1</v>
      </c>
      <c r="H4344" s="3">
        <v>0</v>
      </c>
      <c r="I4344" s="3">
        <f>E4344+G4344+H4344</f>
        <v>27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28</v>
      </c>
      <c r="K4344" s="3">
        <f>I4344-J4344</f>
        <v>-1</v>
      </c>
      <c r="L4344" s="3" t="str">
        <f>IF(K4344&lt;-5,"CRÍTICO",IF(K4344&lt;0,"ATENÇÃO",IF(K4344&lt;=5,"BOM","EXCELENTE")))</f>
        <v>ATENÇÃO</v>
      </c>
      <c r="M4344" s="3">
        <v>31</v>
      </c>
      <c r="N4344" s="3">
        <v>98.98</v>
      </c>
      <c r="O4344" s="3">
        <v>19.35483870967742</v>
      </c>
    </row>
    <row r="4345" spans="1:16" hidden="1" x14ac:dyDescent="0.25">
      <c r="A4345" s="5">
        <v>46148</v>
      </c>
      <c r="B4345" s="6" t="s">
        <v>54</v>
      </c>
      <c r="C4345" s="9" t="s">
        <v>48</v>
      </c>
      <c r="D4345" s="3">
        <v>33</v>
      </c>
      <c r="E4345" s="3">
        <v>32</v>
      </c>
      <c r="F4345" s="3">
        <v>20.010000000000002</v>
      </c>
      <c r="G4345" s="3">
        <v>9</v>
      </c>
      <c r="H4345" s="3">
        <v>0</v>
      </c>
      <c r="I4345" s="3">
        <f>E4345+G4345+H4345</f>
        <v>41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28</v>
      </c>
      <c r="K4345" s="3">
        <f>I4345-J4345</f>
        <v>13</v>
      </c>
      <c r="L4345" s="3" t="str">
        <f>IF(K4345&lt;-5,"CRÍTICO",IF(K4345&lt;0,"ATENÇÃO",IF(K4345&lt;=5,"BOM","EXCELENTE")))</f>
        <v>EXCELENTE</v>
      </c>
      <c r="M4345" s="3">
        <v>30</v>
      </c>
      <c r="N4345" s="3">
        <v>98.98</v>
      </c>
      <c r="O4345" s="3">
        <v>19.35483870967742</v>
      </c>
    </row>
    <row r="4346" spans="1:16" hidden="1" x14ac:dyDescent="0.25">
      <c r="A4346" s="11">
        <v>46168</v>
      </c>
      <c r="B4346" t="s">
        <v>54</v>
      </c>
      <c r="C4346" t="s">
        <v>48</v>
      </c>
      <c r="D4346" s="3">
        <v>24</v>
      </c>
      <c r="E4346" s="3">
        <v>23</v>
      </c>
      <c r="F4346" s="3">
        <v>15.03</v>
      </c>
      <c r="G4346" s="3">
        <v>1</v>
      </c>
      <c r="M4346" s="3">
        <v>20</v>
      </c>
      <c r="N4346" s="3">
        <v>98.98</v>
      </c>
      <c r="O4346" s="3">
        <v>21.236559139784951</v>
      </c>
    </row>
    <row r="4347" spans="1:16" hidden="1" x14ac:dyDescent="0.25">
      <c r="A4347" s="11">
        <v>46140</v>
      </c>
      <c r="B4347" t="s">
        <v>55</v>
      </c>
      <c r="C4347" t="s">
        <v>48</v>
      </c>
      <c r="D4347" s="3">
        <v>29</v>
      </c>
      <c r="E4347" s="3">
        <v>25</v>
      </c>
      <c r="F4347" s="3">
        <v>17.3</v>
      </c>
      <c r="G4347" s="3">
        <v>0</v>
      </c>
      <c r="H4347" s="3">
        <v>0</v>
      </c>
      <c r="I4347" s="3">
        <f>E4347+G4347+H4347</f>
        <v>25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27</v>
      </c>
      <c r="K4347" s="3">
        <f>I4347-J4347</f>
        <v>-2</v>
      </c>
      <c r="L4347" s="3" t="str">
        <f>IF(K4347&lt;-5,"CRÍTICO",IF(K4347&lt;0,"ATENÇÃO",IF(K4347&lt;=5,"OPORTUNO","MUITO BOM")))</f>
        <v>ATENÇÃO</v>
      </c>
      <c r="M4347" s="3">
        <v>22</v>
      </c>
      <c r="N4347" s="3">
        <v>98.81</v>
      </c>
      <c r="O4347" s="3">
        <v>26.256983240223459</v>
      </c>
    </row>
    <row r="4348" spans="1:16" hidden="1" x14ac:dyDescent="0.25">
      <c r="A4348" s="11">
        <v>46141</v>
      </c>
      <c r="B4348" t="s">
        <v>55</v>
      </c>
      <c r="C4348" t="s">
        <v>48</v>
      </c>
      <c r="D4348" s="3">
        <v>39</v>
      </c>
      <c r="E4348" s="3">
        <v>28</v>
      </c>
      <c r="F4348" s="3">
        <v>10.24</v>
      </c>
      <c r="G4348" s="3">
        <v>0</v>
      </c>
      <c r="H4348" s="3">
        <v>0</v>
      </c>
      <c r="I4348" s="3">
        <f>E4348+G4348+H4348</f>
        <v>28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28</v>
      </c>
      <c r="K4348" s="3">
        <f>I4348-J4348</f>
        <v>0</v>
      </c>
      <c r="L4348" s="3" t="str">
        <f>IF(K4348&lt;-5,"CRÍTICO",IF(K4348&lt;0,"ATENÇÃO",IF(K4348&lt;=5,"OPORTUNO","MUITO BOM")))</f>
        <v>OPORTUNO</v>
      </c>
      <c r="M4348" s="3">
        <v>30</v>
      </c>
      <c r="N4348" s="3">
        <v>98.81</v>
      </c>
      <c r="O4348" s="3">
        <v>26.256983240223459</v>
      </c>
    </row>
    <row r="4349" spans="1:16" hidden="1" x14ac:dyDescent="0.25">
      <c r="A4349" s="11">
        <v>46142</v>
      </c>
      <c r="B4349" t="s">
        <v>55</v>
      </c>
      <c r="C4349" t="s">
        <v>48</v>
      </c>
      <c r="D4349" s="3">
        <v>21</v>
      </c>
      <c r="E4349" s="3">
        <v>16</v>
      </c>
      <c r="F4349" s="3">
        <v>11.48</v>
      </c>
      <c r="G4349" s="3">
        <v>0</v>
      </c>
      <c r="H4349" s="3">
        <v>0</v>
      </c>
      <c r="I4349" s="3">
        <f>E4349+G4349+H4349</f>
        <v>16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26</v>
      </c>
      <c r="K4349" s="3">
        <f>I4349-J4349</f>
        <v>-10</v>
      </c>
      <c r="L4349" s="3" t="str">
        <f>IF(K4349&lt;-5,"CRÍTICO",IF(K4349&lt;0,"ATENÇÃO",IF(K4349&lt;=5,"OPORTUNO","MUITO BOM")))</f>
        <v>CRÍTICO</v>
      </c>
      <c r="M4349" s="3">
        <v>13</v>
      </c>
      <c r="N4349" s="3">
        <v>98.81</v>
      </c>
      <c r="O4349" s="3">
        <v>26.256983240223459</v>
      </c>
    </row>
    <row r="4350" spans="1:16" hidden="1" x14ac:dyDescent="0.25">
      <c r="A4350" s="5">
        <v>46146</v>
      </c>
      <c r="B4350" s="6" t="s">
        <v>55</v>
      </c>
      <c r="C4350" s="3" t="s">
        <v>48</v>
      </c>
      <c r="D4350" s="3">
        <v>32</v>
      </c>
      <c r="E4350" s="3">
        <v>28</v>
      </c>
      <c r="F4350" s="3">
        <v>14.15</v>
      </c>
      <c r="G4350" s="3">
        <v>4</v>
      </c>
      <c r="H4350" s="3">
        <v>0</v>
      </c>
      <c r="I4350" s="3">
        <f>E4350+G4350+H4350</f>
        <v>32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28</v>
      </c>
      <c r="K4350" s="3">
        <f>I4350-J4350</f>
        <v>4</v>
      </c>
      <c r="L4350" s="3" t="str">
        <f>IF(K4350&lt;-5,"CRÍTICO",IF(K4350&lt;0,"ATENÇÃO",IF(K4350&lt;=5,"BOM","EXCELENTE")))</f>
        <v>BOM</v>
      </c>
      <c r="M4350" s="3">
        <v>31</v>
      </c>
      <c r="N4350" s="3">
        <v>98.94</v>
      </c>
      <c r="O4350" s="3">
        <v>21.270718232044199</v>
      </c>
    </row>
    <row r="4351" spans="1:16" hidden="1" x14ac:dyDescent="0.25">
      <c r="A4351" s="5">
        <v>46147</v>
      </c>
      <c r="B4351" s="6" t="s">
        <v>55</v>
      </c>
      <c r="C4351" s="3" t="s">
        <v>48</v>
      </c>
      <c r="D4351" s="3">
        <v>39</v>
      </c>
      <c r="E4351" s="3">
        <v>30</v>
      </c>
      <c r="F4351" s="3">
        <v>14.13</v>
      </c>
      <c r="G4351" s="3">
        <v>0</v>
      </c>
      <c r="H4351" s="3">
        <v>0</v>
      </c>
      <c r="I4351" s="3">
        <f>E4351+G4351+H4351</f>
        <v>30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28</v>
      </c>
      <c r="K4351" s="3">
        <f>I4351-J4351</f>
        <v>2</v>
      </c>
      <c r="L4351" s="3" t="str">
        <f>IF(K4351&lt;-5,"CRÍTICO",IF(K4351&lt;0,"ATENÇÃO",IF(K4351&lt;=5,"BOM","EXCELENTE")))</f>
        <v>BOM</v>
      </c>
      <c r="M4351" s="3">
        <v>30</v>
      </c>
      <c r="N4351" s="3">
        <v>98.94</v>
      </c>
      <c r="O4351" s="3">
        <v>21.270718232044199</v>
      </c>
    </row>
    <row r="4352" spans="1:16" hidden="1" x14ac:dyDescent="0.25">
      <c r="A4352" s="5">
        <v>46148</v>
      </c>
      <c r="B4352" s="6" t="s">
        <v>55</v>
      </c>
      <c r="C4352" s="3" t="s">
        <v>48</v>
      </c>
      <c r="D4352" s="3">
        <v>29</v>
      </c>
      <c r="E4352" s="3">
        <v>28</v>
      </c>
      <c r="F4352" s="3">
        <v>10.28</v>
      </c>
      <c r="G4352" s="3">
        <v>7</v>
      </c>
      <c r="H4352" s="3">
        <v>0</v>
      </c>
      <c r="I4352" s="3">
        <f>E4352+G4352+H4352</f>
        <v>35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28</v>
      </c>
      <c r="K4352" s="3">
        <f>I4352-J4352</f>
        <v>7</v>
      </c>
      <c r="L4352" s="3" t="str">
        <f>IF(K4352&lt;-5,"CRÍTICO",IF(K4352&lt;0,"ATENÇÃO",IF(K4352&lt;=5,"BOM","EXCELENTE")))</f>
        <v>EXCELENTE</v>
      </c>
      <c r="M4352" s="3">
        <v>34</v>
      </c>
      <c r="N4352" s="3">
        <v>98.94</v>
      </c>
      <c r="O4352" s="3">
        <v>21.270718232044199</v>
      </c>
    </row>
    <row r="4353" spans="1:15" hidden="1" x14ac:dyDescent="0.25">
      <c r="A4353" s="11">
        <v>46168</v>
      </c>
      <c r="B4353" t="s">
        <v>55</v>
      </c>
      <c r="C4353" t="s">
        <v>48</v>
      </c>
      <c r="D4353" s="3">
        <v>34</v>
      </c>
      <c r="E4353" s="3">
        <v>20</v>
      </c>
      <c r="F4353" s="3">
        <v>7.25</v>
      </c>
      <c r="G4353" s="3">
        <v>0</v>
      </c>
      <c r="M4353" s="3">
        <v>21</v>
      </c>
      <c r="N4353" s="3">
        <v>98.94</v>
      </c>
      <c r="O4353" s="3">
        <v>22.928176795580111</v>
      </c>
    </row>
    <row r="4354" spans="1:15" hidden="1" x14ac:dyDescent="0.25">
      <c r="A4354" s="11">
        <v>46140</v>
      </c>
      <c r="B4354" t="s">
        <v>56</v>
      </c>
      <c r="C4354" t="s">
        <v>48</v>
      </c>
      <c r="D4354" s="3">
        <v>20</v>
      </c>
      <c r="E4354" s="3">
        <v>19</v>
      </c>
      <c r="F4354" s="3">
        <v>21.45</v>
      </c>
      <c r="G4354" s="3">
        <v>0</v>
      </c>
      <c r="H4354" s="3">
        <v>0</v>
      </c>
      <c r="I4354" s="3">
        <f>E4354+G4354+H4354</f>
        <v>19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27</v>
      </c>
      <c r="K4354" s="3">
        <f>I4354-J4354</f>
        <v>-8</v>
      </c>
      <c r="L4354" s="3" t="str">
        <f>IF(K4354&lt;-5,"CRÍTICO",IF(K4354&lt;0,"ATENÇÃO",IF(K4354&lt;=5,"OPORTUNO","MUITO BOM")))</f>
        <v>CRÍTICO</v>
      </c>
      <c r="M4354" s="3">
        <v>4</v>
      </c>
      <c r="N4354" s="3">
        <v>99.17</v>
      </c>
      <c r="O4354" s="3">
        <v>29.75206611570248</v>
      </c>
    </row>
    <row r="4355" spans="1:15" hidden="1" x14ac:dyDescent="0.25">
      <c r="A4355" s="11">
        <v>46141</v>
      </c>
      <c r="B4355" t="s">
        <v>56</v>
      </c>
      <c r="C4355" t="s">
        <v>48</v>
      </c>
      <c r="D4355" s="3">
        <v>37</v>
      </c>
      <c r="E4355" s="3">
        <v>35</v>
      </c>
      <c r="F4355" s="3">
        <v>15.55</v>
      </c>
      <c r="G4355" s="3">
        <v>0</v>
      </c>
      <c r="H4355" s="3">
        <v>0</v>
      </c>
      <c r="I4355" s="3">
        <f>E4355+G4355+H4355</f>
        <v>35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28</v>
      </c>
      <c r="K4355" s="3">
        <f>I4355-J4355</f>
        <v>7</v>
      </c>
      <c r="L4355" s="3" t="str">
        <f>IF(K4355&lt;-5,"CRÍTICO",IF(K4355&lt;0,"ATENÇÃO",IF(K4355&lt;=5,"OPORTUNO","MUITO BOM")))</f>
        <v>MUITO BOM</v>
      </c>
      <c r="M4355" s="3">
        <v>18</v>
      </c>
      <c r="N4355" s="3">
        <v>99.17</v>
      </c>
      <c r="O4355" s="3">
        <v>29.75206611570248</v>
      </c>
    </row>
    <row r="4356" spans="1:15" hidden="1" x14ac:dyDescent="0.25">
      <c r="A4356" s="11">
        <v>46142</v>
      </c>
      <c r="B4356" t="s">
        <v>56</v>
      </c>
      <c r="C4356" t="s">
        <v>48</v>
      </c>
      <c r="D4356" s="3">
        <v>18</v>
      </c>
      <c r="E4356" s="3">
        <v>17</v>
      </c>
      <c r="F4356" s="3">
        <v>21.44</v>
      </c>
      <c r="G4356" s="3">
        <v>0</v>
      </c>
      <c r="H4356" s="3">
        <v>0</v>
      </c>
      <c r="I4356" s="3">
        <f>E4356+G4356+H4356</f>
        <v>17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-9</v>
      </c>
      <c r="L4356" s="3" t="str">
        <f>IF(K4356&lt;-5,"CRÍTICO",IF(K4356&lt;0,"ATENÇÃO",IF(K4356&lt;=5,"OPORTUNO","MUITO BOM")))</f>
        <v>CRÍTICO</v>
      </c>
      <c r="M4356" s="3">
        <v>1</v>
      </c>
      <c r="N4356" s="3">
        <v>99.17</v>
      </c>
      <c r="O4356" s="3">
        <v>29.75206611570248</v>
      </c>
    </row>
    <row r="4357" spans="1:15" hidden="1" x14ac:dyDescent="0.25">
      <c r="A4357" s="5">
        <v>46146</v>
      </c>
      <c r="B4357" s="6" t="s">
        <v>56</v>
      </c>
      <c r="C4357" s="3" t="s">
        <v>48</v>
      </c>
      <c r="D4357" s="3">
        <v>29</v>
      </c>
      <c r="E4357" s="3">
        <v>26</v>
      </c>
      <c r="F4357" s="3">
        <v>15.47</v>
      </c>
      <c r="G4357" s="3">
        <v>0</v>
      </c>
      <c r="H4357" s="3">
        <v>0</v>
      </c>
      <c r="I4357" s="3">
        <f>E4357+G4357+H4357</f>
        <v>26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28</v>
      </c>
      <c r="K4357" s="3">
        <f>I4357-J4357</f>
        <v>-2</v>
      </c>
      <c r="L4357" s="3" t="str">
        <f>IF(K4357&lt;-5,"CRÍTICO",IF(K4357&lt;0,"ATENÇÃO",IF(K4357&lt;=5,"BOM","EXCELENTE")))</f>
        <v>ATENÇÃO</v>
      </c>
      <c r="M4357" s="3">
        <v>15</v>
      </c>
      <c r="N4357" s="3">
        <v>99</v>
      </c>
      <c r="O4357" s="3">
        <v>22.010869565217391</v>
      </c>
    </row>
    <row r="4358" spans="1:15" hidden="1" x14ac:dyDescent="0.25">
      <c r="A4358" s="5">
        <v>46147</v>
      </c>
      <c r="B4358" s="6" t="s">
        <v>56</v>
      </c>
      <c r="C4358" s="3" t="s">
        <v>48</v>
      </c>
      <c r="D4358" s="3">
        <v>18</v>
      </c>
      <c r="E4358" s="3">
        <v>18</v>
      </c>
      <c r="F4358" s="3">
        <v>18.28</v>
      </c>
      <c r="G4358" s="3">
        <v>4</v>
      </c>
      <c r="H4358" s="3">
        <v>0</v>
      </c>
      <c r="I4358" s="3">
        <f>E4358+G4358+H4358</f>
        <v>22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28</v>
      </c>
      <c r="K4358" s="3">
        <f>I4358-J4358</f>
        <v>-6</v>
      </c>
      <c r="L4358" s="3" t="str">
        <f>IF(K4358&lt;-5,"CRÍTICO",IF(K4358&lt;0,"ATENÇÃO",IF(K4358&lt;=5,"BOM","EXCELENTE")))</f>
        <v>CRÍTICO</v>
      </c>
      <c r="M4358" s="3">
        <v>25</v>
      </c>
      <c r="N4358" s="3">
        <v>99</v>
      </c>
      <c r="O4358" s="3">
        <v>22.010869565217391</v>
      </c>
    </row>
    <row r="4359" spans="1:15" hidden="1" x14ac:dyDescent="0.25">
      <c r="A4359" s="5">
        <v>46148</v>
      </c>
      <c r="B4359" s="6" t="s">
        <v>56</v>
      </c>
      <c r="C4359" s="3" t="s">
        <v>48</v>
      </c>
      <c r="D4359" s="3">
        <v>38</v>
      </c>
      <c r="E4359" s="3">
        <v>36</v>
      </c>
      <c r="F4359" s="3">
        <v>15.35</v>
      </c>
      <c r="G4359" s="3">
        <v>2</v>
      </c>
      <c r="H4359" s="3">
        <v>0</v>
      </c>
      <c r="I4359" s="3">
        <f>E4359+G4359+H4359</f>
        <v>38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28</v>
      </c>
      <c r="K4359" s="3">
        <f>I4359-J4359</f>
        <v>10</v>
      </c>
      <c r="L4359" s="3" t="str">
        <f>IF(K4359&lt;-5,"CRÍTICO",IF(K4359&lt;0,"ATENÇÃO",IF(K4359&lt;=5,"BOM","EXCELENTE")))</f>
        <v>EXCELENTE</v>
      </c>
      <c r="M4359" s="3">
        <v>16</v>
      </c>
      <c r="N4359" s="3">
        <v>99</v>
      </c>
      <c r="O4359" s="3">
        <v>22.010869565217391</v>
      </c>
    </row>
    <row r="4360" spans="1:15" hidden="1" x14ac:dyDescent="0.25">
      <c r="A4360" s="11">
        <v>46168</v>
      </c>
      <c r="B4360" t="s">
        <v>56</v>
      </c>
      <c r="C4360" t="s">
        <v>48</v>
      </c>
      <c r="D4360" s="3">
        <v>21</v>
      </c>
      <c r="E4360" s="3">
        <v>20</v>
      </c>
      <c r="F4360" s="3">
        <v>20.39</v>
      </c>
      <c r="G4360" s="3">
        <v>0</v>
      </c>
      <c r="M4360" s="3">
        <v>17</v>
      </c>
      <c r="N4360" s="3">
        <v>99</v>
      </c>
      <c r="O4360" s="3">
        <v>24.52316076294278</v>
      </c>
    </row>
    <row r="4361" spans="1:15" hidden="1" x14ac:dyDescent="0.25">
      <c r="A4361" s="11">
        <v>46140</v>
      </c>
      <c r="B4361" t="s">
        <v>57</v>
      </c>
      <c r="C4361" t="s">
        <v>48</v>
      </c>
      <c r="D4361" s="3">
        <v>0</v>
      </c>
      <c r="E4361" s="3">
        <v>0</v>
      </c>
      <c r="F4361" s="3">
        <v>0</v>
      </c>
      <c r="G4361" s="3">
        <v>0</v>
      </c>
      <c r="H4361" s="3">
        <v>0</v>
      </c>
      <c r="I4361" s="3">
        <v>0</v>
      </c>
      <c r="J4361" s="3">
        <v>0</v>
      </c>
      <c r="K4361" s="3">
        <v>0</v>
      </c>
      <c r="L4361" s="3" t="str">
        <f>IF(K4361&lt;-5,"CRÍTICO",IF(K4361&lt;0,"ATENÇÃO",IF(K4361&lt;=5,"OPORTUNO","MUITO BOM")))</f>
        <v>OPORTUNO</v>
      </c>
      <c r="M4361" s="3">
        <v>0</v>
      </c>
      <c r="N4361" s="3">
        <v>98.73</v>
      </c>
      <c r="O4361" s="3">
        <v>28.961748633879779</v>
      </c>
    </row>
    <row r="4362" spans="1:15" hidden="1" x14ac:dyDescent="0.25">
      <c r="A4362" s="11">
        <v>46141</v>
      </c>
      <c r="B4362" t="s">
        <v>57</v>
      </c>
      <c r="C4362" t="s">
        <v>48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v>0</v>
      </c>
      <c r="J4362" s="3">
        <v>0</v>
      </c>
      <c r="K4362" s="3"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98.73</v>
      </c>
      <c r="O4362" s="3">
        <v>28.961748633879779</v>
      </c>
    </row>
    <row r="4363" spans="1:15" hidden="1" x14ac:dyDescent="0.25">
      <c r="A4363" s="11">
        <v>46142</v>
      </c>
      <c r="B4363" t="s">
        <v>57</v>
      </c>
      <c r="C4363" t="s">
        <v>48</v>
      </c>
      <c r="D4363" s="3">
        <v>0</v>
      </c>
      <c r="E4363" s="3">
        <v>0</v>
      </c>
      <c r="F4363" s="3">
        <v>0</v>
      </c>
      <c r="G4363" s="3">
        <v>0</v>
      </c>
      <c r="H4363" s="3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M4363" s="3">
        <v>0</v>
      </c>
      <c r="N4363" s="3">
        <v>98.73</v>
      </c>
      <c r="O4363" s="3">
        <v>28.961748633879779</v>
      </c>
    </row>
    <row r="4364" spans="1:15" hidden="1" x14ac:dyDescent="0.25">
      <c r="A4364" s="5">
        <v>46146</v>
      </c>
      <c r="B4364" s="6" t="s">
        <v>57</v>
      </c>
      <c r="C4364" s="3" t="s">
        <v>48</v>
      </c>
      <c r="D4364" s="3">
        <v>41</v>
      </c>
      <c r="E4364" s="3">
        <v>40</v>
      </c>
      <c r="F4364" s="3">
        <v>15.1</v>
      </c>
      <c r="G4364" s="3">
        <v>0</v>
      </c>
      <c r="H4364" s="3">
        <v>0</v>
      </c>
      <c r="I4364" s="3">
        <v>0</v>
      </c>
      <c r="J4364" s="3">
        <v>0</v>
      </c>
      <c r="K4364" s="3">
        <v>0</v>
      </c>
      <c r="L4364" s="3" t="str">
        <f>IF(K4364&lt;-5,"CRÍTICO",IF(K4364&lt;0,"ATENÇÃO",IF(K4364&lt;=5,"BOM","EXCELENTE")))</f>
        <v>BOM</v>
      </c>
      <c r="M4364" s="3">
        <v>31</v>
      </c>
      <c r="N4364" s="3">
        <v>100</v>
      </c>
      <c r="O4364" s="3">
        <v>25</v>
      </c>
    </row>
    <row r="4365" spans="1:15" hidden="1" x14ac:dyDescent="0.25">
      <c r="A4365" s="5">
        <v>46147</v>
      </c>
      <c r="B4365" s="6" t="s">
        <v>57</v>
      </c>
      <c r="C4365" s="3" t="s">
        <v>48</v>
      </c>
      <c r="D4365" s="3">
        <v>37</v>
      </c>
      <c r="E4365" s="3">
        <v>35</v>
      </c>
      <c r="F4365" s="3">
        <v>15.27</v>
      </c>
      <c r="G4365" s="3">
        <v>0</v>
      </c>
      <c r="H4365" s="3">
        <v>0</v>
      </c>
      <c r="I4365" s="3">
        <v>0</v>
      </c>
      <c r="J4365" s="3">
        <v>0</v>
      </c>
      <c r="K4365" s="3">
        <v>0</v>
      </c>
      <c r="L4365" s="3" t="str">
        <f>IF(K4365&lt;-5,"CRÍTICO",IF(K4365&lt;0,"ATENÇÃO",IF(K4365&lt;=5,"BOM","EXCELENTE")))</f>
        <v>BOM</v>
      </c>
      <c r="M4365" s="3">
        <v>37</v>
      </c>
      <c r="N4365" s="3">
        <v>100</v>
      </c>
      <c r="O4365" s="3">
        <v>25</v>
      </c>
    </row>
    <row r="4366" spans="1:15" hidden="1" x14ac:dyDescent="0.25">
      <c r="A4366" s="5">
        <v>46148</v>
      </c>
      <c r="B4366" s="6" t="s">
        <v>57</v>
      </c>
      <c r="C4366" s="3" t="s">
        <v>48</v>
      </c>
      <c r="D4366" s="3">
        <v>34</v>
      </c>
      <c r="E4366" s="3">
        <v>31</v>
      </c>
      <c r="F4366" s="3">
        <v>16.420000000000002</v>
      </c>
      <c r="G4366" s="3">
        <v>0</v>
      </c>
      <c r="H4366" s="3">
        <v>0</v>
      </c>
      <c r="I4366" s="3">
        <v>0</v>
      </c>
      <c r="J4366" s="3">
        <v>0</v>
      </c>
      <c r="K4366" s="3">
        <v>0</v>
      </c>
      <c r="L4366" s="3" t="str">
        <f>IF(K4366&lt;-5,"CRÍTICO",IF(K4366&lt;0,"ATENÇÃO",IF(K4366&lt;=5,"BOM","EXCELENTE")))</f>
        <v>BOM</v>
      </c>
      <c r="M4366" s="3">
        <v>28</v>
      </c>
      <c r="N4366" s="3">
        <v>100</v>
      </c>
      <c r="O4366" s="3">
        <v>25</v>
      </c>
    </row>
    <row r="4367" spans="1:15" hidden="1" x14ac:dyDescent="0.25">
      <c r="A4367" s="11">
        <v>46168</v>
      </c>
      <c r="B4367" t="s">
        <v>57</v>
      </c>
      <c r="C4367" t="s">
        <v>48</v>
      </c>
      <c r="D4367" s="3">
        <v>18</v>
      </c>
      <c r="E4367" s="3">
        <v>17</v>
      </c>
      <c r="F4367" s="3">
        <v>22.25</v>
      </c>
      <c r="G4367" s="3">
        <v>0</v>
      </c>
      <c r="M4367" s="3">
        <v>15</v>
      </c>
      <c r="N4367" s="3">
        <v>100</v>
      </c>
      <c r="O4367" s="3">
        <v>26.4367816091954</v>
      </c>
    </row>
    <row r="4368" spans="1:15" hidden="1" x14ac:dyDescent="0.25">
      <c r="A4368" s="11">
        <v>46140</v>
      </c>
      <c r="B4368" t="s">
        <v>58</v>
      </c>
      <c r="C4368" t="s">
        <v>48</v>
      </c>
      <c r="D4368" s="3">
        <v>0</v>
      </c>
      <c r="E4368" s="3">
        <v>0</v>
      </c>
      <c r="F4368" s="3">
        <v>0</v>
      </c>
      <c r="G4368" s="3">
        <v>0</v>
      </c>
      <c r="H4368" s="3">
        <v>0</v>
      </c>
      <c r="I4368" s="3">
        <v>0</v>
      </c>
      <c r="J4368" s="3">
        <v>0</v>
      </c>
      <c r="K4368" s="3">
        <v>0</v>
      </c>
      <c r="L4368" s="3" t="str">
        <f>IF(K4368&lt;-5,"CRÍTICO",IF(K4368&lt;0,"ATENÇÃO",IF(K4368&lt;=5,"OPORTUNO","MUITO BOM")))</f>
        <v>OPORTUNO</v>
      </c>
      <c r="M4368" s="3">
        <v>0</v>
      </c>
      <c r="N4368" s="3">
        <v>99.02</v>
      </c>
      <c r="O4368" s="3">
        <v>34.797297297297298</v>
      </c>
    </row>
    <row r="4369" spans="1:15" hidden="1" x14ac:dyDescent="0.25">
      <c r="A4369" s="11">
        <v>46141</v>
      </c>
      <c r="B4369" t="s">
        <v>58</v>
      </c>
      <c r="C4369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v>0</v>
      </c>
      <c r="J4369" s="3">
        <v>0</v>
      </c>
      <c r="K4369" s="3"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99.02</v>
      </c>
      <c r="O4369" s="3">
        <v>34.797297297297298</v>
      </c>
    </row>
    <row r="4370" spans="1:15" hidden="1" x14ac:dyDescent="0.25">
      <c r="A4370" s="11">
        <v>46142</v>
      </c>
      <c r="B4370" t="s">
        <v>58</v>
      </c>
      <c r="C4370" t="s">
        <v>48</v>
      </c>
      <c r="D4370" s="3">
        <v>31</v>
      </c>
      <c r="E4370" s="3">
        <v>27</v>
      </c>
      <c r="F4370" s="3">
        <v>15.42</v>
      </c>
      <c r="G4370" s="3">
        <v>0</v>
      </c>
      <c r="H4370" s="3">
        <v>0</v>
      </c>
      <c r="I4370" s="3">
        <f>E4370+G4370+H4370</f>
        <v>27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26</v>
      </c>
      <c r="K4370" s="3">
        <f>I4370-J4370</f>
        <v>1</v>
      </c>
      <c r="L4370" s="3" t="str">
        <f>IF(K4370&lt;-5,"CRÍTICO",IF(K4370&lt;0,"ATENÇÃO",IF(K4370&lt;=5,"OPORTUNO","MUITO BOM")))</f>
        <v>OPORTUNO</v>
      </c>
      <c r="M4370" s="3">
        <v>24</v>
      </c>
      <c r="N4370" s="3">
        <v>99.02</v>
      </c>
      <c r="O4370" s="3">
        <v>34.797297297297298</v>
      </c>
    </row>
    <row r="4371" spans="1:15" hidden="1" x14ac:dyDescent="0.25">
      <c r="A4371" s="5">
        <v>46146</v>
      </c>
      <c r="B4371" s="6" t="s">
        <v>58</v>
      </c>
      <c r="C4371" s="3" t="s">
        <v>48</v>
      </c>
      <c r="D4371" s="3">
        <v>20</v>
      </c>
      <c r="E4371" s="3">
        <v>16</v>
      </c>
      <c r="F4371" s="3">
        <v>16.510000000000002</v>
      </c>
      <c r="G4371" s="3">
        <v>0</v>
      </c>
      <c r="H4371" s="3">
        <v>0</v>
      </c>
      <c r="I4371" s="3">
        <f>E4371+G4371+H4371</f>
        <v>16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28</v>
      </c>
      <c r="K4371" s="3">
        <f>I4371-J4371</f>
        <v>-12</v>
      </c>
      <c r="L4371" s="3" t="str">
        <f>IF(K4371&lt;-5,"CRÍTICO",IF(K4371&lt;0,"ATENÇÃO",IF(K4371&lt;=5,"BOM","EXCELENTE")))</f>
        <v>CRÍTICO</v>
      </c>
      <c r="M4371" s="3">
        <v>14</v>
      </c>
      <c r="N4371" s="3">
        <v>100</v>
      </c>
      <c r="O4371" s="3">
        <v>20.183486238532112</v>
      </c>
    </row>
    <row r="4372" spans="1:15" hidden="1" x14ac:dyDescent="0.25">
      <c r="A4372" s="5">
        <v>46147</v>
      </c>
      <c r="B4372" s="6" t="s">
        <v>58</v>
      </c>
      <c r="C4372" s="3" t="s">
        <v>48</v>
      </c>
      <c r="D4372" s="3">
        <v>27</v>
      </c>
      <c r="E4372" s="3">
        <v>25</v>
      </c>
      <c r="F4372" s="3">
        <v>17.39</v>
      </c>
      <c r="G4372" s="3">
        <v>0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28</v>
      </c>
      <c r="K4372" s="3">
        <f>I4372-J4372</f>
        <v>-3</v>
      </c>
      <c r="L4372" s="3" t="str">
        <f>IF(K4372&lt;-5,"CRÍTICO",IF(K4372&lt;0,"ATENÇÃO",IF(K4372&lt;=5,"BOM","EXCELENTE")))</f>
        <v>ATENÇÃO</v>
      </c>
      <c r="M4372" s="3">
        <v>21</v>
      </c>
      <c r="N4372" s="3">
        <v>100</v>
      </c>
      <c r="O4372" s="3">
        <v>20.183486238532112</v>
      </c>
    </row>
    <row r="4373" spans="1:15" hidden="1" x14ac:dyDescent="0.25">
      <c r="A4373" s="5">
        <v>46148</v>
      </c>
      <c r="B4373" s="6" t="s">
        <v>58</v>
      </c>
      <c r="C4373" s="3" t="s">
        <v>48</v>
      </c>
      <c r="D4373" s="3">
        <v>35</v>
      </c>
      <c r="E4373" s="3">
        <v>33</v>
      </c>
      <c r="F4373" s="3">
        <v>15.19</v>
      </c>
      <c r="G4373" s="3">
        <v>0</v>
      </c>
      <c r="H4373" s="3">
        <v>0</v>
      </c>
      <c r="I4373" s="3">
        <f>E4373+G4373+H4373</f>
        <v>33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28</v>
      </c>
      <c r="K4373" s="3">
        <f>I4373-J4373</f>
        <v>5</v>
      </c>
      <c r="L4373" s="3" t="str">
        <f>IF(K4373&lt;-5,"CRÍTICO",IF(K4373&lt;0,"ATENÇÃO",IF(K4373&lt;=5,"BOM","EXCELENTE")))</f>
        <v>BOM</v>
      </c>
      <c r="M4373" s="3">
        <v>30</v>
      </c>
      <c r="N4373" s="3">
        <v>100</v>
      </c>
      <c r="O4373" s="3">
        <v>20.183486238532112</v>
      </c>
    </row>
    <row r="4374" spans="1:15" hidden="1" x14ac:dyDescent="0.25">
      <c r="A4374" s="11">
        <v>46168</v>
      </c>
      <c r="B4374" t="s">
        <v>58</v>
      </c>
      <c r="C4374" t="s">
        <v>48</v>
      </c>
      <c r="D4374" s="3">
        <v>0</v>
      </c>
      <c r="E4374" s="3">
        <v>0</v>
      </c>
      <c r="F4374" s="3">
        <v>0</v>
      </c>
      <c r="G4374" s="3">
        <v>0</v>
      </c>
      <c r="H4374" s="3">
        <v>0</v>
      </c>
      <c r="I4374" s="3">
        <v>0</v>
      </c>
      <c r="J4374" s="3">
        <v>0</v>
      </c>
      <c r="K4374" s="3">
        <v>0</v>
      </c>
      <c r="M4374" s="3">
        <v>0</v>
      </c>
      <c r="N4374" s="3">
        <v>100</v>
      </c>
      <c r="O4374" s="3">
        <v>21.100917431192659</v>
      </c>
    </row>
    <row r="4375" spans="1:15" hidden="1" x14ac:dyDescent="0.25">
      <c r="A4375" s="11">
        <v>46140</v>
      </c>
      <c r="B4375" t="s">
        <v>59</v>
      </c>
      <c r="C4375" t="s">
        <v>23</v>
      </c>
      <c r="D4375" s="3">
        <v>26</v>
      </c>
      <c r="E4375" s="3">
        <v>24</v>
      </c>
      <c r="F4375" s="3">
        <v>19.190000000000001</v>
      </c>
      <c r="G4375" s="3">
        <v>0</v>
      </c>
      <c r="H4375" s="3">
        <v>0</v>
      </c>
      <c r="I4375" s="3">
        <f>E4375+G4375+H4375</f>
        <v>24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22</v>
      </c>
      <c r="K4375" s="3">
        <f>I4375-J4375</f>
        <v>2</v>
      </c>
      <c r="L4375" s="3" t="str">
        <f>IF(K4375&lt;-5,"CRÍTICO",IF(K4375&lt;0,"ATENÇÃO",IF(K4375&lt;=5,"OPORTUNO","MUITO BOM")))</f>
        <v>OPORTUNO</v>
      </c>
      <c r="M4375" s="3">
        <v>22</v>
      </c>
      <c r="N4375" s="3">
        <v>99.32</v>
      </c>
      <c r="O4375" s="3">
        <v>30.648330058939099</v>
      </c>
    </row>
    <row r="4376" spans="1:15" hidden="1" x14ac:dyDescent="0.25">
      <c r="A4376" s="11">
        <v>46141</v>
      </c>
      <c r="B4376" t="s">
        <v>59</v>
      </c>
      <c r="C4376" t="s">
        <v>23</v>
      </c>
      <c r="D4376" s="3">
        <v>33</v>
      </c>
      <c r="E4376" s="3">
        <v>29</v>
      </c>
      <c r="F4376" s="3">
        <v>20.25</v>
      </c>
      <c r="G4376" s="3">
        <v>0</v>
      </c>
      <c r="H4376" s="3">
        <v>0</v>
      </c>
      <c r="I4376" s="3">
        <f>E4376+G4376+H4376</f>
        <v>29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23</v>
      </c>
      <c r="K4376" s="3">
        <f>I4376-J4376</f>
        <v>6</v>
      </c>
      <c r="L4376" s="3" t="str">
        <f>IF(K4376&lt;-5,"CRÍTICO",IF(K4376&lt;0,"ATENÇÃO",IF(K4376&lt;=5,"OPORTUNO","MUITO BOM")))</f>
        <v>MUITO BOM</v>
      </c>
      <c r="M4376" s="3">
        <v>28</v>
      </c>
      <c r="N4376" s="3">
        <v>99.32</v>
      </c>
      <c r="O4376" s="3">
        <v>30.648330058939099</v>
      </c>
    </row>
    <row r="4377" spans="1:15" hidden="1" x14ac:dyDescent="0.25">
      <c r="A4377" s="11">
        <v>46142</v>
      </c>
      <c r="B4377" t="s">
        <v>59</v>
      </c>
      <c r="C4377" t="s">
        <v>23</v>
      </c>
      <c r="D4377" s="3">
        <v>26</v>
      </c>
      <c r="E4377" s="3">
        <v>24</v>
      </c>
      <c r="F4377" s="3">
        <v>18.239999999999998</v>
      </c>
      <c r="G4377" s="3">
        <v>0</v>
      </c>
      <c r="H4377" s="3">
        <v>0</v>
      </c>
      <c r="I4377" s="3">
        <f>E4377+G4377+H4377</f>
        <v>24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21</v>
      </c>
      <c r="K4377" s="3">
        <f>I4377-J4377</f>
        <v>3</v>
      </c>
      <c r="L4377" s="3" t="str">
        <f>IF(K4377&lt;-5,"CRÍTICO",IF(K4377&lt;0,"ATENÇÃO",IF(K4377&lt;=5,"OPORTUNO","MUITO BOM")))</f>
        <v>OPORTUNO</v>
      </c>
      <c r="M4377" s="3">
        <v>26</v>
      </c>
      <c r="N4377" s="3">
        <v>99.32</v>
      </c>
      <c r="O4377" s="3">
        <v>30.648330058939099</v>
      </c>
    </row>
    <row r="4378" spans="1:15" hidden="1" x14ac:dyDescent="0.25">
      <c r="A4378" s="5">
        <v>46146</v>
      </c>
      <c r="B4378" s="6" t="s">
        <v>59</v>
      </c>
      <c r="C4378" s="3" t="s">
        <v>23</v>
      </c>
      <c r="D4378" s="3">
        <v>41</v>
      </c>
      <c r="E4378" s="3">
        <v>39</v>
      </c>
      <c r="F4378" s="3">
        <v>17.309999999999999</v>
      </c>
      <c r="G4378" s="3">
        <v>1</v>
      </c>
      <c r="H4378" s="3">
        <v>0</v>
      </c>
      <c r="I4378" s="3">
        <f>E4378+G4378+H4378</f>
        <v>40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23</v>
      </c>
      <c r="K4378" s="3">
        <f>I4378-J4378</f>
        <v>17</v>
      </c>
      <c r="L4378" s="3" t="str">
        <f>IF(K4378&lt;-5,"CRÍTICO",IF(K4378&lt;0,"ATENÇÃO",IF(K4378&lt;=5,"BOM","EXCELENTE")))</f>
        <v>EXCELENTE</v>
      </c>
      <c r="M4378" s="3">
        <v>35</v>
      </c>
      <c r="N4378" s="3">
        <v>96.25</v>
      </c>
      <c r="O4378" s="3">
        <v>25.586353944562902</v>
      </c>
    </row>
    <row r="4379" spans="1:15" hidden="1" x14ac:dyDescent="0.25">
      <c r="A4379" s="5">
        <v>46147</v>
      </c>
      <c r="B4379" t="s">
        <v>59</v>
      </c>
      <c r="C4379" s="3" t="s">
        <v>23</v>
      </c>
      <c r="D4379" s="3">
        <v>30</v>
      </c>
      <c r="E4379" s="3">
        <v>30</v>
      </c>
      <c r="F4379" s="3">
        <v>17.010000000000002</v>
      </c>
      <c r="G4379" s="3">
        <v>7</v>
      </c>
      <c r="H4379" s="3">
        <v>0</v>
      </c>
      <c r="I4379" s="3">
        <f>E4379+G4379+H4379</f>
        <v>37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23</v>
      </c>
      <c r="K4379" s="3">
        <f>I4379-J4379</f>
        <v>14</v>
      </c>
      <c r="L4379" s="3" t="str">
        <f>IF(K4379&lt;-5,"CRÍTICO",IF(K4379&lt;0,"ATENÇÃO",IF(K4379&lt;=5,"BOM","EXCELENTE")))</f>
        <v>EXCELENTE</v>
      </c>
      <c r="M4379" s="3">
        <v>36</v>
      </c>
      <c r="N4379" s="3">
        <v>96.25</v>
      </c>
      <c r="O4379" s="3">
        <v>25.586353944562902</v>
      </c>
    </row>
    <row r="4380" spans="1:15" hidden="1" x14ac:dyDescent="0.25">
      <c r="A4380" s="5">
        <v>46148</v>
      </c>
      <c r="B4380" s="6" t="s">
        <v>59</v>
      </c>
      <c r="C4380" s="3" t="s">
        <v>23</v>
      </c>
      <c r="D4380" s="3">
        <v>50</v>
      </c>
      <c r="E4380" s="3">
        <v>43</v>
      </c>
      <c r="F4380" s="3">
        <v>14.05</v>
      </c>
      <c r="G4380" s="3">
        <v>6</v>
      </c>
      <c r="H4380" s="3">
        <v>0</v>
      </c>
      <c r="I4380" s="3">
        <f>E4380+G4380+H4380</f>
        <v>49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23</v>
      </c>
      <c r="K4380" s="3">
        <f>I4380-J4380</f>
        <v>26</v>
      </c>
      <c r="L4380" s="3" t="str">
        <f>IF(K4380&lt;-5,"CRÍTICO",IF(K4380&lt;0,"ATENÇÃO",IF(K4380&lt;=5,"BOM","EXCELENTE")))</f>
        <v>EXCELENTE</v>
      </c>
      <c r="M4380" s="3">
        <v>43</v>
      </c>
      <c r="N4380" s="3">
        <v>96.25</v>
      </c>
      <c r="O4380" s="3">
        <v>25.586353944562902</v>
      </c>
    </row>
    <row r="4381" spans="1:15" hidden="1" x14ac:dyDescent="0.25">
      <c r="A4381" s="11">
        <v>46168</v>
      </c>
      <c r="B4381" t="s">
        <v>59</v>
      </c>
      <c r="C4381" t="s">
        <v>23</v>
      </c>
      <c r="D4381" s="3">
        <v>24</v>
      </c>
      <c r="E4381" s="3">
        <v>22</v>
      </c>
      <c r="F4381" s="3">
        <v>18.55</v>
      </c>
      <c r="G4381" s="3">
        <v>1</v>
      </c>
      <c r="M4381" s="3">
        <v>21</v>
      </c>
      <c r="N4381" s="3">
        <v>96.25</v>
      </c>
      <c r="O4381" s="3">
        <v>27.292110874200429</v>
      </c>
    </row>
    <row r="4382" spans="1:15" hidden="1" x14ac:dyDescent="0.25">
      <c r="A4382" s="11">
        <v>46140</v>
      </c>
      <c r="B4382" t="s">
        <v>60</v>
      </c>
      <c r="C4382" t="s">
        <v>23</v>
      </c>
      <c r="D4382" s="3">
        <v>27</v>
      </c>
      <c r="E4382" s="3">
        <v>26</v>
      </c>
      <c r="F4382" s="3">
        <v>15.4</v>
      </c>
      <c r="G4382" s="3">
        <v>0</v>
      </c>
      <c r="H4382" s="3">
        <v>0</v>
      </c>
      <c r="I4382" s="3">
        <f>E4382+G4382+H4382</f>
        <v>26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22</v>
      </c>
      <c r="K4382" s="3">
        <f>I4382-J4382</f>
        <v>4</v>
      </c>
      <c r="L4382" s="3" t="str">
        <f>IF(K4382&lt;-5,"CRÍTICO",IF(K4382&lt;0,"ATENÇÃO",IF(K4382&lt;=5,"OPORTUNO","MUITO BOM")))</f>
        <v>OPORTUNO</v>
      </c>
      <c r="M4382" s="3">
        <v>25</v>
      </c>
      <c r="N4382" s="3">
        <v>96.3</v>
      </c>
      <c r="O4382" s="3">
        <v>32.219570405727922</v>
      </c>
    </row>
    <row r="4383" spans="1:15" hidden="1" x14ac:dyDescent="0.25">
      <c r="A4383" s="11">
        <v>46141</v>
      </c>
      <c r="B4383" t="s">
        <v>60</v>
      </c>
      <c r="C4383" t="s">
        <v>23</v>
      </c>
      <c r="D4383" s="3">
        <v>51</v>
      </c>
      <c r="E4383" s="3">
        <v>13</v>
      </c>
      <c r="F4383" s="3">
        <v>3.26</v>
      </c>
      <c r="G4383" s="3">
        <v>0</v>
      </c>
      <c r="H4383" s="3">
        <v>0</v>
      </c>
      <c r="I4383" s="3">
        <f>E4383+G4383+H4383</f>
        <v>13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23</v>
      </c>
      <c r="K4383" s="3">
        <f>I4383-J4383</f>
        <v>-10</v>
      </c>
      <c r="L4383" s="3" t="str">
        <f>IF(K4383&lt;-5,"CRÍTICO",IF(K4383&lt;0,"ATENÇÃO",IF(K4383&lt;=5,"OPORTUNO","MUITO BOM")))</f>
        <v>CRÍTICO</v>
      </c>
      <c r="M4383" s="3">
        <v>19</v>
      </c>
      <c r="N4383" s="3">
        <v>96.3</v>
      </c>
      <c r="O4383" s="3">
        <v>32.219570405727922</v>
      </c>
    </row>
    <row r="4384" spans="1:15" hidden="1" x14ac:dyDescent="0.25">
      <c r="A4384" s="11">
        <v>46142</v>
      </c>
      <c r="B4384" t="s">
        <v>60</v>
      </c>
      <c r="C4384" t="s">
        <v>23</v>
      </c>
      <c r="D4384" s="3">
        <v>23</v>
      </c>
      <c r="E4384" s="3">
        <v>23</v>
      </c>
      <c r="F4384" s="3">
        <v>25.3</v>
      </c>
      <c r="G4384" s="3">
        <v>0</v>
      </c>
      <c r="H4384" s="3">
        <v>0</v>
      </c>
      <c r="I4384" s="3">
        <f>E4384+G4384+H4384</f>
        <v>23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21</v>
      </c>
      <c r="K4384" s="3">
        <f>I4384-J4384</f>
        <v>2</v>
      </c>
      <c r="L4384" s="3" t="str">
        <f>IF(K4384&lt;-5,"CRÍTICO",IF(K4384&lt;0,"ATENÇÃO",IF(K4384&lt;=5,"OPORTUNO","MUITO BOM")))</f>
        <v>OPORTUNO</v>
      </c>
      <c r="M4384" s="3">
        <v>19</v>
      </c>
      <c r="N4384" s="3">
        <v>96.3</v>
      </c>
      <c r="O4384" s="3">
        <v>32.219570405727922</v>
      </c>
    </row>
    <row r="4385" spans="1:15" hidden="1" x14ac:dyDescent="0.25">
      <c r="A4385" s="5">
        <v>46146</v>
      </c>
      <c r="B4385" s="6" t="s">
        <v>60</v>
      </c>
      <c r="C4385" s="3" t="s">
        <v>23</v>
      </c>
      <c r="D4385" s="3">
        <v>32</v>
      </c>
      <c r="E4385" s="3">
        <v>26</v>
      </c>
      <c r="F4385" s="3">
        <v>15.13</v>
      </c>
      <c r="G4385" s="3">
        <v>6</v>
      </c>
      <c r="H4385" s="3">
        <v>0</v>
      </c>
      <c r="I4385" s="3">
        <f>E4385+G4385+H4385</f>
        <v>32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23</v>
      </c>
      <c r="K4385" s="3">
        <f>I4385-J4385</f>
        <v>9</v>
      </c>
      <c r="L4385" s="3" t="str">
        <f>IF(K4385&lt;-5,"CRÍTICO",IF(K4385&lt;0,"ATENÇÃO",IF(K4385&lt;=5,"BOM","EXCELENTE")))</f>
        <v>EXCELENTE</v>
      </c>
      <c r="M4385" s="3">
        <v>29</v>
      </c>
      <c r="N4385" s="3">
        <v>97.48</v>
      </c>
      <c r="O4385" s="3">
        <v>22.99465240641711</v>
      </c>
    </row>
    <row r="4386" spans="1:15" hidden="1" x14ac:dyDescent="0.25">
      <c r="A4386" s="5">
        <v>46147</v>
      </c>
      <c r="B4386" s="6" t="s">
        <v>60</v>
      </c>
      <c r="C4386" s="3" t="s">
        <v>23</v>
      </c>
      <c r="D4386" s="3">
        <v>122</v>
      </c>
      <c r="E4386" s="3">
        <v>28</v>
      </c>
      <c r="F4386" s="3">
        <v>3.47</v>
      </c>
      <c r="G4386" s="3">
        <v>1</v>
      </c>
      <c r="H4386" s="3">
        <v>0</v>
      </c>
      <c r="I4386" s="3">
        <f>E4386+G4386+H4386</f>
        <v>29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23</v>
      </c>
      <c r="K4386" s="3">
        <f>I4386-J4386</f>
        <v>6</v>
      </c>
      <c r="L4386" s="3" t="str">
        <f>IF(K4386&lt;-5,"CRÍTICO",IF(K4386&lt;0,"ATENÇÃO",IF(K4386&lt;=5,"BOM","EXCELENTE")))</f>
        <v>EXCELENTE</v>
      </c>
      <c r="M4386" s="3">
        <v>16</v>
      </c>
      <c r="N4386" s="3">
        <v>97.48</v>
      </c>
      <c r="O4386" s="3">
        <v>22.99465240641711</v>
      </c>
    </row>
    <row r="4387" spans="1:15" hidden="1" x14ac:dyDescent="0.25">
      <c r="A4387" s="5">
        <v>46148</v>
      </c>
      <c r="B4387" s="6" t="s">
        <v>60</v>
      </c>
      <c r="C4387" s="3" t="s">
        <v>23</v>
      </c>
      <c r="D4387" s="3">
        <v>24</v>
      </c>
      <c r="E4387" s="3">
        <v>23</v>
      </c>
      <c r="F4387" s="3">
        <v>17.07</v>
      </c>
      <c r="G4387" s="3">
        <v>9</v>
      </c>
      <c r="H4387" s="3">
        <v>0</v>
      </c>
      <c r="I4387" s="3">
        <f>E4387+G4387+H4387</f>
        <v>32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23</v>
      </c>
      <c r="K4387" s="3">
        <f>I4387-J4387</f>
        <v>9</v>
      </c>
      <c r="L4387" s="3" t="str">
        <f>IF(K4387&lt;-5,"CRÍTICO",IF(K4387&lt;0,"ATENÇÃO",IF(K4387&lt;=5,"BOM","EXCELENTE")))</f>
        <v>EXCELENTE</v>
      </c>
      <c r="M4387" s="3">
        <v>30</v>
      </c>
      <c r="N4387" s="3">
        <v>97.48</v>
      </c>
      <c r="O4387" s="3">
        <v>22.99465240641711</v>
      </c>
    </row>
    <row r="4388" spans="1:15" hidden="1" x14ac:dyDescent="0.25">
      <c r="A4388" s="11">
        <v>46168</v>
      </c>
      <c r="B4388" t="s">
        <v>60</v>
      </c>
      <c r="C4388" t="s">
        <v>23</v>
      </c>
      <c r="D4388" s="3">
        <v>28</v>
      </c>
      <c r="E4388" s="3">
        <v>26</v>
      </c>
      <c r="F4388" s="3">
        <v>15.35</v>
      </c>
      <c r="G4388" s="3">
        <v>2</v>
      </c>
      <c r="M4388" s="3">
        <v>25</v>
      </c>
      <c r="N4388" s="3">
        <v>97.48</v>
      </c>
      <c r="O4388" s="3">
        <v>25.401069518716579</v>
      </c>
    </row>
    <row r="4389" spans="1:15" hidden="1" x14ac:dyDescent="0.25">
      <c r="A4389" s="11">
        <v>46140</v>
      </c>
      <c r="B4389" t="s">
        <v>61</v>
      </c>
      <c r="C4389" t="s">
        <v>23</v>
      </c>
      <c r="D4389" s="3">
        <v>17</v>
      </c>
      <c r="E4389" s="3">
        <v>17</v>
      </c>
      <c r="F4389" s="3">
        <v>17.23</v>
      </c>
      <c r="G4389" s="3">
        <v>0</v>
      </c>
      <c r="H4389" s="3">
        <v>0</v>
      </c>
      <c r="I4389" s="3">
        <f>E4389+G4389+H4389</f>
        <v>17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>I4389-J4389</f>
        <v>-5</v>
      </c>
      <c r="L4389" s="3" t="str">
        <f>IF(K4389&lt;-5,"CRÍTICO",IF(K4389&lt;0,"ATENÇÃO",IF(K4389&lt;=5,"OPORTUNO","MUITO BOM")))</f>
        <v>ATENÇÃO</v>
      </c>
      <c r="M4389" s="3">
        <v>15</v>
      </c>
      <c r="N4389" s="3">
        <v>100</v>
      </c>
      <c r="O4389" s="3">
        <v>36.594202898550733</v>
      </c>
    </row>
    <row r="4390" spans="1:15" hidden="1" x14ac:dyDescent="0.25">
      <c r="A4390" s="11">
        <v>46141</v>
      </c>
      <c r="B4390" t="s">
        <v>61</v>
      </c>
      <c r="C4390" t="s">
        <v>23</v>
      </c>
      <c r="D4390" s="3">
        <v>29</v>
      </c>
      <c r="E4390" s="3">
        <v>28</v>
      </c>
      <c r="F4390" s="3">
        <v>18.510000000000002</v>
      </c>
      <c r="G4390" s="3">
        <v>0</v>
      </c>
      <c r="H4390" s="3">
        <v>0</v>
      </c>
      <c r="I4390" s="3">
        <f>E4390+G4390+H4390</f>
        <v>28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23</v>
      </c>
      <c r="K4390" s="3">
        <f>I4390-J4390</f>
        <v>5</v>
      </c>
      <c r="L4390" s="3" t="str">
        <f>IF(K4390&lt;-5,"CRÍTICO",IF(K4390&lt;0,"ATENÇÃO",IF(K4390&lt;=5,"OPORTUNO","MUITO BOM")))</f>
        <v>OPORTUNO</v>
      </c>
      <c r="M4390" s="3">
        <v>22</v>
      </c>
      <c r="N4390" s="3">
        <v>100</v>
      </c>
      <c r="O4390" s="3">
        <v>36.594202898550733</v>
      </c>
    </row>
    <row r="4391" spans="1:15" hidden="1" x14ac:dyDescent="0.25">
      <c r="A4391" s="11">
        <v>46142</v>
      </c>
      <c r="B4391" t="s">
        <v>61</v>
      </c>
      <c r="C4391" t="s">
        <v>23</v>
      </c>
      <c r="D4391" s="3">
        <v>23</v>
      </c>
      <c r="E4391" s="3">
        <v>23</v>
      </c>
      <c r="F4391" s="3">
        <v>20.21</v>
      </c>
      <c r="G4391" s="3">
        <v>0</v>
      </c>
      <c r="H4391" s="3">
        <v>0</v>
      </c>
      <c r="I4391" s="3">
        <f>E4391+G4391+H4391</f>
        <v>23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21</v>
      </c>
      <c r="K4391" s="3">
        <f>I4391-J4391</f>
        <v>2</v>
      </c>
      <c r="L4391" s="3" t="str">
        <f>IF(K4391&lt;-5,"CRÍTICO",IF(K4391&lt;0,"ATENÇÃO",IF(K4391&lt;=5,"OPORTUNO","MUITO BOM")))</f>
        <v>OPORTUNO</v>
      </c>
      <c r="M4391" s="3">
        <v>17</v>
      </c>
      <c r="N4391" s="3">
        <v>100</v>
      </c>
      <c r="O4391" s="3">
        <v>36.594202898550733</v>
      </c>
    </row>
    <row r="4392" spans="1:15" hidden="1" x14ac:dyDescent="0.25">
      <c r="A4392" s="5">
        <v>46146</v>
      </c>
      <c r="B4392" s="6" t="s">
        <v>61</v>
      </c>
      <c r="C4392" s="3" t="s">
        <v>23</v>
      </c>
      <c r="D4392" s="3">
        <v>28</v>
      </c>
      <c r="E4392" s="3">
        <v>27</v>
      </c>
      <c r="F4392" s="3">
        <v>17.14</v>
      </c>
      <c r="G4392" s="3">
        <v>0</v>
      </c>
      <c r="H4392" s="3">
        <v>0</v>
      </c>
      <c r="I4392" s="3">
        <f>E4392+G4392+H4392</f>
        <v>27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23</v>
      </c>
      <c r="K4392" s="3">
        <f>I4392-J4392</f>
        <v>4</v>
      </c>
      <c r="L4392" s="3" t="str">
        <f>IF(K4392&lt;-5,"CRÍTICO",IF(K4392&lt;0,"ATENÇÃO",IF(K4392&lt;=5,"BOM","EXCELENTE")))</f>
        <v>BOM</v>
      </c>
      <c r="M4392" s="3">
        <v>16</v>
      </c>
      <c r="N4392" s="3">
        <v>100</v>
      </c>
      <c r="O4392" s="3">
        <v>20.788530465949819</v>
      </c>
    </row>
    <row r="4393" spans="1:15" hidden="1" x14ac:dyDescent="0.25">
      <c r="A4393" s="5">
        <v>46149</v>
      </c>
      <c r="B4393" s="6" t="s">
        <v>59</v>
      </c>
      <c r="C4393" s="3" t="s">
        <v>23</v>
      </c>
      <c r="D4393" s="3">
        <v>31</v>
      </c>
      <c r="E4393" s="3">
        <v>28</v>
      </c>
      <c r="F4393" s="3">
        <v>15.11</v>
      </c>
      <c r="G4393" s="3">
        <v>10</v>
      </c>
      <c r="H4393" s="3">
        <v>0</v>
      </c>
      <c r="I4393" s="3">
        <f>E4393+G4393+H4393</f>
        <v>38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22</v>
      </c>
      <c r="K4393" s="3">
        <f>I4393-J4393</f>
        <v>16</v>
      </c>
      <c r="L4393" s="3" t="str">
        <f>IF(K4393&lt;-5,"CRÍTICO",IF(K4393&lt;0,"ATENÇÃO",IF(K4393&lt;=5,"BOM","EXCELENTE")))</f>
        <v>EXCELENTE</v>
      </c>
      <c r="M4393" s="3">
        <v>36</v>
      </c>
      <c r="N4393" s="3">
        <v>96.25</v>
      </c>
      <c r="O4393" s="3">
        <v>25.586353944562902</v>
      </c>
    </row>
    <row r="4394" spans="1:15" hidden="1" x14ac:dyDescent="0.25">
      <c r="A4394" s="5">
        <v>46149</v>
      </c>
      <c r="B4394" s="6" t="s">
        <v>60</v>
      </c>
      <c r="C4394" s="3" t="s">
        <v>23</v>
      </c>
      <c r="D4394" s="3">
        <v>25</v>
      </c>
      <c r="E4394" s="3">
        <v>23</v>
      </c>
      <c r="F4394" s="3">
        <v>16.559999999999999</v>
      </c>
      <c r="G4394" s="3">
        <v>1</v>
      </c>
      <c r="H4394" s="3">
        <v>0</v>
      </c>
      <c r="I4394" s="3">
        <f>E4394+G4394+H4394</f>
        <v>24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2</v>
      </c>
      <c r="L4394" s="3" t="str">
        <f>IF(K4394&lt;-5,"CRÍTICO",IF(K4394&lt;0,"ATENÇÃO",IF(K4394&lt;=5,"BOM","EXCELENTE")))</f>
        <v>BOM</v>
      </c>
      <c r="M4394" s="3">
        <v>22</v>
      </c>
      <c r="N4394" s="3">
        <v>97.48</v>
      </c>
      <c r="O4394" s="3">
        <v>22.99465240641711</v>
      </c>
    </row>
    <row r="4395" spans="1:15" hidden="1" x14ac:dyDescent="0.25">
      <c r="A4395" s="5">
        <v>46149</v>
      </c>
      <c r="B4395" s="6" t="s">
        <v>61</v>
      </c>
      <c r="C4395" s="3" t="s">
        <v>23</v>
      </c>
      <c r="D4395" s="3">
        <v>17</v>
      </c>
      <c r="E4395" s="3">
        <v>17</v>
      </c>
      <c r="F4395" s="3">
        <v>16.5</v>
      </c>
      <c r="G4395" s="3">
        <v>7</v>
      </c>
      <c r="H4395" s="3">
        <v>0</v>
      </c>
      <c r="I4395" s="3">
        <f>E4395+G4395+H4395</f>
        <v>24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2</v>
      </c>
      <c r="L4395" s="3" t="str">
        <f>IF(K4395&lt;-5,"CRÍTICO",IF(K4395&lt;0,"ATENÇÃO",IF(K4395&lt;=5,"BOM","EXCELENTE")))</f>
        <v>BOM</v>
      </c>
      <c r="M4395" s="3">
        <v>19</v>
      </c>
      <c r="N4395" s="3">
        <v>100</v>
      </c>
      <c r="O4395" s="3">
        <v>20.788530465949819</v>
      </c>
    </row>
    <row r="4396" spans="1:15" hidden="1" x14ac:dyDescent="0.25">
      <c r="A4396" s="5">
        <v>46149</v>
      </c>
      <c r="B4396" s="6" t="s">
        <v>62</v>
      </c>
      <c r="C4396" s="3" t="s">
        <v>23</v>
      </c>
      <c r="D4396" s="3">
        <v>25</v>
      </c>
      <c r="E4396" s="3">
        <v>25</v>
      </c>
      <c r="F4396" s="3">
        <v>25.28</v>
      </c>
      <c r="G4396" s="3">
        <v>1</v>
      </c>
      <c r="H4396" s="3">
        <v>0</v>
      </c>
      <c r="I4396" s="3">
        <f>E4396+G4396+H4396</f>
        <v>26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4</v>
      </c>
      <c r="L4396" s="3" t="str">
        <f>IF(K4396&lt;-5,"CRÍTICO",IF(K4396&lt;0,"ATENÇÃO",IF(K4396&lt;=5,"BOM","EXCELENTE")))</f>
        <v>BOM</v>
      </c>
      <c r="M4396" s="3">
        <v>25</v>
      </c>
      <c r="N4396" s="3">
        <v>94.55</v>
      </c>
      <c r="O4396" s="3">
        <v>23.450134770889491</v>
      </c>
    </row>
    <row r="4397" spans="1:15" hidden="1" x14ac:dyDescent="0.25">
      <c r="A4397" s="5">
        <v>46149</v>
      </c>
      <c r="B4397" s="6" t="s">
        <v>63</v>
      </c>
      <c r="C4397" s="3" t="s">
        <v>23</v>
      </c>
      <c r="D4397" s="3">
        <v>31</v>
      </c>
      <c r="E4397" s="3">
        <v>26</v>
      </c>
      <c r="F4397" s="3">
        <v>11.59</v>
      </c>
      <c r="G4397" s="3">
        <v>14</v>
      </c>
      <c r="H4397" s="3">
        <v>0</v>
      </c>
      <c r="I4397" s="3">
        <f>E4397+G4397+H4397</f>
        <v>40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18</v>
      </c>
      <c r="L4397" s="3" t="str">
        <f>IF(K4397&lt;-5,"CRÍTICO",IF(K4397&lt;0,"ATENÇÃO",IF(K4397&lt;=5,"BOM","EXCELENTE")))</f>
        <v>EXCELENTE</v>
      </c>
      <c r="M4397" s="3">
        <v>23</v>
      </c>
      <c r="N4397" s="3">
        <v>98</v>
      </c>
      <c r="O4397" s="3">
        <v>20.73490813648294</v>
      </c>
    </row>
    <row r="4398" spans="1:15" hidden="1" x14ac:dyDescent="0.25">
      <c r="A4398" s="5">
        <v>46149</v>
      </c>
      <c r="B4398" s="6" t="s">
        <v>64</v>
      </c>
      <c r="C4398" s="3" t="s">
        <v>23</v>
      </c>
      <c r="D4398" s="3">
        <v>14</v>
      </c>
      <c r="E4398" s="3">
        <v>14</v>
      </c>
      <c r="F4398" s="3">
        <v>33.450000000000003</v>
      </c>
      <c r="G4398" s="3">
        <v>6</v>
      </c>
      <c r="H4398" s="3">
        <v>0</v>
      </c>
      <c r="I4398" s="3">
        <f>E4398+G4398+H4398</f>
        <v>20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-2</v>
      </c>
      <c r="L4398" s="3" t="str">
        <f>IF(K4398&lt;-5,"CRÍTICO",IF(K4398&lt;0,"ATENÇÃO",IF(K4398&lt;=5,"BOM","EXCELENTE")))</f>
        <v>ATENÇÃO</v>
      </c>
      <c r="M4398" s="3">
        <v>20</v>
      </c>
      <c r="N4398" s="3">
        <v>100</v>
      </c>
      <c r="O4398" s="3">
        <v>18</v>
      </c>
    </row>
    <row r="4399" spans="1:15" hidden="1" x14ac:dyDescent="0.25">
      <c r="A4399" s="5">
        <v>46150</v>
      </c>
      <c r="B4399" s="6" t="s">
        <v>59</v>
      </c>
      <c r="C4399" s="3" t="s">
        <v>23</v>
      </c>
      <c r="D4399" s="3">
        <v>26</v>
      </c>
      <c r="E4399" s="3">
        <v>25</v>
      </c>
      <c r="F4399" s="3">
        <v>22.39</v>
      </c>
      <c r="G4399" s="3">
        <v>0</v>
      </c>
      <c r="H4399" s="3">
        <v>0</v>
      </c>
      <c r="I4399" s="3">
        <f>E4399+G4399+H4399</f>
        <v>25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19</v>
      </c>
      <c r="K4399" s="3">
        <f>I4399-J4399</f>
        <v>6</v>
      </c>
      <c r="L4399" s="3" t="str">
        <f>IF(K4399&lt;-5,"CRÍTICO",IF(K4399&lt;0,"ATENÇÃO",IF(K4399&lt;=5,"BOM","EXCELENTE")))</f>
        <v>EXCELENTE</v>
      </c>
      <c r="M4399" s="3">
        <v>24</v>
      </c>
      <c r="N4399" s="3">
        <v>96.25</v>
      </c>
      <c r="O4399" s="3">
        <v>25.586353944562902</v>
      </c>
    </row>
    <row r="4400" spans="1:15" hidden="1" x14ac:dyDescent="0.25">
      <c r="A4400" s="5">
        <v>46150</v>
      </c>
      <c r="B4400" s="6" t="s">
        <v>60</v>
      </c>
      <c r="C4400" s="3" t="s">
        <v>23</v>
      </c>
      <c r="D4400" s="3">
        <v>25</v>
      </c>
      <c r="E4400" s="3">
        <v>24</v>
      </c>
      <c r="F4400" s="3">
        <v>17.350000000000001</v>
      </c>
      <c r="G4400" s="3">
        <v>6</v>
      </c>
      <c r="H4400" s="3">
        <v>0</v>
      </c>
      <c r="I4400" s="3">
        <f>E4400+G4400+H4400</f>
        <v>30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19</v>
      </c>
      <c r="K4400" s="3">
        <f>I4400-J4400</f>
        <v>11</v>
      </c>
      <c r="L4400" s="3" t="str">
        <f>IF(K4400&lt;-5,"CRÍTICO",IF(K4400&lt;0,"ATENÇÃO",IF(K4400&lt;=5,"BOM","EXCELENTE")))</f>
        <v>EXCELENTE</v>
      </c>
      <c r="M4400" s="3">
        <v>27</v>
      </c>
      <c r="N4400" s="3">
        <v>97.48</v>
      </c>
      <c r="O4400" s="3">
        <v>22.99465240641711</v>
      </c>
    </row>
    <row r="4401" spans="1:15" hidden="1" x14ac:dyDescent="0.25">
      <c r="A4401" s="5">
        <v>46150</v>
      </c>
      <c r="B4401" s="6" t="s">
        <v>61</v>
      </c>
      <c r="C4401" s="3" t="s">
        <v>23</v>
      </c>
      <c r="D4401" s="3">
        <v>16</v>
      </c>
      <c r="E4401" s="3">
        <v>16</v>
      </c>
      <c r="F4401" s="3">
        <v>23.51</v>
      </c>
      <c r="G4401" s="3">
        <v>0</v>
      </c>
      <c r="H4401" s="3">
        <v>0</v>
      </c>
      <c r="I4401" s="3">
        <f>E4401+G4401+H4401</f>
        <v>16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19</v>
      </c>
      <c r="K4401" s="3">
        <f>I4401-J4401</f>
        <v>-3</v>
      </c>
      <c r="L4401" s="3" t="str">
        <f>IF(K4401&lt;-5,"CRÍTICO",IF(K4401&lt;0,"ATENÇÃO",IF(K4401&lt;=5,"BOM","EXCELENTE")))</f>
        <v>ATENÇÃO</v>
      </c>
      <c r="M4401" s="3">
        <v>11</v>
      </c>
      <c r="N4401" s="3">
        <v>100</v>
      </c>
      <c r="O4401" s="3">
        <v>20.788530465949819</v>
      </c>
    </row>
    <row r="4402" spans="1:15" hidden="1" x14ac:dyDescent="0.25">
      <c r="A4402" s="5">
        <v>46150</v>
      </c>
      <c r="B4402" s="6" t="s">
        <v>62</v>
      </c>
      <c r="C4402" s="3" t="s">
        <v>23</v>
      </c>
      <c r="D4402" s="3">
        <v>18</v>
      </c>
      <c r="E4402" s="3">
        <v>17</v>
      </c>
      <c r="F4402" s="3">
        <v>25.06</v>
      </c>
      <c r="G4402" s="3">
        <v>6</v>
      </c>
      <c r="H4402" s="3">
        <v>0</v>
      </c>
      <c r="I4402" s="3">
        <f>E4402+G4402+H4402</f>
        <v>23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19</v>
      </c>
      <c r="K4402" s="3">
        <f>I4402-J4402</f>
        <v>4</v>
      </c>
      <c r="L4402" s="3" t="str">
        <f>IF(K4402&lt;-5,"CRÍTICO",IF(K4402&lt;0,"ATENÇÃO",IF(K4402&lt;=5,"BOM","EXCELENTE")))</f>
        <v>BOM</v>
      </c>
      <c r="M4402" s="3">
        <v>23</v>
      </c>
      <c r="N4402" s="3">
        <v>94.55</v>
      </c>
      <c r="O4402" s="3">
        <v>23.450134770889491</v>
      </c>
    </row>
    <row r="4403" spans="1:15" hidden="1" x14ac:dyDescent="0.25">
      <c r="A4403" s="5">
        <v>46150</v>
      </c>
      <c r="B4403" s="6" t="s">
        <v>63</v>
      </c>
      <c r="C4403" s="3" t="s">
        <v>23</v>
      </c>
      <c r="D4403" s="3">
        <v>39</v>
      </c>
      <c r="E4403" s="3">
        <v>34</v>
      </c>
      <c r="F4403" s="3">
        <v>12.08</v>
      </c>
      <c r="G4403" s="3">
        <v>2</v>
      </c>
      <c r="H4403" s="3">
        <v>0</v>
      </c>
      <c r="I4403" s="3">
        <f>E4403+G4403+H4403</f>
        <v>36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19</v>
      </c>
      <c r="K4403" s="3">
        <f>I4403-J4403</f>
        <v>17</v>
      </c>
      <c r="L4403" s="3" t="str">
        <f>IF(K4403&lt;-5,"CRÍTICO",IF(K4403&lt;0,"ATENÇÃO",IF(K4403&lt;=5,"BOM","EXCELENTE")))</f>
        <v>EXCELENTE</v>
      </c>
      <c r="M4403" s="3">
        <v>32</v>
      </c>
      <c r="N4403" s="3">
        <v>98</v>
      </c>
      <c r="O4403" s="3">
        <v>20.73490813648294</v>
      </c>
    </row>
    <row r="4404" spans="1:15" hidden="1" x14ac:dyDescent="0.25">
      <c r="A4404" s="5">
        <v>46150</v>
      </c>
      <c r="B4404" s="6" t="s">
        <v>64</v>
      </c>
      <c r="C4404" s="3" t="s">
        <v>23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v>0</v>
      </c>
      <c r="J4404" s="3">
        <v>0</v>
      </c>
      <c r="K4404" s="3">
        <v>0</v>
      </c>
      <c r="L4404" s="3" t="str">
        <f>IF(K4404&lt;-5,"CRÍTICO",IF(K4404&lt;0,"ATENÇÃO",IF(K4404&lt;=5,"BOM","EXCELENTE")))</f>
        <v>BOM</v>
      </c>
      <c r="M4404" s="3">
        <v>0</v>
      </c>
      <c r="N4404" s="3">
        <v>100</v>
      </c>
      <c r="O4404" s="3">
        <v>18</v>
      </c>
    </row>
    <row r="4405" spans="1:15" hidden="1" x14ac:dyDescent="0.25">
      <c r="A4405" s="5">
        <v>46153</v>
      </c>
      <c r="B4405" s="6" t="s">
        <v>59</v>
      </c>
      <c r="C4405" s="3" t="s">
        <v>23</v>
      </c>
      <c r="D4405" s="3">
        <v>40</v>
      </c>
      <c r="E4405" s="3">
        <v>38</v>
      </c>
      <c r="F4405" s="3">
        <v>13.44</v>
      </c>
      <c r="G4405" s="3">
        <v>8</v>
      </c>
      <c r="H4405" s="3">
        <v>0</v>
      </c>
      <c r="I4405" s="3">
        <f>E4405+G4405+H4405</f>
        <v>46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20</v>
      </c>
      <c r="K4405" s="3">
        <f>I4405-J4405</f>
        <v>26</v>
      </c>
      <c r="L4405" s="3" t="str">
        <f>IF(K4405&lt;-5,"CRÍTICO",IF(K4405&lt;0,"ATENÇÃO",IF(K4405&lt;=5,"BOM","EXCELENTE")))</f>
        <v>EXCELENTE</v>
      </c>
      <c r="M4405" s="3">
        <v>38</v>
      </c>
      <c r="N4405" s="3">
        <v>96.25</v>
      </c>
      <c r="O4405" s="3">
        <v>25.586353944562902</v>
      </c>
    </row>
    <row r="4406" spans="1:15" hidden="1" x14ac:dyDescent="0.25">
      <c r="A4406" s="5">
        <v>46153</v>
      </c>
      <c r="B4406" s="6" t="s">
        <v>60</v>
      </c>
      <c r="C4406" s="3" t="s">
        <v>23</v>
      </c>
      <c r="D4406" s="3">
        <v>24</v>
      </c>
      <c r="E4406" s="3">
        <v>23</v>
      </c>
      <c r="F4406" s="3">
        <v>18.57</v>
      </c>
      <c r="G4406" s="3">
        <v>2</v>
      </c>
      <c r="H4406" s="3">
        <v>0</v>
      </c>
      <c r="I4406" s="3">
        <f>E4406+G4406+H4406</f>
        <v>25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>I4406-J4406</f>
        <v>5</v>
      </c>
      <c r="L4406" s="3" t="str">
        <f>IF(K4406&lt;-5,"CRÍTICO",IF(K4406&lt;0,"ATENÇÃO",IF(K4406&lt;=5,"BOM","EXCELENTE")))</f>
        <v>BOM</v>
      </c>
      <c r="M4406" s="3">
        <v>21</v>
      </c>
      <c r="N4406" s="3">
        <v>97.48</v>
      </c>
      <c r="O4406" s="3">
        <v>22.99465240641711</v>
      </c>
    </row>
    <row r="4407" spans="1:15" hidden="1" x14ac:dyDescent="0.25">
      <c r="A4407" s="5">
        <v>46153</v>
      </c>
      <c r="B4407" s="6" t="s">
        <v>61</v>
      </c>
      <c r="C4407" s="3" t="s">
        <v>23</v>
      </c>
      <c r="D4407" s="3">
        <v>24</v>
      </c>
      <c r="E4407" s="3">
        <v>20</v>
      </c>
      <c r="F4407" s="3">
        <v>13.37</v>
      </c>
      <c r="G4407" s="3">
        <v>2</v>
      </c>
      <c r="H4407" s="3">
        <v>0</v>
      </c>
      <c r="I4407" s="3">
        <f>E4407+G4407+H4407</f>
        <v>22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20</v>
      </c>
      <c r="K4407" s="3">
        <f>I4407-J4407</f>
        <v>2</v>
      </c>
      <c r="L4407" s="3" t="str">
        <f>IF(K4407&lt;-5,"CRÍTICO",IF(K4407&lt;0,"ATENÇÃO",IF(K4407&lt;=5,"BOM","EXCELENTE")))</f>
        <v>BOM</v>
      </c>
      <c r="M4407" s="3">
        <v>19</v>
      </c>
      <c r="N4407" s="3">
        <v>100</v>
      </c>
      <c r="O4407" s="3">
        <v>20.788530465949819</v>
      </c>
    </row>
    <row r="4408" spans="1:15" hidden="1" x14ac:dyDescent="0.25">
      <c r="A4408" s="5">
        <v>46153</v>
      </c>
      <c r="B4408" s="6" t="s">
        <v>62</v>
      </c>
      <c r="C4408" s="3" t="s">
        <v>23</v>
      </c>
      <c r="D4408" s="3">
        <v>24</v>
      </c>
      <c r="E4408" s="3">
        <v>23</v>
      </c>
      <c r="F4408" s="3">
        <v>17.22</v>
      </c>
      <c r="G4408" s="3">
        <v>1</v>
      </c>
      <c r="H4408" s="3">
        <v>0</v>
      </c>
      <c r="I4408" s="3">
        <f>E4408+G4408+H4408</f>
        <v>24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20</v>
      </c>
      <c r="K4408" s="3">
        <f>I4408-J4408</f>
        <v>4</v>
      </c>
      <c r="L4408" s="3" t="str">
        <f>IF(K4408&lt;-5,"CRÍTICO",IF(K4408&lt;0,"ATENÇÃO",IF(K4408&lt;=5,"BOM","EXCELENTE")))</f>
        <v>BOM</v>
      </c>
      <c r="M4408" s="3">
        <v>25</v>
      </c>
      <c r="N4408" s="3">
        <v>94.55</v>
      </c>
      <c r="O4408" s="3">
        <v>23.450134770889491</v>
      </c>
    </row>
    <row r="4409" spans="1:15" hidden="1" x14ac:dyDescent="0.25">
      <c r="A4409" s="5">
        <v>46153</v>
      </c>
      <c r="B4409" s="6" t="s">
        <v>63</v>
      </c>
      <c r="C4409" s="3" t="s">
        <v>23</v>
      </c>
      <c r="D4409" s="3">
        <v>29</v>
      </c>
      <c r="E4409" s="3">
        <v>25</v>
      </c>
      <c r="F4409" s="3">
        <v>22.14</v>
      </c>
      <c r="G4409" s="3">
        <v>6</v>
      </c>
      <c r="H4409" s="3">
        <v>0</v>
      </c>
      <c r="I4409" s="3">
        <f>E4409+G4409+H4409</f>
        <v>31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20</v>
      </c>
      <c r="K4409" s="3">
        <f>I4409-J4409</f>
        <v>11</v>
      </c>
      <c r="L4409" s="3" t="str">
        <f>IF(K4409&lt;-5,"CRÍTICO",IF(K4409&lt;0,"ATENÇÃO",IF(K4409&lt;=5,"BOM","EXCELENTE")))</f>
        <v>EXCELENTE</v>
      </c>
      <c r="M4409" s="3">
        <v>24</v>
      </c>
      <c r="N4409" s="3">
        <v>98</v>
      </c>
      <c r="O4409" s="3">
        <v>20.73490813648294</v>
      </c>
    </row>
    <row r="4410" spans="1:15" hidden="1" x14ac:dyDescent="0.25">
      <c r="A4410" s="5">
        <v>46153</v>
      </c>
      <c r="B4410" s="6" t="s">
        <v>64</v>
      </c>
      <c r="C4410" s="3" t="s">
        <v>23</v>
      </c>
      <c r="D4410" s="3">
        <v>16</v>
      </c>
      <c r="E4410" s="3">
        <v>16</v>
      </c>
      <c r="F4410" s="3">
        <v>33.21</v>
      </c>
      <c r="G4410" s="3">
        <v>1</v>
      </c>
      <c r="H4410" s="3">
        <v>0</v>
      </c>
      <c r="I4410" s="3">
        <f>E4410+G4410+H4410</f>
        <v>17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20</v>
      </c>
      <c r="K4410" s="3">
        <f>I4410-J4410</f>
        <v>-3</v>
      </c>
      <c r="L4410" s="3" t="str">
        <f>IF(K4410&lt;-5,"CRÍTICO",IF(K4410&lt;0,"ATENÇÃO",IF(K4410&lt;=5,"BOM","EXCELENTE")))</f>
        <v>ATENÇÃO</v>
      </c>
      <c r="M4410" s="3">
        <v>15</v>
      </c>
      <c r="N4410" s="3">
        <v>100</v>
      </c>
      <c r="O4410" s="3">
        <v>18</v>
      </c>
    </row>
    <row r="4411" spans="1:15" hidden="1" x14ac:dyDescent="0.25">
      <c r="A4411" s="5">
        <v>46154</v>
      </c>
      <c r="B4411" s="6" t="s">
        <v>59</v>
      </c>
      <c r="C4411" s="3" t="s">
        <v>23</v>
      </c>
      <c r="D4411" s="3">
        <v>31</v>
      </c>
      <c r="E4411" s="3">
        <v>29</v>
      </c>
      <c r="F4411" s="3">
        <v>17.38</v>
      </c>
      <c r="G4411" s="3">
        <v>2</v>
      </c>
      <c r="H4411" s="3">
        <v>0</v>
      </c>
      <c r="I4411" s="3">
        <f>E4411+G4411+H4411</f>
        <v>31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21</v>
      </c>
      <c r="K4411" s="3">
        <f>I4411-J4411</f>
        <v>10</v>
      </c>
      <c r="L4411" s="3" t="str">
        <f>IF(K4411&lt;-5,"CRÍTICO",IF(K4411&lt;0,"ATENÇÃO",IF(K4411&lt;=5,"BOM","EXCELENTE")))</f>
        <v>EXCELENTE</v>
      </c>
      <c r="M4411" s="3">
        <v>27</v>
      </c>
      <c r="N4411" s="3">
        <v>96.25</v>
      </c>
      <c r="O4411" s="3">
        <v>25.586353944562902</v>
      </c>
    </row>
    <row r="4412" spans="1:15" hidden="1" x14ac:dyDescent="0.25">
      <c r="A4412" s="5">
        <v>46154</v>
      </c>
      <c r="B4412" s="6" t="s">
        <v>60</v>
      </c>
      <c r="C4412" s="3" t="s">
        <v>23</v>
      </c>
      <c r="D4412" s="3">
        <v>24</v>
      </c>
      <c r="E4412" s="3">
        <v>23</v>
      </c>
      <c r="F4412" s="3">
        <v>13.58</v>
      </c>
      <c r="G4412" s="3">
        <v>5</v>
      </c>
      <c r="H4412" s="3">
        <v>0</v>
      </c>
      <c r="I4412" s="3">
        <f>E4412+G4412+H4412</f>
        <v>28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21</v>
      </c>
      <c r="K4412" s="3">
        <f>I4412-J4412</f>
        <v>7</v>
      </c>
      <c r="L4412" s="3" t="str">
        <f>IF(K4412&lt;-5,"CRÍTICO",IF(K4412&lt;0,"ATENÇÃO",IF(K4412&lt;=5,"BOM","EXCELENTE")))</f>
        <v>EXCELENTE</v>
      </c>
      <c r="M4412" s="3">
        <v>25</v>
      </c>
      <c r="N4412" s="3">
        <v>97.48</v>
      </c>
      <c r="O4412" s="3">
        <v>22.99465240641711</v>
      </c>
    </row>
    <row r="4413" spans="1:15" hidden="1" x14ac:dyDescent="0.25">
      <c r="A4413" s="5">
        <v>46154</v>
      </c>
      <c r="B4413" s="6" t="s">
        <v>61</v>
      </c>
      <c r="C4413" s="3" t="s">
        <v>23</v>
      </c>
      <c r="D4413" s="3">
        <v>28</v>
      </c>
      <c r="E4413" s="3">
        <v>26</v>
      </c>
      <c r="F4413" s="3">
        <v>11.47</v>
      </c>
      <c r="G4413" s="3">
        <v>0</v>
      </c>
      <c r="H4413" s="3">
        <v>0</v>
      </c>
      <c r="I4413" s="3">
        <f>E4413+G4413+H4413</f>
        <v>26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21</v>
      </c>
      <c r="K4413" s="3">
        <f>I4413-J4413</f>
        <v>5</v>
      </c>
      <c r="L4413" s="3" t="str">
        <f>IF(K4413&lt;-5,"CRÍTICO",IF(K4413&lt;0,"ATENÇÃO",IF(K4413&lt;=5,"BOM","EXCELENTE")))</f>
        <v>BOM</v>
      </c>
      <c r="M4413" s="3">
        <v>17</v>
      </c>
      <c r="N4413" s="3">
        <v>100</v>
      </c>
      <c r="O4413" s="3">
        <v>20.788530465949819</v>
      </c>
    </row>
    <row r="4414" spans="1:15" hidden="1" x14ac:dyDescent="0.25">
      <c r="A4414" s="5">
        <v>46154</v>
      </c>
      <c r="B4414" s="6" t="s">
        <v>62</v>
      </c>
      <c r="C4414" s="3" t="s">
        <v>23</v>
      </c>
      <c r="D4414" s="3">
        <v>24</v>
      </c>
      <c r="E4414" s="3">
        <v>20</v>
      </c>
      <c r="F4414" s="3">
        <v>19.149999999999999</v>
      </c>
      <c r="G4414" s="3">
        <v>4</v>
      </c>
      <c r="H4414" s="3">
        <v>0</v>
      </c>
      <c r="I4414" s="3">
        <f>E4414+G4414+H4414</f>
        <v>24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21</v>
      </c>
      <c r="K4414" s="3">
        <f>I4414-J4414</f>
        <v>3</v>
      </c>
      <c r="L4414" s="3" t="str">
        <f>IF(K4414&lt;-5,"CRÍTICO",IF(K4414&lt;0,"ATENÇÃO",IF(K4414&lt;=5,"BOM","EXCELENTE")))</f>
        <v>BOM</v>
      </c>
      <c r="M4414" s="3">
        <v>22</v>
      </c>
      <c r="N4414" s="3">
        <v>94.55</v>
      </c>
      <c r="O4414" s="3">
        <v>23.450134770889491</v>
      </c>
    </row>
    <row r="4415" spans="1:15" hidden="1" x14ac:dyDescent="0.25">
      <c r="A4415" s="5">
        <v>46154</v>
      </c>
      <c r="B4415" s="6" t="s">
        <v>63</v>
      </c>
      <c r="C4415" s="3" t="s">
        <v>23</v>
      </c>
      <c r="D4415" s="3">
        <v>27</v>
      </c>
      <c r="E4415" s="3">
        <v>26</v>
      </c>
      <c r="F4415" s="3">
        <v>17.2</v>
      </c>
      <c r="G4415" s="3">
        <v>1</v>
      </c>
      <c r="H4415" s="3">
        <v>0</v>
      </c>
      <c r="I4415" s="3">
        <f>E4415+G4415+H4415</f>
        <v>27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21</v>
      </c>
      <c r="K4415" s="3">
        <f>I4415-J4415</f>
        <v>6</v>
      </c>
      <c r="L4415" s="3" t="str">
        <f>IF(K4415&lt;-5,"CRÍTICO",IF(K4415&lt;0,"ATENÇÃO",IF(K4415&lt;=5,"BOM","EXCELENTE")))</f>
        <v>EXCELENTE</v>
      </c>
      <c r="M4415" s="3">
        <v>20</v>
      </c>
      <c r="N4415" s="3">
        <v>98</v>
      </c>
      <c r="O4415" s="3">
        <v>20.73490813648294</v>
      </c>
    </row>
    <row r="4416" spans="1:15" hidden="1" x14ac:dyDescent="0.25">
      <c r="A4416" s="5">
        <v>46154</v>
      </c>
      <c r="B4416" s="6" t="s">
        <v>64</v>
      </c>
      <c r="C4416" s="3" t="s">
        <v>23</v>
      </c>
      <c r="D4416" s="3">
        <v>19</v>
      </c>
      <c r="E4416" s="3">
        <v>19</v>
      </c>
      <c r="F4416" s="3">
        <v>30.07</v>
      </c>
      <c r="G4416" s="3">
        <v>0</v>
      </c>
      <c r="H4416" s="3">
        <v>0</v>
      </c>
      <c r="I4416" s="3">
        <f>E4416+G4416+H4416</f>
        <v>19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21</v>
      </c>
      <c r="K4416" s="3">
        <f>I4416-J4416</f>
        <v>-2</v>
      </c>
      <c r="L4416" s="3" t="str">
        <f>IF(K4416&lt;-5,"CRÍTICO",IF(K4416&lt;0,"ATENÇÃO",IF(K4416&lt;=5,"BOM","EXCELENTE")))</f>
        <v>ATENÇÃO</v>
      </c>
      <c r="M4416" s="3">
        <v>19</v>
      </c>
      <c r="N4416" s="3">
        <v>100</v>
      </c>
      <c r="O4416" s="3">
        <v>18</v>
      </c>
    </row>
    <row r="4417" spans="1:15" hidden="1" x14ac:dyDescent="0.25">
      <c r="A4417" s="5">
        <v>46155</v>
      </c>
      <c r="B4417" s="6" t="s">
        <v>59</v>
      </c>
      <c r="C4417" s="3" t="s">
        <v>23</v>
      </c>
      <c r="D4417" s="3">
        <v>25</v>
      </c>
      <c r="E4417" s="3">
        <v>21</v>
      </c>
      <c r="F4417" s="3">
        <v>22.22</v>
      </c>
      <c r="G4417" s="3">
        <v>7</v>
      </c>
      <c r="H4417" s="3">
        <v>0</v>
      </c>
      <c r="I4417" s="3">
        <f>E4417+G4417+H4417</f>
        <v>28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19</v>
      </c>
      <c r="K4417" s="3">
        <f>I4417-J4417</f>
        <v>9</v>
      </c>
      <c r="L4417" s="3" t="str">
        <f>IF(K4417&lt;-5,"CRÍTICO",IF(K4417&lt;0,"ATENÇÃO",IF(K4417&lt;=5,"BOM","EXCELENTE")))</f>
        <v>EXCELENTE</v>
      </c>
      <c r="M4417" s="3">
        <v>26</v>
      </c>
      <c r="N4417" s="3">
        <v>96.25</v>
      </c>
      <c r="O4417" s="3">
        <v>25.586353944562902</v>
      </c>
    </row>
    <row r="4418" spans="1:15" hidden="1" x14ac:dyDescent="0.25">
      <c r="A4418" s="5">
        <v>46155</v>
      </c>
      <c r="B4418" s="6" t="s">
        <v>60</v>
      </c>
      <c r="C4418" s="3" t="s">
        <v>23</v>
      </c>
      <c r="D4418" s="3">
        <v>37</v>
      </c>
      <c r="E4418" s="3">
        <v>32</v>
      </c>
      <c r="F4418" s="3">
        <v>15.32</v>
      </c>
      <c r="G4418" s="3">
        <v>3</v>
      </c>
      <c r="H4418" s="3">
        <v>0</v>
      </c>
      <c r="I4418" s="3">
        <f>E4418+G4418+H4418</f>
        <v>35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16</v>
      </c>
      <c r="L4418" s="3" t="str">
        <f>IF(K4418&lt;-5,"CRÍTICO",IF(K4418&lt;0,"ATENÇÃO",IF(K4418&lt;=5,"BOM","EXCELENTE")))</f>
        <v>EXCELENTE</v>
      </c>
      <c r="M4418" s="3">
        <v>26</v>
      </c>
      <c r="N4418" s="3">
        <v>97.48</v>
      </c>
      <c r="O4418" s="3">
        <v>22.99465240641711</v>
      </c>
    </row>
    <row r="4419" spans="1:15" hidden="1" x14ac:dyDescent="0.25">
      <c r="A4419" s="5">
        <v>46155</v>
      </c>
      <c r="B4419" s="6" t="s">
        <v>61</v>
      </c>
      <c r="C4419" s="3" t="s">
        <v>23</v>
      </c>
      <c r="D4419" s="3">
        <v>17</v>
      </c>
      <c r="E4419" s="3">
        <v>16</v>
      </c>
      <c r="F4419" s="3">
        <v>21.54</v>
      </c>
      <c r="G4419" s="3">
        <v>5</v>
      </c>
      <c r="H4419" s="3">
        <v>0</v>
      </c>
      <c r="I4419" s="3">
        <f>E4419+G4419+H4419</f>
        <v>21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2</v>
      </c>
      <c r="L4419" s="3" t="str">
        <f>IF(K4419&lt;-5,"CRÍTICO",IF(K4419&lt;0,"ATENÇÃO",IF(K4419&lt;=5,"BOM","EXCELENTE")))</f>
        <v>BOM</v>
      </c>
      <c r="M4419" s="3">
        <v>19</v>
      </c>
      <c r="N4419" s="3">
        <v>100</v>
      </c>
      <c r="O4419" s="3">
        <v>20.788530465949819</v>
      </c>
    </row>
    <row r="4420" spans="1:15" hidden="1" x14ac:dyDescent="0.25">
      <c r="A4420" s="5">
        <v>46155</v>
      </c>
      <c r="B4420" s="6" t="s">
        <v>62</v>
      </c>
      <c r="C4420" s="3" t="s">
        <v>23</v>
      </c>
      <c r="D4420" s="3">
        <v>24</v>
      </c>
      <c r="E4420" s="3">
        <v>22</v>
      </c>
      <c r="F4420" s="3">
        <v>20.170000000000002</v>
      </c>
      <c r="G4420" s="3">
        <v>1</v>
      </c>
      <c r="H4420" s="3">
        <v>0</v>
      </c>
      <c r="I4420" s="3">
        <f>E4420+G4420+H4420</f>
        <v>23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4</v>
      </c>
      <c r="L4420" s="3" t="str">
        <f>IF(K4420&lt;-5,"CRÍTICO",IF(K4420&lt;0,"ATENÇÃO",IF(K4420&lt;=5,"BOM","EXCELENTE")))</f>
        <v>BOM</v>
      </c>
      <c r="M4420" s="3">
        <v>22</v>
      </c>
      <c r="N4420" s="3">
        <v>94.55</v>
      </c>
      <c r="O4420" s="3">
        <v>23.450134770889491</v>
      </c>
    </row>
    <row r="4421" spans="1:15" hidden="1" x14ac:dyDescent="0.25">
      <c r="A4421" s="5">
        <v>46155</v>
      </c>
      <c r="B4421" s="6" t="s">
        <v>63</v>
      </c>
      <c r="C4421" s="3" t="s">
        <v>23</v>
      </c>
      <c r="D4421" s="3">
        <v>33</v>
      </c>
      <c r="E4421" s="3">
        <v>31</v>
      </c>
      <c r="F4421" s="3">
        <v>13.48</v>
      </c>
      <c r="G4421" s="3">
        <v>7</v>
      </c>
      <c r="H4421" s="3">
        <v>0</v>
      </c>
      <c r="I4421" s="3">
        <f>E4421+G4421+H4421</f>
        <v>38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19</v>
      </c>
      <c r="L4421" s="3" t="str">
        <f>IF(K4421&lt;-5,"CRÍTICO",IF(K4421&lt;0,"ATENÇÃO",IF(K4421&lt;=5,"BOM","EXCELENTE")))</f>
        <v>EXCELENTE</v>
      </c>
      <c r="M4421" s="3">
        <v>31</v>
      </c>
      <c r="N4421" s="3">
        <v>98</v>
      </c>
      <c r="O4421" s="3">
        <v>20.73490813648294</v>
      </c>
    </row>
    <row r="4422" spans="1:15" hidden="1" x14ac:dyDescent="0.25">
      <c r="A4422" s="5">
        <v>46155</v>
      </c>
      <c r="B4422" s="6" t="s">
        <v>64</v>
      </c>
      <c r="C4422" s="3" t="s">
        <v>23</v>
      </c>
      <c r="D4422" s="3">
        <v>11</v>
      </c>
      <c r="E4422" s="3">
        <v>10</v>
      </c>
      <c r="F4422" s="3">
        <v>33.26</v>
      </c>
      <c r="G4422" s="3">
        <v>5</v>
      </c>
      <c r="H4422" s="3">
        <v>0</v>
      </c>
      <c r="I4422" s="3">
        <f>E4422+G4422+H4422</f>
        <v>15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-4</v>
      </c>
      <c r="L4422" s="3" t="str">
        <f>IF(K4422&lt;-5,"CRÍTICO",IF(K4422&lt;0,"ATENÇÃO",IF(K4422&lt;=5,"BOM","EXCELENTE")))</f>
        <v>ATENÇÃO</v>
      </c>
      <c r="M4422" s="3">
        <v>16</v>
      </c>
      <c r="N4422" s="3">
        <v>100</v>
      </c>
      <c r="O4422" s="3">
        <v>18</v>
      </c>
    </row>
    <row r="4423" spans="1:15" hidden="1" x14ac:dyDescent="0.25">
      <c r="A4423" s="5">
        <v>46156</v>
      </c>
      <c r="B4423" s="6" t="s">
        <v>59</v>
      </c>
      <c r="C4423" s="3" t="s">
        <v>23</v>
      </c>
      <c r="D4423" s="3">
        <v>27</v>
      </c>
      <c r="E4423" s="3">
        <v>25</v>
      </c>
      <c r="F4423" s="3">
        <v>18.510000000000002</v>
      </c>
      <c r="G4423" s="3">
        <v>1</v>
      </c>
      <c r="H4423" s="3">
        <v>0</v>
      </c>
      <c r="I4423" s="3">
        <f>E4423+G4423+H4423</f>
        <v>26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7</v>
      </c>
      <c r="L4423" s="3" t="str">
        <f>IF(K4423&lt;-5,"CRÍTICO",IF(K4423&lt;0,"ATENÇÃO",IF(K4423&lt;=5,"BOM","EXCELENTE")))</f>
        <v>EXCELENTE</v>
      </c>
      <c r="M4423" s="3">
        <v>23</v>
      </c>
      <c r="N4423" s="3">
        <v>96.25</v>
      </c>
      <c r="O4423" s="3">
        <v>25.586353944562902</v>
      </c>
    </row>
    <row r="4424" spans="1:15" hidden="1" x14ac:dyDescent="0.25">
      <c r="A4424" s="5">
        <v>46156</v>
      </c>
      <c r="B4424" s="6" t="s">
        <v>60</v>
      </c>
      <c r="C4424" s="3" t="s">
        <v>23</v>
      </c>
      <c r="D4424" s="3">
        <v>33</v>
      </c>
      <c r="E4424" s="3">
        <v>29</v>
      </c>
      <c r="F4424" s="3">
        <v>11.54</v>
      </c>
      <c r="G4424" s="3">
        <v>7</v>
      </c>
      <c r="H4424" s="3">
        <v>0</v>
      </c>
      <c r="I4424" s="3">
        <f>E4424+G4424+H4424</f>
        <v>36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17</v>
      </c>
      <c r="L4424" s="3" t="str">
        <f>IF(K4424&lt;-5,"CRÍTICO",IF(K4424&lt;0,"ATENÇÃO",IF(K4424&lt;=5,"BOM","EXCELENTE")))</f>
        <v>EXCELENTE</v>
      </c>
      <c r="M4424" s="3">
        <v>30</v>
      </c>
      <c r="N4424" s="3">
        <v>97.48</v>
      </c>
      <c r="O4424" s="3">
        <v>22.99465240641711</v>
      </c>
    </row>
    <row r="4425" spans="1:15" hidden="1" x14ac:dyDescent="0.25">
      <c r="A4425" s="5">
        <v>46156</v>
      </c>
      <c r="B4425" s="6" t="s">
        <v>61</v>
      </c>
      <c r="C4425" s="3" t="s">
        <v>23</v>
      </c>
      <c r="D4425" s="3">
        <v>30</v>
      </c>
      <c r="E4425" s="3">
        <v>28</v>
      </c>
      <c r="F4425" s="3">
        <v>18.25</v>
      </c>
      <c r="G4425" s="3">
        <v>1</v>
      </c>
      <c r="H4425" s="3">
        <v>0</v>
      </c>
      <c r="I4425" s="3">
        <f>E4425+G4425+H4425</f>
        <v>29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10</v>
      </c>
      <c r="L4425" s="3" t="str">
        <f>IF(K4425&lt;-5,"CRÍTICO",IF(K4425&lt;0,"ATENÇÃO",IF(K4425&lt;=5,"BOM","EXCELENTE")))</f>
        <v>EXCELENTE</v>
      </c>
      <c r="M4425" s="3">
        <v>20</v>
      </c>
      <c r="N4425" s="3">
        <v>100</v>
      </c>
      <c r="O4425" s="3">
        <v>20.788530465949819</v>
      </c>
    </row>
    <row r="4426" spans="1:15" hidden="1" x14ac:dyDescent="0.25">
      <c r="A4426" s="5">
        <v>46156</v>
      </c>
      <c r="B4426" s="6" t="s">
        <v>62</v>
      </c>
      <c r="C4426" s="3" t="s">
        <v>23</v>
      </c>
      <c r="D4426" s="3">
        <v>11</v>
      </c>
      <c r="E4426" s="3">
        <v>11</v>
      </c>
      <c r="F4426" s="3">
        <v>33.21</v>
      </c>
      <c r="G4426" s="3">
        <v>4</v>
      </c>
      <c r="H4426" s="3">
        <v>0</v>
      </c>
      <c r="I4426" s="3">
        <f>E4426+G4426+H4426</f>
        <v>15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-4</v>
      </c>
      <c r="L4426" s="3" t="str">
        <f>IF(K4426&lt;-5,"CRÍTICO",IF(K4426&lt;0,"ATENÇÃO",IF(K4426&lt;=5,"BOM","EXCELENTE")))</f>
        <v>ATENÇÃO</v>
      </c>
      <c r="M4426" s="3">
        <v>16</v>
      </c>
      <c r="N4426" s="3">
        <v>94.55</v>
      </c>
      <c r="O4426" s="3">
        <v>23.450134770889491</v>
      </c>
    </row>
    <row r="4427" spans="1:15" hidden="1" x14ac:dyDescent="0.25">
      <c r="A4427" s="5">
        <v>46156</v>
      </c>
      <c r="B4427" s="6" t="s">
        <v>63</v>
      </c>
      <c r="C4427" s="3" t="s">
        <v>23</v>
      </c>
      <c r="D4427" s="3">
        <v>26</v>
      </c>
      <c r="E4427" s="3">
        <v>25</v>
      </c>
      <c r="F4427" s="3">
        <v>15.24</v>
      </c>
      <c r="G4427" s="3">
        <v>1</v>
      </c>
      <c r="H4427" s="3">
        <v>0</v>
      </c>
      <c r="I4427" s="3">
        <f>E4427+G4427+H4427</f>
        <v>26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7</v>
      </c>
      <c r="L4427" s="3" t="str">
        <f>IF(K4427&lt;-5,"CRÍTICO",IF(K4427&lt;0,"ATENÇÃO",IF(K4427&lt;=5,"BOM","EXCELENTE")))</f>
        <v>EXCELENTE</v>
      </c>
      <c r="M4427" s="3">
        <v>24</v>
      </c>
      <c r="N4427" s="3">
        <v>98</v>
      </c>
      <c r="O4427" s="3">
        <v>20.73490813648294</v>
      </c>
    </row>
    <row r="4428" spans="1:15" hidden="1" x14ac:dyDescent="0.25">
      <c r="A4428" s="5">
        <v>46156</v>
      </c>
      <c r="B4428" s="6" t="s">
        <v>64</v>
      </c>
      <c r="C4428" s="3" t="s">
        <v>23</v>
      </c>
      <c r="D4428" s="3">
        <v>20</v>
      </c>
      <c r="E4428" s="3">
        <v>19</v>
      </c>
      <c r="F4428" s="3">
        <v>20.29</v>
      </c>
      <c r="G4428" s="3">
        <v>0</v>
      </c>
      <c r="H4428" s="3">
        <v>0</v>
      </c>
      <c r="I4428" s="3">
        <f>E4428+G4428+H4428</f>
        <v>19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0</v>
      </c>
      <c r="L4428" s="3" t="str">
        <f>IF(K4428&lt;-5,"CRÍTICO",IF(K4428&lt;0,"ATENÇÃO",IF(K4428&lt;=5,"BOM","EXCELENTE")))</f>
        <v>BOM</v>
      </c>
      <c r="M4428" s="3">
        <v>17</v>
      </c>
      <c r="N4428" s="3">
        <v>100</v>
      </c>
      <c r="O4428" s="3">
        <v>18</v>
      </c>
    </row>
    <row r="4429" spans="1:15" hidden="1" x14ac:dyDescent="0.25">
      <c r="A4429" s="5">
        <v>46157</v>
      </c>
      <c r="B4429" s="6" t="s">
        <v>59</v>
      </c>
      <c r="C4429" s="3" t="s">
        <v>23</v>
      </c>
      <c r="D4429" s="3">
        <v>40</v>
      </c>
      <c r="E4429" s="3">
        <v>38</v>
      </c>
      <c r="F4429" s="3">
        <v>15.24</v>
      </c>
      <c r="G4429" s="3">
        <v>5</v>
      </c>
      <c r="H4429" s="3">
        <v>0</v>
      </c>
      <c r="I4429" s="3">
        <f>E4429+G4429+H4429</f>
        <v>43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24</v>
      </c>
      <c r="L4429" s="3" t="str">
        <f>IF(K4429&lt;-5,"CRÍTICO",IF(K4429&lt;0,"ATENÇÃO",IF(K4429&lt;=5,"BOM","EXCELENTE")))</f>
        <v>EXCELENTE</v>
      </c>
      <c r="M4429" s="3">
        <v>36</v>
      </c>
      <c r="N4429" s="3">
        <v>96.25</v>
      </c>
      <c r="O4429" s="3">
        <v>25.586353944562902</v>
      </c>
    </row>
    <row r="4430" spans="1:15" hidden="1" x14ac:dyDescent="0.25">
      <c r="A4430" s="5">
        <v>46157</v>
      </c>
      <c r="B4430" s="6" t="s">
        <v>60</v>
      </c>
      <c r="C4430" s="3" t="s">
        <v>23</v>
      </c>
      <c r="D4430" s="3">
        <v>24</v>
      </c>
      <c r="E4430" s="3">
        <v>20</v>
      </c>
      <c r="F4430" s="3">
        <v>19.190000000000001</v>
      </c>
      <c r="G4430" s="3">
        <v>3</v>
      </c>
      <c r="H4430" s="3">
        <v>0</v>
      </c>
      <c r="I4430" s="3">
        <f>E4430+G4430+H4430</f>
        <v>23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4</v>
      </c>
      <c r="L4430" s="3" t="str">
        <f>IF(K4430&lt;-5,"CRÍTICO",IF(K4430&lt;0,"ATENÇÃO",IF(K4430&lt;=5,"BOM","EXCELENTE")))</f>
        <v>BOM</v>
      </c>
      <c r="M4430" s="3">
        <v>20</v>
      </c>
      <c r="N4430" s="3">
        <v>97.48</v>
      </c>
      <c r="O4430" s="3">
        <v>22.99465240641711</v>
      </c>
    </row>
    <row r="4431" spans="1:15" hidden="1" x14ac:dyDescent="0.25">
      <c r="A4431" s="5">
        <v>46157</v>
      </c>
      <c r="B4431" s="6" t="s">
        <v>61</v>
      </c>
      <c r="C4431" s="3" t="s">
        <v>23</v>
      </c>
      <c r="D4431" s="3">
        <v>18</v>
      </c>
      <c r="E4431" s="3">
        <v>18</v>
      </c>
      <c r="F4431" s="3">
        <v>25.25</v>
      </c>
      <c r="G4431" s="3">
        <v>3</v>
      </c>
      <c r="H4431" s="3">
        <v>0</v>
      </c>
      <c r="I4431" s="3">
        <f>E4431+G4431+H4431</f>
        <v>21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2</v>
      </c>
      <c r="L4431" s="3" t="str">
        <f>IF(K4431&lt;-5,"CRÍTICO",IF(K4431&lt;0,"ATENÇÃO",IF(K4431&lt;=5,"BOM","EXCELENTE")))</f>
        <v>BOM</v>
      </c>
      <c r="M4431" s="3">
        <v>19</v>
      </c>
      <c r="N4431" s="3">
        <v>100</v>
      </c>
      <c r="O4431" s="3">
        <v>20.788530465949819</v>
      </c>
    </row>
    <row r="4432" spans="1:15" hidden="1" x14ac:dyDescent="0.25">
      <c r="A4432" s="5">
        <v>46157</v>
      </c>
      <c r="B4432" s="6" t="s">
        <v>62</v>
      </c>
      <c r="C4432" s="3" t="s">
        <v>23</v>
      </c>
      <c r="D4432" s="3">
        <v>24</v>
      </c>
      <c r="E4432" s="3">
        <v>21</v>
      </c>
      <c r="F4432" s="3">
        <v>20.350000000000001</v>
      </c>
      <c r="G4432" s="3">
        <v>2</v>
      </c>
      <c r="H4432" s="3">
        <v>0</v>
      </c>
      <c r="I4432" s="3">
        <f>E4432+G4432+H4432</f>
        <v>23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19</v>
      </c>
      <c r="K4432" s="3">
        <f>I4432-J4432</f>
        <v>4</v>
      </c>
      <c r="L4432" s="3" t="str">
        <f>IF(K4432&lt;-5,"CRÍTICO",IF(K4432&lt;0,"ATENÇÃO",IF(K4432&lt;=5,"BOM","EXCELENTE")))</f>
        <v>BOM</v>
      </c>
      <c r="M4432" s="3">
        <v>24</v>
      </c>
      <c r="N4432" s="3">
        <v>94.55</v>
      </c>
      <c r="O4432" s="3">
        <v>23.450134770889491</v>
      </c>
    </row>
    <row r="4433" spans="1:15" hidden="1" x14ac:dyDescent="0.25">
      <c r="A4433" s="5">
        <v>46157</v>
      </c>
      <c r="B4433" s="6" t="s">
        <v>63</v>
      </c>
      <c r="C4433" s="3" t="s">
        <v>23</v>
      </c>
      <c r="D4433" s="3">
        <v>28</v>
      </c>
      <c r="E4433" s="3">
        <v>25</v>
      </c>
      <c r="F4433" s="3">
        <v>13.57</v>
      </c>
      <c r="G4433" s="3">
        <v>5</v>
      </c>
      <c r="H4433" s="3">
        <v>0</v>
      </c>
      <c r="I4433" s="3">
        <f>E4433+G4433+H4433</f>
        <v>30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19</v>
      </c>
      <c r="K4433" s="3">
        <f>I4433-J4433</f>
        <v>11</v>
      </c>
      <c r="L4433" s="3" t="str">
        <f>IF(K4433&lt;-5,"CRÍTICO",IF(K4433&lt;0,"ATENÇÃO",IF(K4433&lt;=5,"BOM","EXCELENTE")))</f>
        <v>EXCELENTE</v>
      </c>
      <c r="M4433" s="3">
        <v>23</v>
      </c>
      <c r="N4433" s="3">
        <v>98</v>
      </c>
      <c r="O4433" s="3">
        <v>20.73490813648294</v>
      </c>
    </row>
    <row r="4434" spans="1:15" hidden="1" x14ac:dyDescent="0.25">
      <c r="A4434" s="5">
        <v>46157</v>
      </c>
      <c r="B4434" s="6" t="s">
        <v>64</v>
      </c>
      <c r="C4434" s="3" t="s">
        <v>23</v>
      </c>
      <c r="D4434" s="3">
        <v>18</v>
      </c>
      <c r="E4434" s="3">
        <v>17</v>
      </c>
      <c r="F4434" s="3">
        <v>35.31</v>
      </c>
      <c r="G4434" s="3">
        <v>3</v>
      </c>
      <c r="H4434" s="3">
        <v>0</v>
      </c>
      <c r="I4434" s="3">
        <f>E4434+G4434+H4434</f>
        <v>20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19</v>
      </c>
      <c r="K4434" s="3">
        <f>I4434-J4434</f>
        <v>1</v>
      </c>
      <c r="L4434" s="3" t="str">
        <f>IF(K4434&lt;-5,"CRÍTICO",IF(K4434&lt;0,"ATENÇÃO",IF(K4434&lt;=5,"BOM","EXCELENTE")))</f>
        <v>BOM</v>
      </c>
      <c r="M4434" s="3">
        <v>14</v>
      </c>
      <c r="N4434" s="3">
        <v>100</v>
      </c>
      <c r="O4434" s="3">
        <v>18</v>
      </c>
    </row>
    <row r="4435" spans="1:15" hidden="1" x14ac:dyDescent="0.25">
      <c r="A4435" s="5">
        <v>46160</v>
      </c>
      <c r="B4435" s="6" t="s">
        <v>59</v>
      </c>
      <c r="C4435" s="3" t="s">
        <v>23</v>
      </c>
      <c r="D4435" s="3">
        <v>18</v>
      </c>
      <c r="E4435" s="3">
        <v>17</v>
      </c>
      <c r="F4435" s="3">
        <v>20.190000000000001</v>
      </c>
      <c r="G4435" s="3">
        <v>2</v>
      </c>
      <c r="H4435" s="3">
        <v>0</v>
      </c>
      <c r="I4435" s="3">
        <f>E4435+G4435+H4435</f>
        <v>19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17</v>
      </c>
      <c r="K4435" s="3">
        <f>I4435-J4435</f>
        <v>2</v>
      </c>
      <c r="L4435" s="3" t="str">
        <f>IF(K4435&lt;-5,"CRÍTICO",IF(K4435&lt;0,"ATENÇÃO",IF(K4435&lt;=5,"BOM","EXCELENTE")))</f>
        <v>BOM</v>
      </c>
      <c r="M4435" s="3">
        <v>18</v>
      </c>
      <c r="N4435" s="3">
        <v>96.25</v>
      </c>
      <c r="O4435" s="3">
        <v>25.586353944562902</v>
      </c>
    </row>
    <row r="4436" spans="1:15" hidden="1" x14ac:dyDescent="0.25">
      <c r="A4436" s="5">
        <v>46160</v>
      </c>
      <c r="B4436" s="6" t="s">
        <v>60</v>
      </c>
      <c r="C4436" s="3" t="s">
        <v>23</v>
      </c>
      <c r="D4436" s="3">
        <v>22</v>
      </c>
      <c r="E4436" s="3">
        <v>21</v>
      </c>
      <c r="F4436" s="3">
        <v>20.04</v>
      </c>
      <c r="G4436" s="3">
        <v>3</v>
      </c>
      <c r="H4436" s="3">
        <v>0</v>
      </c>
      <c r="I4436" s="3">
        <f>E4436+G4436+H4436</f>
        <v>24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17</v>
      </c>
      <c r="K4436" s="3">
        <f>I4436-J4436</f>
        <v>7</v>
      </c>
      <c r="L4436" s="3" t="str">
        <f>IF(K4436&lt;-5,"CRÍTICO",IF(K4436&lt;0,"ATENÇÃO",IF(K4436&lt;=5,"BOM","EXCELENTE")))</f>
        <v>EXCELENTE</v>
      </c>
      <c r="M4436" s="3">
        <v>22</v>
      </c>
      <c r="N4436" s="3">
        <v>97.48</v>
      </c>
      <c r="O4436" s="3">
        <v>22.99465240641711</v>
      </c>
    </row>
    <row r="4437" spans="1:15" hidden="1" x14ac:dyDescent="0.25">
      <c r="A4437" s="5">
        <v>46160</v>
      </c>
      <c r="B4437" s="6" t="s">
        <v>61</v>
      </c>
      <c r="C4437" s="3" t="s">
        <v>23</v>
      </c>
      <c r="D4437" s="3">
        <v>20</v>
      </c>
      <c r="E4437" s="3">
        <v>19</v>
      </c>
      <c r="F4437" s="3">
        <v>18.52</v>
      </c>
      <c r="G4437" s="3">
        <v>3</v>
      </c>
      <c r="H4437" s="3">
        <v>0</v>
      </c>
      <c r="I4437" s="3">
        <f>E4437+G4437+H4437</f>
        <v>22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17</v>
      </c>
      <c r="K4437" s="3">
        <f>I4437-J4437</f>
        <v>5</v>
      </c>
      <c r="L4437" s="3" t="str">
        <f>IF(K4437&lt;-5,"CRÍTICO",IF(K4437&lt;0,"ATENÇÃO",IF(K4437&lt;=5,"BOM","EXCELENTE")))</f>
        <v>BOM</v>
      </c>
      <c r="M4437" s="3">
        <v>18</v>
      </c>
      <c r="N4437" s="3">
        <v>100</v>
      </c>
      <c r="O4437" s="3">
        <v>20.788530465949819</v>
      </c>
    </row>
    <row r="4438" spans="1:15" hidden="1" x14ac:dyDescent="0.25">
      <c r="A4438" s="5">
        <v>46160</v>
      </c>
      <c r="B4438" s="6" t="s">
        <v>62</v>
      </c>
      <c r="C4438" s="3" t="s">
        <v>23</v>
      </c>
      <c r="D4438" s="3">
        <v>21</v>
      </c>
      <c r="E4438" s="3">
        <v>20</v>
      </c>
      <c r="F4438" s="3">
        <v>17.02</v>
      </c>
      <c r="G4438" s="3">
        <v>2</v>
      </c>
      <c r="H4438" s="3">
        <v>0</v>
      </c>
      <c r="I4438" s="3">
        <f>E4438+G4438+H4438</f>
        <v>22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>I4438-J4438</f>
        <v>5</v>
      </c>
      <c r="L4438" s="3" t="str">
        <f>IF(K4438&lt;-5,"CRÍTICO",IF(K4438&lt;0,"ATENÇÃO",IF(K4438&lt;=5,"BOM","EXCELENTE")))</f>
        <v>BOM</v>
      </c>
      <c r="M4438" s="3">
        <v>20</v>
      </c>
      <c r="N4438" s="3">
        <v>94.55</v>
      </c>
      <c r="O4438" s="3">
        <v>23.450134770889491</v>
      </c>
    </row>
    <row r="4439" spans="1:15" hidden="1" x14ac:dyDescent="0.25">
      <c r="A4439" s="5">
        <v>46160</v>
      </c>
      <c r="B4439" s="6" t="s">
        <v>63</v>
      </c>
      <c r="C4439" s="3" t="s">
        <v>23</v>
      </c>
      <c r="D4439" s="3">
        <v>28</v>
      </c>
      <c r="E4439" s="3">
        <v>25</v>
      </c>
      <c r="F4439" s="3">
        <v>14.02</v>
      </c>
      <c r="G4439" s="3">
        <v>1</v>
      </c>
      <c r="H4439" s="3">
        <v>0</v>
      </c>
      <c r="I4439" s="3">
        <f>E4439+G4439+H4439</f>
        <v>26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17</v>
      </c>
      <c r="K4439" s="3">
        <f>I4439-J4439</f>
        <v>9</v>
      </c>
      <c r="L4439" s="3" t="str">
        <f>IF(K4439&lt;-5,"CRÍTICO",IF(K4439&lt;0,"ATENÇÃO",IF(K4439&lt;=5,"BOM","EXCELENTE")))</f>
        <v>EXCELENTE</v>
      </c>
      <c r="M4439" s="3">
        <v>20</v>
      </c>
      <c r="N4439" s="3">
        <v>98</v>
      </c>
      <c r="O4439" s="3">
        <v>20.73490813648294</v>
      </c>
    </row>
    <row r="4440" spans="1:15" hidden="1" x14ac:dyDescent="0.25">
      <c r="A4440" s="5">
        <v>46160</v>
      </c>
      <c r="B4440" s="6" t="s">
        <v>64</v>
      </c>
      <c r="C4440" s="3" t="s">
        <v>23</v>
      </c>
      <c r="D4440" s="3">
        <v>23</v>
      </c>
      <c r="E4440" s="3">
        <v>19</v>
      </c>
      <c r="F4440" s="3">
        <v>23.58</v>
      </c>
      <c r="G4440" s="3">
        <v>3</v>
      </c>
      <c r="H4440" s="3">
        <v>0</v>
      </c>
      <c r="I4440" s="3">
        <f>E4440+G4440+H4440</f>
        <v>22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17</v>
      </c>
      <c r="K4440" s="3">
        <f>I4440-J4440</f>
        <v>5</v>
      </c>
      <c r="L4440" s="3" t="str">
        <f>IF(K4440&lt;-5,"CRÍTICO",IF(K4440&lt;0,"ATENÇÃO",IF(K4440&lt;=5,"BOM","EXCELENTE")))</f>
        <v>BOM</v>
      </c>
      <c r="M4440" s="3">
        <v>18</v>
      </c>
      <c r="N4440" s="3">
        <v>100</v>
      </c>
      <c r="O4440" s="3">
        <v>18</v>
      </c>
    </row>
    <row r="4441" spans="1:15" hidden="1" x14ac:dyDescent="0.25">
      <c r="A4441" s="7">
        <v>46161</v>
      </c>
      <c r="B4441" s="8" t="s">
        <v>59</v>
      </c>
      <c r="C4441" s="9" t="s">
        <v>23</v>
      </c>
      <c r="D4441" s="3">
        <v>30</v>
      </c>
      <c r="E4441" s="3">
        <v>29</v>
      </c>
      <c r="F4441" s="3">
        <v>15.36</v>
      </c>
      <c r="G4441" s="3">
        <v>1</v>
      </c>
      <c r="H4441" s="3">
        <v>0</v>
      </c>
      <c r="I4441" s="3">
        <f>E4441+G4441+H4441</f>
        <v>30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19</v>
      </c>
      <c r="K4441" s="3">
        <f>I4441-J4441</f>
        <v>11</v>
      </c>
      <c r="L4441" s="3" t="str">
        <f>IF(K4441&lt;-5,"CRÍTICO",IF(K4441&lt;0,"ATENÇÃO",IF(K4441&lt;=5,"BOM","EXCELENTE")))</f>
        <v>EXCELENTE</v>
      </c>
      <c r="M4441" s="3">
        <v>29</v>
      </c>
      <c r="N4441" s="3">
        <v>96.25</v>
      </c>
      <c r="O4441" s="3">
        <v>25.586353944562902</v>
      </c>
    </row>
    <row r="4442" spans="1:15" hidden="1" x14ac:dyDescent="0.25">
      <c r="A4442" s="7">
        <v>46161</v>
      </c>
      <c r="B4442" s="8" t="s">
        <v>60</v>
      </c>
      <c r="C4442" s="9" t="s">
        <v>23</v>
      </c>
      <c r="D4442" s="3">
        <v>26</v>
      </c>
      <c r="E4442" s="3">
        <v>25</v>
      </c>
      <c r="F4442" s="3">
        <v>15.02</v>
      </c>
      <c r="G4442" s="3">
        <v>1</v>
      </c>
      <c r="H4442" s="3">
        <v>0</v>
      </c>
      <c r="I4442" s="3">
        <f>E4442+G4442+H4442</f>
        <v>26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19</v>
      </c>
      <c r="K4442" s="3">
        <f>I4442-J4442</f>
        <v>7</v>
      </c>
      <c r="L4442" s="3" t="str">
        <f>IF(K4442&lt;-5,"CRÍTICO",IF(K4442&lt;0,"ATENÇÃO",IF(K4442&lt;=5,"BOM","EXCELENTE")))</f>
        <v>EXCELENTE</v>
      </c>
      <c r="M4442" s="3">
        <v>19</v>
      </c>
      <c r="N4442" s="3">
        <v>97.48</v>
      </c>
      <c r="O4442" s="3">
        <v>22.99465240641711</v>
      </c>
    </row>
    <row r="4443" spans="1:15" hidden="1" x14ac:dyDescent="0.25">
      <c r="A4443" s="7">
        <v>46161</v>
      </c>
      <c r="B4443" s="8" t="s">
        <v>61</v>
      </c>
      <c r="C4443" s="9" t="s">
        <v>23</v>
      </c>
      <c r="D4443" s="3">
        <v>21</v>
      </c>
      <c r="E4443" s="3">
        <v>20</v>
      </c>
      <c r="F4443" s="3">
        <v>12.3</v>
      </c>
      <c r="G4443" s="3">
        <v>1</v>
      </c>
      <c r="H4443" s="3">
        <v>0</v>
      </c>
      <c r="I4443" s="3">
        <f>E4443+G4443+H4443</f>
        <v>21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19</v>
      </c>
      <c r="K4443" s="3">
        <f>I4443-J4443</f>
        <v>2</v>
      </c>
      <c r="L4443" s="3" t="str">
        <f>IF(K4443&lt;-5,"CRÍTICO",IF(K4443&lt;0,"ATENÇÃO",IF(K4443&lt;=5,"BOM","EXCELENTE")))</f>
        <v>BOM</v>
      </c>
      <c r="M4443" s="3">
        <v>15</v>
      </c>
      <c r="N4443" s="3">
        <v>100</v>
      </c>
      <c r="O4443" s="3">
        <v>20.788530465949819</v>
      </c>
    </row>
    <row r="4444" spans="1:15" hidden="1" x14ac:dyDescent="0.25">
      <c r="A4444" s="7">
        <v>46161</v>
      </c>
      <c r="B4444" s="8" t="s">
        <v>62</v>
      </c>
      <c r="C4444" s="9" t="s">
        <v>23</v>
      </c>
      <c r="D4444" s="3">
        <v>18</v>
      </c>
      <c r="E4444" s="3">
        <v>17</v>
      </c>
      <c r="F4444" s="3">
        <v>25.09</v>
      </c>
      <c r="G4444" s="3">
        <v>2</v>
      </c>
      <c r="H4444" s="3">
        <v>0</v>
      </c>
      <c r="I4444" s="3">
        <f>E4444+G4444+H4444</f>
        <v>19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19</v>
      </c>
      <c r="K4444" s="3">
        <f>I4444-J4444</f>
        <v>0</v>
      </c>
      <c r="L4444" s="3" t="str">
        <f>IF(K4444&lt;-5,"CRÍTICO",IF(K4444&lt;0,"ATENÇÃO",IF(K4444&lt;=5,"BOM","EXCELENTE")))</f>
        <v>BOM</v>
      </c>
      <c r="M4444" s="3">
        <v>18</v>
      </c>
      <c r="N4444" s="3">
        <v>94.55</v>
      </c>
      <c r="O4444" s="3">
        <v>23.450134770889491</v>
      </c>
    </row>
    <row r="4445" spans="1:15" hidden="1" x14ac:dyDescent="0.25">
      <c r="A4445" s="7">
        <v>46161</v>
      </c>
      <c r="B4445" s="8" t="s">
        <v>63</v>
      </c>
      <c r="C4445" s="9" t="s">
        <v>23</v>
      </c>
      <c r="D4445" s="3">
        <v>35</v>
      </c>
      <c r="E4445" s="3">
        <v>31</v>
      </c>
      <c r="F4445" s="3">
        <v>13.24</v>
      </c>
      <c r="G4445" s="3">
        <v>2</v>
      </c>
      <c r="H4445" s="3">
        <v>0</v>
      </c>
      <c r="I4445" s="3">
        <f>E4445+G4445+H4445</f>
        <v>33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19</v>
      </c>
      <c r="K4445" s="3">
        <f>I4445-J4445</f>
        <v>14</v>
      </c>
      <c r="L4445" s="3" t="str">
        <f>IF(K4445&lt;-5,"CRÍTICO",IF(K4445&lt;0,"ATENÇÃO",IF(K4445&lt;=5,"BOM","EXCELENTE")))</f>
        <v>EXCELENTE</v>
      </c>
      <c r="M4445" s="3">
        <v>26</v>
      </c>
      <c r="N4445" s="3">
        <v>98</v>
      </c>
      <c r="O4445" s="3">
        <v>20.73490813648294</v>
      </c>
    </row>
    <row r="4446" spans="1:15" hidden="1" x14ac:dyDescent="0.25">
      <c r="A4446" s="7">
        <v>46161</v>
      </c>
      <c r="B4446" s="8" t="s">
        <v>64</v>
      </c>
      <c r="C4446" s="9" t="s">
        <v>23</v>
      </c>
      <c r="D4446" s="3">
        <v>18</v>
      </c>
      <c r="E4446" s="3">
        <v>18</v>
      </c>
      <c r="F4446" s="3">
        <v>25.39</v>
      </c>
      <c r="G4446" s="3">
        <v>0</v>
      </c>
      <c r="H4446" s="3">
        <v>0</v>
      </c>
      <c r="I4446" s="3">
        <f>E4446+G4446+H4446</f>
        <v>18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19</v>
      </c>
      <c r="K4446" s="3">
        <f>I4446-J4446</f>
        <v>-1</v>
      </c>
      <c r="L4446" s="3" t="str">
        <f>IF(K4446&lt;-5,"CRÍTICO",IF(K4446&lt;0,"ATENÇÃO",IF(K4446&lt;=5,"BOM","EXCELENTE")))</f>
        <v>ATENÇÃO</v>
      </c>
      <c r="M4446" s="3">
        <v>17</v>
      </c>
      <c r="N4446" s="3">
        <v>100</v>
      </c>
      <c r="O4446" s="3">
        <v>18</v>
      </c>
    </row>
    <row r="4447" spans="1:15" hidden="1" x14ac:dyDescent="0.25">
      <c r="A4447" s="7">
        <v>46162</v>
      </c>
      <c r="B4447" s="8" t="s">
        <v>59</v>
      </c>
      <c r="C4447" s="9" t="s">
        <v>23</v>
      </c>
      <c r="D4447" s="3">
        <v>26</v>
      </c>
      <c r="E4447" s="3">
        <v>25</v>
      </c>
      <c r="F4447" s="3">
        <v>15.37</v>
      </c>
      <c r="G4447" s="3">
        <v>1</v>
      </c>
      <c r="H4447" s="3">
        <v>0</v>
      </c>
      <c r="I4447" s="3">
        <f>E4447+G4447+H4447</f>
        <v>26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17</v>
      </c>
      <c r="K4447" s="3">
        <f>I4447-J4447</f>
        <v>9</v>
      </c>
      <c r="L4447" s="3" t="str">
        <f>IF(K4447&lt;-5,"CRÍTICO",IF(K4447&lt;0,"ATENÇÃO",IF(K4447&lt;=5,"OPORTUNO","MUITO BOM")))</f>
        <v>MUITO BOM</v>
      </c>
      <c r="M4447" s="3">
        <v>27</v>
      </c>
      <c r="N4447" s="3">
        <v>96.25</v>
      </c>
      <c r="O4447" s="3">
        <v>25.586353944562902</v>
      </c>
    </row>
    <row r="4448" spans="1:15" hidden="1" x14ac:dyDescent="0.25">
      <c r="A4448" s="7">
        <v>46162</v>
      </c>
      <c r="B4448" s="8" t="s">
        <v>60</v>
      </c>
      <c r="C4448" s="9" t="s">
        <v>23</v>
      </c>
      <c r="D4448" s="3">
        <v>23</v>
      </c>
      <c r="E4448" s="3">
        <v>23</v>
      </c>
      <c r="F4448" s="3">
        <v>15.5</v>
      </c>
      <c r="G4448" s="3">
        <v>1</v>
      </c>
      <c r="H4448" s="3">
        <v>0</v>
      </c>
      <c r="I4448" s="3">
        <f>E4448+G4448+H4448</f>
        <v>24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17</v>
      </c>
      <c r="K4448" s="3">
        <f>I4448-J4448</f>
        <v>7</v>
      </c>
      <c r="L4448" s="3" t="str">
        <f>IF(K4448&lt;-5,"CRÍTICO",IF(K4448&lt;0,"ATENÇÃO",IF(K4448&lt;=5,"OPORTUNO","MUITO BOM")))</f>
        <v>MUITO BOM</v>
      </c>
      <c r="M4448" s="3">
        <v>22</v>
      </c>
      <c r="N4448" s="3">
        <v>97.48</v>
      </c>
      <c r="O4448" s="3">
        <v>22.99465240641711</v>
      </c>
    </row>
    <row r="4449" spans="1:15" hidden="1" x14ac:dyDescent="0.25">
      <c r="A4449" s="7">
        <v>46162</v>
      </c>
      <c r="B4449" s="8" t="s">
        <v>61</v>
      </c>
      <c r="C4449" s="9" t="s">
        <v>23</v>
      </c>
      <c r="D4449" s="3">
        <v>17</v>
      </c>
      <c r="E4449" s="3">
        <v>14</v>
      </c>
      <c r="F4449" s="3">
        <v>15.58</v>
      </c>
      <c r="G4449" s="3">
        <v>2</v>
      </c>
      <c r="H4449" s="3">
        <v>0</v>
      </c>
      <c r="I4449" s="3">
        <f>E4449+G4449+H4449</f>
        <v>16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17</v>
      </c>
      <c r="K4449" s="3">
        <f>I4449-J4449</f>
        <v>-1</v>
      </c>
      <c r="L4449" s="3" t="str">
        <f>IF(K4449&lt;-5,"CRÍTICO",IF(K4449&lt;0,"ATENÇÃO",IF(K4449&lt;=5,"OPORTUNO","MUITO BOM")))</f>
        <v>ATENÇÃO</v>
      </c>
      <c r="M4449" s="3">
        <v>13</v>
      </c>
      <c r="N4449" s="3">
        <v>100</v>
      </c>
      <c r="O4449" s="3">
        <v>20.788530465949819</v>
      </c>
    </row>
    <row r="4450" spans="1:15" hidden="1" x14ac:dyDescent="0.25">
      <c r="A4450" s="7">
        <v>46162</v>
      </c>
      <c r="B4450" s="8" t="s">
        <v>62</v>
      </c>
      <c r="C4450" s="9" t="s">
        <v>23</v>
      </c>
      <c r="D4450" s="3">
        <v>18</v>
      </c>
      <c r="E4450" s="3">
        <v>17</v>
      </c>
      <c r="F4450" s="3">
        <v>15.33</v>
      </c>
      <c r="G4450" s="3">
        <v>1</v>
      </c>
      <c r="H4450" s="3">
        <v>0</v>
      </c>
      <c r="I4450" s="3">
        <f>E4450+G4450+H4450</f>
        <v>18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17</v>
      </c>
      <c r="K4450" s="3">
        <f>I4450-J4450</f>
        <v>1</v>
      </c>
      <c r="L4450" s="3" t="str">
        <f>IF(K4450&lt;-5,"CRÍTICO",IF(K4450&lt;0,"ATENÇÃO",IF(K4450&lt;=5,"OPORTUNO","MUITO BOM")))</f>
        <v>OPORTUNO</v>
      </c>
      <c r="M4450" s="3">
        <v>16</v>
      </c>
      <c r="N4450" s="3">
        <v>94.55</v>
      </c>
      <c r="O4450" s="3">
        <v>23.450134770889491</v>
      </c>
    </row>
    <row r="4451" spans="1:15" hidden="1" x14ac:dyDescent="0.25">
      <c r="A4451" s="7">
        <v>46162</v>
      </c>
      <c r="B4451" s="8" t="s">
        <v>63</v>
      </c>
      <c r="C4451" s="9" t="s">
        <v>23</v>
      </c>
      <c r="D4451" s="3">
        <v>25</v>
      </c>
      <c r="E4451" s="3">
        <v>24</v>
      </c>
      <c r="F4451" s="3">
        <v>17.059999999999999</v>
      </c>
      <c r="G4451" s="3">
        <v>1</v>
      </c>
      <c r="H4451" s="3">
        <v>0</v>
      </c>
      <c r="I4451" s="3">
        <f>E4451+G4451+H4451</f>
        <v>25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17</v>
      </c>
      <c r="K4451" s="3">
        <f>I4451-J4451</f>
        <v>8</v>
      </c>
      <c r="L4451" s="3" t="str">
        <f>IF(K4451&lt;-5,"CRÍTICO",IF(K4451&lt;0,"ATENÇÃO",IF(K4451&lt;=5,"OPORTUNO","MUITO BOM")))</f>
        <v>MUITO BOM</v>
      </c>
      <c r="M4451" s="3">
        <v>18</v>
      </c>
      <c r="N4451" s="3">
        <v>98</v>
      </c>
      <c r="O4451" s="3">
        <v>20.73490813648294</v>
      </c>
    </row>
    <row r="4452" spans="1:15" hidden="1" x14ac:dyDescent="0.25">
      <c r="A4452" s="7">
        <v>46162</v>
      </c>
      <c r="B4452" s="8" t="s">
        <v>64</v>
      </c>
      <c r="C4452" s="9" t="s">
        <v>23</v>
      </c>
      <c r="D4452" s="3">
        <v>17</v>
      </c>
      <c r="E4452" s="3">
        <v>17</v>
      </c>
      <c r="F4452" s="3">
        <v>34.04</v>
      </c>
      <c r="G4452" s="3">
        <v>1</v>
      </c>
      <c r="H4452" s="3">
        <v>0</v>
      </c>
      <c r="I4452" s="3">
        <f>E4452+G4452+H4452</f>
        <v>18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17</v>
      </c>
      <c r="K4452" s="3">
        <f>I4452-J4452</f>
        <v>1</v>
      </c>
      <c r="L4452" s="3" t="str">
        <f>IF(K4452&lt;-5,"CRÍTICO",IF(K4452&lt;0,"ATENÇÃO",IF(K4452&lt;=5,"OPORTUNO","MUITO BOM")))</f>
        <v>OPORTUNO</v>
      </c>
      <c r="M4452" s="3">
        <v>14</v>
      </c>
      <c r="N4452" s="3">
        <v>100</v>
      </c>
      <c r="O4452" s="3">
        <v>18</v>
      </c>
    </row>
    <row r="4453" spans="1:15" hidden="1" x14ac:dyDescent="0.25">
      <c r="A4453" s="5">
        <v>46163</v>
      </c>
      <c r="B4453" s="6" t="s">
        <v>59</v>
      </c>
      <c r="C4453" s="3" t="s">
        <v>23</v>
      </c>
      <c r="D4453" s="3">
        <v>24</v>
      </c>
      <c r="E4453" s="3">
        <v>23</v>
      </c>
      <c r="F4453" s="3">
        <v>17.07</v>
      </c>
      <c r="G4453" s="3">
        <v>0</v>
      </c>
      <c r="H4453" s="3">
        <v>0</v>
      </c>
      <c r="I4453" s="3">
        <f>E4453+G4453+H4453</f>
        <v>23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15</v>
      </c>
      <c r="K4453" s="3">
        <f>I4453-J4453</f>
        <v>8</v>
      </c>
      <c r="L4453" s="3" t="str">
        <f>IF(K4453&lt;-5,"CRÍTICO",IF(K4453&lt;0,"ATENÇÃO",IF(K4453&lt;=5,"OPORTUNO","MUITO BOM")))</f>
        <v>MUITO BOM</v>
      </c>
      <c r="M4453" s="3">
        <v>21</v>
      </c>
      <c r="N4453" s="3">
        <v>96.25</v>
      </c>
      <c r="O4453" s="3">
        <v>25.586353944562902</v>
      </c>
    </row>
    <row r="4454" spans="1:15" hidden="1" x14ac:dyDescent="0.25">
      <c r="A4454" s="5">
        <v>46163</v>
      </c>
      <c r="B4454" s="6" t="s">
        <v>60</v>
      </c>
      <c r="C4454" s="3" t="s">
        <v>23</v>
      </c>
      <c r="D4454" s="3">
        <v>23</v>
      </c>
      <c r="E4454" s="3">
        <v>22</v>
      </c>
      <c r="F4454" s="3">
        <v>17.079999999999998</v>
      </c>
      <c r="G4454" s="3">
        <v>0</v>
      </c>
      <c r="H4454" s="3">
        <v>0</v>
      </c>
      <c r="I4454" s="3">
        <f>E4454+G4454+H4454</f>
        <v>22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15</v>
      </c>
      <c r="K4454" s="3">
        <f>I4454-J4454</f>
        <v>7</v>
      </c>
      <c r="L4454" s="3" t="str">
        <f>IF(K4454&lt;-5,"CRÍTICO",IF(K4454&lt;0,"ATENÇÃO",IF(K4454&lt;=5,"OPORTUNO","MUITO BOM")))</f>
        <v>MUITO BOM</v>
      </c>
      <c r="M4454" s="3">
        <v>17</v>
      </c>
      <c r="N4454" s="3">
        <v>97.48</v>
      </c>
      <c r="O4454" s="3">
        <v>22.99465240641711</v>
      </c>
    </row>
    <row r="4455" spans="1:15" hidden="1" x14ac:dyDescent="0.25">
      <c r="A4455" s="5">
        <v>46163</v>
      </c>
      <c r="B4455" s="6" t="s">
        <v>61</v>
      </c>
      <c r="C4455" s="3" t="s">
        <v>23</v>
      </c>
      <c r="D4455" s="3">
        <v>16</v>
      </c>
      <c r="E4455" s="3">
        <v>16</v>
      </c>
      <c r="F4455" s="3">
        <v>26.5</v>
      </c>
      <c r="G4455" s="3">
        <v>0</v>
      </c>
      <c r="H4455" s="3">
        <v>0</v>
      </c>
      <c r="I4455" s="3">
        <f>E4455+G4455+H4455</f>
        <v>16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15</v>
      </c>
      <c r="K4455" s="3">
        <f>I4455-J4455</f>
        <v>1</v>
      </c>
      <c r="L4455" s="3" t="str">
        <f>IF(K4455&lt;-5,"CRÍTICO",IF(K4455&lt;0,"ATENÇÃO",IF(K4455&lt;=5,"OPORTUNO","MUITO BOM")))</f>
        <v>OPORTUNO</v>
      </c>
      <c r="M4455" s="3">
        <v>14</v>
      </c>
      <c r="N4455" s="3">
        <v>100</v>
      </c>
      <c r="O4455" s="3">
        <v>20.788530465949819</v>
      </c>
    </row>
    <row r="4456" spans="1:15" hidden="1" x14ac:dyDescent="0.25">
      <c r="A4456" s="5">
        <v>46163</v>
      </c>
      <c r="B4456" s="6" t="s">
        <v>62</v>
      </c>
      <c r="C4456" s="3" t="s">
        <v>23</v>
      </c>
      <c r="D4456" s="3">
        <v>22</v>
      </c>
      <c r="E4456" s="3">
        <v>20</v>
      </c>
      <c r="F4456" s="3">
        <v>19.059999999999999</v>
      </c>
      <c r="G4456" s="3">
        <v>0</v>
      </c>
      <c r="H4456" s="3">
        <v>0</v>
      </c>
      <c r="I4456" s="3">
        <f>E4456+G4456+H4456</f>
        <v>20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15</v>
      </c>
      <c r="K4456" s="3">
        <f>I4456-J4456</f>
        <v>5</v>
      </c>
      <c r="L4456" s="3" t="str">
        <f>IF(K4456&lt;-5,"CRÍTICO",IF(K4456&lt;0,"ATENÇÃO",IF(K4456&lt;=5,"OPORTUNO","MUITO BOM")))</f>
        <v>OPORTUNO</v>
      </c>
      <c r="M4456" s="3">
        <v>21</v>
      </c>
      <c r="N4456" s="3">
        <v>94.55</v>
      </c>
      <c r="O4456" s="3">
        <v>23.450134770889491</v>
      </c>
    </row>
    <row r="4457" spans="1:15" hidden="1" x14ac:dyDescent="0.25">
      <c r="A4457" s="5">
        <v>46163</v>
      </c>
      <c r="B4457" s="6" t="s">
        <v>63</v>
      </c>
      <c r="C4457" s="3" t="s">
        <v>23</v>
      </c>
      <c r="D4457" s="3">
        <v>27</v>
      </c>
      <c r="E4457" s="3">
        <v>27</v>
      </c>
      <c r="F4457" s="3">
        <v>15.1</v>
      </c>
      <c r="G4457" s="3">
        <v>0</v>
      </c>
      <c r="H4457" s="3">
        <v>0</v>
      </c>
      <c r="I4457" s="3">
        <f>E4457+G4457+H4457</f>
        <v>27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15</v>
      </c>
      <c r="K4457" s="3">
        <f>I4457-J4457</f>
        <v>12</v>
      </c>
      <c r="L4457" s="3" t="str">
        <f>IF(K4457&lt;-5,"CRÍTICO",IF(K4457&lt;0,"ATENÇÃO",IF(K4457&lt;=5,"OPORTUNO","MUITO BOM")))</f>
        <v>MUITO BOM</v>
      </c>
      <c r="M4457" s="3">
        <v>20</v>
      </c>
      <c r="N4457" s="3">
        <v>98</v>
      </c>
      <c r="O4457" s="3">
        <v>20.73490813648294</v>
      </c>
    </row>
    <row r="4458" spans="1:15" hidden="1" x14ac:dyDescent="0.25">
      <c r="A4458" s="5">
        <v>46163</v>
      </c>
      <c r="B4458" s="6" t="s">
        <v>64</v>
      </c>
      <c r="C4458" s="3" t="s">
        <v>23</v>
      </c>
      <c r="D4458" s="3">
        <v>12</v>
      </c>
      <c r="E4458" s="3">
        <v>12</v>
      </c>
      <c r="F4458" s="3">
        <v>44.02</v>
      </c>
      <c r="G4458" s="3">
        <v>0</v>
      </c>
      <c r="H4458" s="3">
        <v>0</v>
      </c>
      <c r="I4458" s="3">
        <f>E4458+G4458+H4458</f>
        <v>12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15</v>
      </c>
      <c r="K4458" s="3">
        <f>I4458-J4458</f>
        <v>-3</v>
      </c>
      <c r="L4458" s="3" t="str">
        <f>IF(K4458&lt;-5,"CRÍTICO",IF(K4458&lt;0,"ATENÇÃO",IF(K4458&lt;=5,"OPORTUNO","MUITO BOM")))</f>
        <v>ATENÇÃO</v>
      </c>
      <c r="M4458" s="3">
        <v>10</v>
      </c>
      <c r="N4458" s="3">
        <v>100</v>
      </c>
      <c r="O4458" s="3">
        <v>18</v>
      </c>
    </row>
    <row r="4459" spans="1:15" hidden="1" x14ac:dyDescent="0.25">
      <c r="A4459" s="10">
        <v>46164</v>
      </c>
      <c r="B4459" s="6" t="s">
        <v>59</v>
      </c>
      <c r="C4459" s="3" t="s">
        <v>23</v>
      </c>
      <c r="D4459" s="3">
        <v>11</v>
      </c>
      <c r="E4459" s="3">
        <v>9</v>
      </c>
      <c r="F4459" s="3">
        <v>15.17</v>
      </c>
      <c r="G4459" s="3">
        <v>3</v>
      </c>
      <c r="H4459" s="3">
        <v>0</v>
      </c>
      <c r="I4459" s="3">
        <f>E4459+G4459+H4459</f>
        <v>12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13</v>
      </c>
      <c r="K4459" s="3">
        <f>I4459-J4459</f>
        <v>-1</v>
      </c>
      <c r="L4459" s="3" t="str">
        <f>IF(K4459&lt;-5,"CRÍTICO",IF(K4459&lt;0,"ATENÇÃO",IF(K4459&lt;=5,"OPORTUNO","MUITO BOM")))</f>
        <v>ATENÇÃO</v>
      </c>
      <c r="M4459" s="3">
        <v>10</v>
      </c>
      <c r="N4459" s="3">
        <v>96.25</v>
      </c>
      <c r="O4459" s="3">
        <v>25.586353944562902</v>
      </c>
    </row>
    <row r="4460" spans="1:15" hidden="1" x14ac:dyDescent="0.25">
      <c r="A4460" s="10">
        <v>46164</v>
      </c>
      <c r="B4460" s="6" t="s">
        <v>60</v>
      </c>
      <c r="C4460" s="3" t="s">
        <v>23</v>
      </c>
      <c r="D4460" s="3">
        <v>15</v>
      </c>
      <c r="E4460" s="3">
        <v>14</v>
      </c>
      <c r="F4460" s="3">
        <v>12.06</v>
      </c>
      <c r="G4460" s="3">
        <v>0</v>
      </c>
      <c r="H4460" s="3">
        <v>0</v>
      </c>
      <c r="I4460" s="3">
        <f>E4460+G4460+H4460</f>
        <v>14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13</v>
      </c>
      <c r="K4460" s="3">
        <f>I4460-J4460</f>
        <v>1</v>
      </c>
      <c r="L4460" s="3" t="str">
        <f>IF(K4460&lt;-5,"CRÍTICO",IF(K4460&lt;0,"ATENÇÃO",IF(K4460&lt;=5,"OPORTUNO","MUITO BOM")))</f>
        <v>OPORTUNO</v>
      </c>
      <c r="M4460" s="3">
        <v>12</v>
      </c>
      <c r="N4460" s="3">
        <v>97.48</v>
      </c>
      <c r="O4460" s="3">
        <v>22.99465240641711</v>
      </c>
    </row>
    <row r="4461" spans="1:15" hidden="1" x14ac:dyDescent="0.25">
      <c r="A4461" s="10">
        <v>46164</v>
      </c>
      <c r="B4461" s="6" t="s">
        <v>61</v>
      </c>
      <c r="C4461" s="3" t="s">
        <v>23</v>
      </c>
      <c r="D4461" s="3">
        <v>24</v>
      </c>
      <c r="E4461" s="3">
        <v>23</v>
      </c>
      <c r="F4461" s="3">
        <v>10.35</v>
      </c>
      <c r="G4461" s="3">
        <v>0</v>
      </c>
      <c r="H4461" s="3">
        <v>0</v>
      </c>
      <c r="I4461" s="3">
        <f>E4461+G4461+H4461</f>
        <v>23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13</v>
      </c>
      <c r="K4461" s="3">
        <f>I4461-J4461</f>
        <v>10</v>
      </c>
      <c r="L4461" s="3" t="str">
        <f>IF(K4461&lt;-5,"CRÍTICO",IF(K4461&lt;0,"ATENÇÃO",IF(K4461&lt;=5,"OPORTUNO","MUITO BOM")))</f>
        <v>MUITO BOM</v>
      </c>
      <c r="M4461" s="3">
        <v>18</v>
      </c>
      <c r="N4461" s="3">
        <v>100</v>
      </c>
      <c r="O4461" s="3">
        <v>20.788530465949819</v>
      </c>
    </row>
    <row r="4462" spans="1:15" hidden="1" x14ac:dyDescent="0.25">
      <c r="A4462" s="10">
        <v>46164</v>
      </c>
      <c r="B4462" s="6" t="s">
        <v>62</v>
      </c>
      <c r="C4462" s="3" t="s">
        <v>23</v>
      </c>
      <c r="D4462" s="3">
        <v>8</v>
      </c>
      <c r="E4462" s="3">
        <v>8</v>
      </c>
      <c r="F4462" s="3">
        <v>32.369999999999997</v>
      </c>
      <c r="G4462" s="3">
        <v>0</v>
      </c>
      <c r="H4462" s="3">
        <v>0</v>
      </c>
      <c r="I4462" s="3">
        <f>E4462+G4462+H4462</f>
        <v>8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13</v>
      </c>
      <c r="K4462" s="3">
        <f>I4462-J4462</f>
        <v>-5</v>
      </c>
      <c r="L4462" s="3" t="str">
        <f>IF(K4462&lt;-5,"CRÍTICO",IF(K4462&lt;0,"ATENÇÃO",IF(K4462&lt;=5,"OPORTUNO","MUITO BOM")))</f>
        <v>ATENÇÃO</v>
      </c>
      <c r="M4462" s="3">
        <v>8</v>
      </c>
      <c r="N4462" s="3">
        <v>94.55</v>
      </c>
      <c r="O4462" s="3">
        <v>23.450134770889491</v>
      </c>
    </row>
    <row r="4463" spans="1:15" hidden="1" x14ac:dyDescent="0.25">
      <c r="A4463" s="10">
        <v>46164</v>
      </c>
      <c r="B4463" s="6" t="s">
        <v>63</v>
      </c>
      <c r="C4463" s="3" t="s">
        <v>23</v>
      </c>
      <c r="D4463" s="3">
        <v>18</v>
      </c>
      <c r="E4463" s="3">
        <v>18</v>
      </c>
      <c r="F4463" s="3">
        <v>20.45</v>
      </c>
      <c r="G4463" s="3">
        <v>2</v>
      </c>
      <c r="H4463" s="3">
        <v>0</v>
      </c>
      <c r="I4463" s="3">
        <f>E4463+G4463+H4463</f>
        <v>20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13</v>
      </c>
      <c r="K4463" s="3">
        <f>I4463-J4463</f>
        <v>7</v>
      </c>
      <c r="L4463" s="3" t="str">
        <f>IF(K4463&lt;-5,"CRÍTICO",IF(K4463&lt;0,"ATENÇÃO",IF(K4463&lt;=5,"OPORTUNO","MUITO BOM")))</f>
        <v>MUITO BOM</v>
      </c>
      <c r="M4463" s="3">
        <v>12</v>
      </c>
      <c r="N4463" s="3">
        <v>98</v>
      </c>
      <c r="O4463" s="3">
        <v>20.73490813648294</v>
      </c>
    </row>
    <row r="4464" spans="1:15" hidden="1" x14ac:dyDescent="0.25">
      <c r="A4464" s="10">
        <v>46164</v>
      </c>
      <c r="B4464" s="6" t="s">
        <v>64</v>
      </c>
      <c r="C4464" s="3" t="s">
        <v>23</v>
      </c>
      <c r="D4464" s="3">
        <v>17</v>
      </c>
      <c r="E4464" s="3">
        <v>16</v>
      </c>
      <c r="F4464" s="3">
        <v>20.55</v>
      </c>
      <c r="G4464" s="3">
        <v>1</v>
      </c>
      <c r="H4464" s="3">
        <v>0</v>
      </c>
      <c r="I4464" s="3">
        <f>E4464+G4464+H4464</f>
        <v>17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13</v>
      </c>
      <c r="K4464" s="3">
        <f>I4464-J4464</f>
        <v>4</v>
      </c>
      <c r="L4464" s="3" t="str">
        <f>IF(K4464&lt;-5,"CRÍTICO",IF(K4464&lt;0,"ATENÇÃO",IF(K4464&lt;=5,"OPORTUNO","MUITO BOM")))</f>
        <v>OPORTUNO</v>
      </c>
      <c r="M4464" s="3">
        <v>17</v>
      </c>
      <c r="N4464" s="3">
        <v>100</v>
      </c>
      <c r="O4464" s="3">
        <v>18</v>
      </c>
    </row>
    <row r="4465" spans="1:15" hidden="1" x14ac:dyDescent="0.25">
      <c r="A4465" s="11">
        <v>46167</v>
      </c>
      <c r="B4465" t="s">
        <v>59</v>
      </c>
      <c r="C4465" t="s">
        <v>23</v>
      </c>
      <c r="D4465" s="3">
        <v>25</v>
      </c>
      <c r="E4465" s="3">
        <v>24</v>
      </c>
      <c r="F4465" s="3">
        <v>15.25</v>
      </c>
      <c r="G4465" s="3">
        <v>0</v>
      </c>
      <c r="H4465" s="3">
        <v>0</v>
      </c>
      <c r="I4465" s="3">
        <v>0</v>
      </c>
      <c r="J4465" s="3">
        <v>0</v>
      </c>
      <c r="K4465" s="3">
        <v>0</v>
      </c>
      <c r="L4465" s="3" t="str">
        <f>IF(K4465&lt;-5,"CRÍTICO",IF(K4465&lt;0,"ATENÇÃO",IF(K4465&lt;=5,"OPORTUNO","MUITO BOM")))</f>
        <v>OPORTUNO</v>
      </c>
      <c r="M4465" s="3">
        <v>21</v>
      </c>
      <c r="N4465" s="3">
        <v>96.25</v>
      </c>
      <c r="O4465" s="3">
        <v>25.586353944562902</v>
      </c>
    </row>
    <row r="4466" spans="1:15" hidden="1" x14ac:dyDescent="0.25">
      <c r="A4466" s="11">
        <v>46167</v>
      </c>
      <c r="B4466" t="s">
        <v>60</v>
      </c>
      <c r="C4466" t="s">
        <v>23</v>
      </c>
      <c r="D4466" s="3">
        <v>11</v>
      </c>
      <c r="E4466" s="3">
        <v>11</v>
      </c>
      <c r="F4466" s="3">
        <v>15.57</v>
      </c>
      <c r="G4466" s="3">
        <v>0</v>
      </c>
      <c r="H4466" s="3">
        <v>0</v>
      </c>
      <c r="I4466" s="3">
        <v>0</v>
      </c>
      <c r="J4466" s="3">
        <v>0</v>
      </c>
      <c r="K4466" s="3">
        <v>0</v>
      </c>
      <c r="L4466" s="3" t="str">
        <f>IF(K4466&lt;-5,"CRÍTICO",IF(K4466&lt;0,"ATENÇÃO",IF(K4466&lt;=5,"OPORTUNO","MUITO BOM")))</f>
        <v>OPORTUNO</v>
      </c>
      <c r="M4466" s="3">
        <v>11</v>
      </c>
      <c r="N4466" s="3">
        <v>97.48</v>
      </c>
      <c r="O4466" s="3">
        <v>22.99465240641711</v>
      </c>
    </row>
    <row r="4467" spans="1:15" hidden="1" x14ac:dyDescent="0.25">
      <c r="A4467" s="11">
        <v>46167</v>
      </c>
      <c r="B4467" t="s">
        <v>61</v>
      </c>
      <c r="C4467" t="s">
        <v>23</v>
      </c>
      <c r="D4467" s="3">
        <v>28</v>
      </c>
      <c r="E4467" s="3">
        <v>25</v>
      </c>
      <c r="F4467" s="3">
        <v>13.29</v>
      </c>
      <c r="G4467" s="3">
        <v>0</v>
      </c>
      <c r="H4467" s="3">
        <v>0</v>
      </c>
      <c r="I4467" s="3">
        <v>0</v>
      </c>
      <c r="J4467" s="3">
        <v>0</v>
      </c>
      <c r="K4467" s="3">
        <v>0</v>
      </c>
      <c r="L4467" s="3" t="str">
        <f>IF(K4467&lt;-5,"CRÍTICO",IF(K4467&lt;0,"ATENÇÃO",IF(K4467&lt;=5,"OPORTUNO","MUITO BOM")))</f>
        <v>OPORTUNO</v>
      </c>
      <c r="M4467" s="3">
        <v>18</v>
      </c>
      <c r="N4467" s="3">
        <v>100</v>
      </c>
      <c r="O4467" s="3">
        <v>20.788530465949819</v>
      </c>
    </row>
    <row r="4468" spans="1:15" hidden="1" x14ac:dyDescent="0.25">
      <c r="A4468" s="11">
        <v>46167</v>
      </c>
      <c r="B4468" t="s">
        <v>62</v>
      </c>
      <c r="C4468" t="s">
        <v>23</v>
      </c>
      <c r="D4468" s="3">
        <v>14</v>
      </c>
      <c r="E4468" s="3">
        <v>14</v>
      </c>
      <c r="F4468" s="3">
        <v>28.35</v>
      </c>
      <c r="G4468" s="3">
        <v>0</v>
      </c>
      <c r="H4468" s="3">
        <v>0</v>
      </c>
      <c r="I4468" s="3">
        <v>0</v>
      </c>
      <c r="J4468" s="3">
        <v>0</v>
      </c>
      <c r="K4468" s="3">
        <v>0</v>
      </c>
      <c r="L4468" s="3" t="str">
        <f>IF(K4468&lt;-5,"CRÍTICO",IF(K4468&lt;0,"ATENÇÃO",IF(K4468&lt;=5,"OPORTUNO","MUITO BOM")))</f>
        <v>OPORTUNO</v>
      </c>
      <c r="M4468" s="3">
        <v>14</v>
      </c>
      <c r="N4468" s="3">
        <v>94.55</v>
      </c>
      <c r="O4468" s="3">
        <v>23.450134770889491</v>
      </c>
    </row>
    <row r="4469" spans="1:15" hidden="1" x14ac:dyDescent="0.25">
      <c r="A4469" s="11">
        <v>46167</v>
      </c>
      <c r="B4469" t="s">
        <v>63</v>
      </c>
      <c r="C4469" t="s">
        <v>23</v>
      </c>
      <c r="D4469" s="3">
        <v>28</v>
      </c>
      <c r="E4469" s="3">
        <v>26</v>
      </c>
      <c r="F4469" s="3">
        <v>15.04</v>
      </c>
      <c r="G4469" s="3">
        <v>0</v>
      </c>
      <c r="H4469" s="3">
        <v>0</v>
      </c>
      <c r="I4469" s="3">
        <v>0</v>
      </c>
      <c r="J4469" s="3">
        <v>0</v>
      </c>
      <c r="K4469" s="3">
        <v>0</v>
      </c>
      <c r="L4469" s="3" t="str">
        <f>IF(K4469&lt;-5,"CRÍTICO",IF(K4469&lt;0,"ATENÇÃO",IF(K4469&lt;=5,"OPORTUNO","MUITO BOM")))</f>
        <v>OPORTUNO</v>
      </c>
      <c r="M4469" s="3">
        <v>22</v>
      </c>
      <c r="N4469" s="3">
        <v>98</v>
      </c>
      <c r="O4469" s="3">
        <v>20.73490813648294</v>
      </c>
    </row>
    <row r="4470" spans="1:15" hidden="1" x14ac:dyDescent="0.25">
      <c r="A4470" s="11">
        <v>46167</v>
      </c>
      <c r="B4470" t="s">
        <v>64</v>
      </c>
      <c r="C4470" t="s">
        <v>23</v>
      </c>
      <c r="D4470" s="3">
        <v>17</v>
      </c>
      <c r="E4470" s="3">
        <v>17</v>
      </c>
      <c r="F4470" s="3">
        <v>25.3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>IF(K4470&lt;-5,"CRÍTICO",IF(K4470&lt;0,"ATENÇÃO",IF(K4470&lt;=5,"OPORTUNO","MUITO BOM")))</f>
        <v>OPORTUNO</v>
      </c>
      <c r="M4470" s="3">
        <v>18</v>
      </c>
      <c r="N4470" s="3">
        <v>100</v>
      </c>
      <c r="O4470" s="3">
        <v>18</v>
      </c>
    </row>
    <row r="4471" spans="1:15" hidden="1" x14ac:dyDescent="0.25">
      <c r="A4471" s="5">
        <v>46147</v>
      </c>
      <c r="B4471" s="6" t="s">
        <v>61</v>
      </c>
      <c r="C4471" s="3" t="s">
        <v>23</v>
      </c>
      <c r="D4471" s="3">
        <v>12</v>
      </c>
      <c r="E4471" s="3">
        <v>12</v>
      </c>
      <c r="F4471" s="3">
        <v>28.25</v>
      </c>
      <c r="G4471" s="3">
        <v>10</v>
      </c>
      <c r="H4471" s="3">
        <v>0</v>
      </c>
      <c r="I4471" s="3">
        <f>E4471+G4471+H4471</f>
        <v>22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23</v>
      </c>
      <c r="K4471" s="3">
        <f>I4471-J4471</f>
        <v>-1</v>
      </c>
      <c r="L4471" s="3" t="str">
        <f>IF(K4471&lt;-5,"CRÍTICO",IF(K4471&lt;0,"ATENÇÃO",IF(K4471&lt;=5,"BOM","EXCELENTE")))</f>
        <v>ATENÇÃO</v>
      </c>
      <c r="M4471" s="3">
        <v>18</v>
      </c>
      <c r="N4471" s="3">
        <v>100</v>
      </c>
      <c r="O4471" s="3">
        <v>20.788530465949819</v>
      </c>
    </row>
    <row r="4472" spans="1:15" hidden="1" x14ac:dyDescent="0.25">
      <c r="A4472" s="5">
        <v>46148</v>
      </c>
      <c r="B4472" s="6" t="s">
        <v>61</v>
      </c>
      <c r="C4472" s="3" t="s">
        <v>23</v>
      </c>
      <c r="D4472" s="3">
        <v>19</v>
      </c>
      <c r="E4472" s="3">
        <v>16</v>
      </c>
      <c r="F4472" s="3">
        <v>16.510000000000002</v>
      </c>
      <c r="G4472" s="3">
        <v>0</v>
      </c>
      <c r="H4472" s="3">
        <v>0</v>
      </c>
      <c r="I4472" s="3">
        <f>E4472+G4472+H4472</f>
        <v>16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23</v>
      </c>
      <c r="K4472" s="3">
        <f>I4472-J4472</f>
        <v>-7</v>
      </c>
      <c r="L4472" s="3" t="str">
        <f>IF(K4472&lt;-5,"CRÍTICO",IF(K4472&lt;0,"ATENÇÃO",IF(K4472&lt;=5,"BOM","EXCELENTE")))</f>
        <v>CRÍTICO</v>
      </c>
      <c r="M4472" s="3">
        <v>13</v>
      </c>
      <c r="N4472" s="3">
        <v>100</v>
      </c>
      <c r="O4472" s="3">
        <v>20.788530465949819</v>
      </c>
    </row>
    <row r="4473" spans="1:15" hidden="1" x14ac:dyDescent="0.25">
      <c r="A4473" s="11">
        <v>46168</v>
      </c>
      <c r="B4473" t="s">
        <v>61</v>
      </c>
      <c r="C4473" t="s">
        <v>23</v>
      </c>
      <c r="D4473" s="3">
        <v>20</v>
      </c>
      <c r="E4473" s="3">
        <v>17</v>
      </c>
      <c r="F4473" s="3">
        <v>16.54</v>
      </c>
      <c r="G4473" s="3">
        <v>0</v>
      </c>
      <c r="M4473" s="3">
        <v>13</v>
      </c>
      <c r="N4473" s="3">
        <v>100</v>
      </c>
      <c r="O4473" s="3">
        <v>22.58064516129032</v>
      </c>
    </row>
    <row r="4474" spans="1:15" hidden="1" x14ac:dyDescent="0.25">
      <c r="A4474" s="11">
        <v>46140</v>
      </c>
      <c r="B4474" t="s">
        <v>22</v>
      </c>
      <c r="C4474" t="s">
        <v>23</v>
      </c>
      <c r="D4474" s="3">
        <v>9</v>
      </c>
      <c r="E4474" s="3">
        <v>5</v>
      </c>
      <c r="F4474" s="3">
        <v>10.29</v>
      </c>
      <c r="G4474" s="3">
        <v>0</v>
      </c>
      <c r="H4474" s="3">
        <v>0</v>
      </c>
      <c r="I4474" s="3">
        <f>E4474+G4474+H4474</f>
        <v>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22</v>
      </c>
      <c r="K4474" s="3">
        <f>I4474-J4474</f>
        <v>-17</v>
      </c>
      <c r="L4474" s="3" t="str">
        <f>IF(K4474&lt;-5,"CRÍTICO",IF(K4474&lt;0,"ATENÇÃO",IF(K4474&lt;=5,"OPORTUNO","MUITO BOM")))</f>
        <v>CRÍTICO</v>
      </c>
      <c r="M4474" s="3">
        <v>39</v>
      </c>
      <c r="N4474" s="3">
        <v>99.28</v>
      </c>
      <c r="O4474" s="3">
        <v>27.689243027888441</v>
      </c>
    </row>
    <row r="4475" spans="1:15" hidden="1" x14ac:dyDescent="0.25">
      <c r="A4475" s="11">
        <v>46141</v>
      </c>
      <c r="B4475" t="s">
        <v>22</v>
      </c>
      <c r="C4475" t="s">
        <v>23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v>0</v>
      </c>
      <c r="J4475" s="3">
        <v>0</v>
      </c>
      <c r="K4475" s="3">
        <v>0</v>
      </c>
      <c r="L4475" s="3" t="str">
        <f>IF(K4475&lt;-5,"CRÍTICO",IF(K4475&lt;0,"ATENÇÃO",IF(K4475&lt;=5,"OPORTUNO","MUITO BOM")))</f>
        <v>OPORTUNO</v>
      </c>
      <c r="M4475" s="3">
        <v>54</v>
      </c>
      <c r="N4475" s="3">
        <v>99.28</v>
      </c>
      <c r="O4475" s="3">
        <v>27.689243027888441</v>
      </c>
    </row>
    <row r="4476" spans="1:15" hidden="1" x14ac:dyDescent="0.25">
      <c r="A4476" s="11">
        <v>46142</v>
      </c>
      <c r="B4476" t="s">
        <v>22</v>
      </c>
      <c r="C4476" t="s">
        <v>23</v>
      </c>
      <c r="D4476" s="3">
        <v>3</v>
      </c>
      <c r="E4476" s="3">
        <v>3</v>
      </c>
      <c r="F4476" s="3">
        <v>15.05</v>
      </c>
      <c r="G4476" s="3">
        <v>0</v>
      </c>
      <c r="H4476" s="3">
        <v>0</v>
      </c>
      <c r="I4476" s="3">
        <f>E4476+G4476+H4476</f>
        <v>3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21</v>
      </c>
      <c r="K4476" s="3">
        <f>I4476-J4476</f>
        <v>-18</v>
      </c>
      <c r="L4476" s="3" t="str">
        <f>IF(K4476&lt;-5,"CRÍTICO",IF(K4476&lt;0,"ATENÇÃO",IF(K4476&lt;=5,"OPORTUNO","MUITO BOM")))</f>
        <v>CRÍTICO</v>
      </c>
      <c r="M4476" s="3">
        <v>24</v>
      </c>
      <c r="N4476" s="3">
        <v>99.28</v>
      </c>
      <c r="O4476" s="3">
        <v>27.689243027888441</v>
      </c>
    </row>
    <row r="4477" spans="1:15" hidden="1" x14ac:dyDescent="0.25">
      <c r="A4477" s="5">
        <v>46149</v>
      </c>
      <c r="B4477" s="6" t="s">
        <v>22</v>
      </c>
      <c r="C4477" s="3" t="s">
        <v>23</v>
      </c>
      <c r="D4477" s="3">
        <v>26</v>
      </c>
      <c r="E4477" s="3">
        <v>26</v>
      </c>
      <c r="F4477" s="3">
        <v>18.46</v>
      </c>
      <c r="G4477" s="3">
        <v>2</v>
      </c>
      <c r="H4477" s="3">
        <v>0</v>
      </c>
      <c r="I4477" s="3">
        <f>E4477+G4477+H4477</f>
        <v>28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22</v>
      </c>
      <c r="K4477" s="3">
        <f>I4477-J4477</f>
        <v>6</v>
      </c>
      <c r="L4477" s="3" t="str">
        <f>IF(K4477&lt;-5,"CRÍTICO",IF(K4477&lt;0,"ATENÇÃO",IF(K4477&lt;=5,"OPORTUNO","MUITO BOM")))</f>
        <v>MUITO BOM</v>
      </c>
      <c r="M4477" s="3">
        <v>24</v>
      </c>
      <c r="N4477" s="3">
        <v>99.06</v>
      </c>
      <c r="O4477" s="3">
        <v>19.417475728155338</v>
      </c>
    </row>
    <row r="4478" spans="1:15" hidden="1" x14ac:dyDescent="0.25">
      <c r="A4478" s="5">
        <v>46150</v>
      </c>
      <c r="B4478" s="6" t="s">
        <v>22</v>
      </c>
      <c r="C4478" s="3" t="s">
        <v>23</v>
      </c>
      <c r="D4478" s="3">
        <v>0</v>
      </c>
      <c r="E4478" s="3">
        <v>0</v>
      </c>
      <c r="F4478" s="3">
        <v>0</v>
      </c>
      <c r="G4478" s="3">
        <v>0</v>
      </c>
      <c r="H4478" s="3">
        <v>0</v>
      </c>
      <c r="I4478" s="3">
        <v>0</v>
      </c>
      <c r="J4478" s="3">
        <v>0</v>
      </c>
      <c r="K4478" s="3">
        <v>0</v>
      </c>
      <c r="L4478" s="3" t="str">
        <f>IF(K4478&lt;-5,"CRÍTICO",IF(K4478&lt;0,"ATENÇÃO",IF(K4478&lt;=5,"OPORTUNO","MUITO BOM")))</f>
        <v>OPORTUNO</v>
      </c>
      <c r="M4478" s="3">
        <v>0</v>
      </c>
      <c r="N4478" s="3">
        <v>99.06</v>
      </c>
      <c r="O4478" s="3">
        <v>19.417475728155338</v>
      </c>
    </row>
    <row r="4479" spans="1:15" hidden="1" x14ac:dyDescent="0.25">
      <c r="A4479" s="5">
        <v>46153</v>
      </c>
      <c r="B4479" s="6" t="s">
        <v>22</v>
      </c>
      <c r="C4479" s="3" t="s">
        <v>23</v>
      </c>
      <c r="D4479" s="3">
        <v>25</v>
      </c>
      <c r="E4479" s="3">
        <v>22</v>
      </c>
      <c r="F4479" s="3">
        <v>17.3</v>
      </c>
      <c r="G4479" s="3">
        <v>5</v>
      </c>
      <c r="H4479" s="3">
        <v>0</v>
      </c>
      <c r="I4479" s="3">
        <f>E4479+G4479+H4479</f>
        <v>27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20</v>
      </c>
      <c r="K4479" s="3">
        <f>I4479-J4479</f>
        <v>7</v>
      </c>
      <c r="L4479" s="3" t="str">
        <f>IF(K4479&lt;-5,"CRÍTICO",IF(K4479&lt;0,"ATENÇÃO",IF(K4479&lt;=5,"OPORTUNO","MUITO BOM")))</f>
        <v>MUITO BOM</v>
      </c>
      <c r="M4479" s="3">
        <v>23</v>
      </c>
      <c r="N4479" s="3">
        <v>99.06</v>
      </c>
      <c r="O4479" s="3">
        <v>19.417475728155338</v>
      </c>
    </row>
    <row r="4480" spans="1:15" hidden="1" x14ac:dyDescent="0.25">
      <c r="A4480" s="5">
        <v>46154</v>
      </c>
      <c r="B4480" s="6" t="s">
        <v>22</v>
      </c>
      <c r="C4480" s="3" t="s">
        <v>23</v>
      </c>
      <c r="D4480" s="3">
        <v>17</v>
      </c>
      <c r="E4480" s="3">
        <v>17</v>
      </c>
      <c r="F4480" s="3">
        <v>17.170000000000002</v>
      </c>
      <c r="H4480" s="3">
        <v>7</v>
      </c>
      <c r="I4480" s="3">
        <f>E4480+G4480+H4480</f>
        <v>24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21</v>
      </c>
      <c r="K4480" s="3">
        <f>I4480-J4480</f>
        <v>3</v>
      </c>
      <c r="L4480" s="3" t="str">
        <f>IF(K4480&lt;-5,"CRÍTICO",IF(K4480&lt;0,"ATENÇÃO",IF(K4480&lt;=5,"OPORTUNO","MUITO BOM")))</f>
        <v>OPORTUNO</v>
      </c>
      <c r="M4480" s="3">
        <v>24</v>
      </c>
      <c r="N4480" s="3">
        <v>99.06</v>
      </c>
      <c r="O4480" s="3">
        <v>19.417475728155338</v>
      </c>
    </row>
    <row r="4481" spans="1:15" hidden="1" x14ac:dyDescent="0.25">
      <c r="A4481" s="5">
        <v>46155</v>
      </c>
      <c r="B4481" s="6" t="s">
        <v>22</v>
      </c>
      <c r="C4481" s="3" t="s">
        <v>23</v>
      </c>
      <c r="D4481" s="3">
        <v>20</v>
      </c>
      <c r="E4481" s="3">
        <v>16</v>
      </c>
      <c r="F4481" s="3">
        <v>23.26</v>
      </c>
      <c r="G4481" s="3">
        <v>11</v>
      </c>
      <c r="H4481" s="3">
        <v>7</v>
      </c>
      <c r="I4481" s="3">
        <f>E4481+G4481+H4481</f>
        <v>34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19</v>
      </c>
      <c r="K4481" s="3">
        <f>I4481-J4481</f>
        <v>15</v>
      </c>
      <c r="L4481" s="3" t="str">
        <f>IF(K4481&lt;-5,"CRÍTICO",IF(K4481&lt;0,"ATENÇÃO",IF(K4481&lt;=5,"OPORTUNO","MUITO BOM")))</f>
        <v>MUITO BOM</v>
      </c>
      <c r="M4481" s="3">
        <v>18</v>
      </c>
      <c r="N4481" s="3">
        <v>99.06</v>
      </c>
      <c r="O4481" s="3">
        <v>19.417475728155338</v>
      </c>
    </row>
    <row r="4482" spans="1:15" hidden="1" x14ac:dyDescent="0.25">
      <c r="A4482" s="5">
        <v>46156</v>
      </c>
      <c r="B4482" s="6" t="s">
        <v>22</v>
      </c>
      <c r="C4482" s="3" t="s">
        <v>23</v>
      </c>
      <c r="D4482" s="3">
        <v>19</v>
      </c>
      <c r="E4482" s="3">
        <v>18</v>
      </c>
      <c r="F4482" s="3">
        <v>22.29</v>
      </c>
      <c r="G4482" s="3">
        <v>0</v>
      </c>
      <c r="H4482" s="3">
        <v>5</v>
      </c>
      <c r="I4482" s="3">
        <f>E4482+G4482+H4482</f>
        <v>23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19</v>
      </c>
      <c r="K4482" s="3">
        <f>I4482-J4482</f>
        <v>4</v>
      </c>
      <c r="L4482" s="3" t="str">
        <f>IF(K4482&lt;-5,"CRÍTICO",IF(K4482&lt;0,"ATENÇÃO",IF(K4482&lt;=5,"OPORTUNO","MUITO BOM")))</f>
        <v>OPORTUNO</v>
      </c>
      <c r="M4482" s="3">
        <v>23</v>
      </c>
      <c r="N4482" s="3">
        <v>99.06</v>
      </c>
      <c r="O4482" s="3">
        <v>19.417475728155338</v>
      </c>
    </row>
    <row r="4483" spans="1:15" hidden="1" x14ac:dyDescent="0.25">
      <c r="A4483" s="5">
        <v>46157</v>
      </c>
      <c r="B4483" s="6" t="s">
        <v>22</v>
      </c>
      <c r="C4483" s="3" t="s">
        <v>23</v>
      </c>
      <c r="D4483" s="3">
        <v>19</v>
      </c>
      <c r="E4483" s="3">
        <v>16</v>
      </c>
      <c r="F4483" s="3">
        <v>16.559999999999999</v>
      </c>
      <c r="G4483" s="3">
        <v>6</v>
      </c>
      <c r="H4483" s="3">
        <v>1</v>
      </c>
      <c r="I4483" s="3">
        <f>E4483+G4483+H4483</f>
        <v>23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19</v>
      </c>
      <c r="K4483" s="3">
        <f>I4483-J4483</f>
        <v>4</v>
      </c>
      <c r="L4483" s="3" t="str">
        <f>IF(K4483&lt;-5,"CRÍTICO",IF(K4483&lt;0,"ATENÇÃO",IF(K4483&lt;=5,"OPORTUNO","MUITO BOM")))</f>
        <v>OPORTUNO</v>
      </c>
      <c r="M4483" s="3">
        <v>15</v>
      </c>
      <c r="N4483" s="3">
        <v>99.06</v>
      </c>
      <c r="O4483" s="3">
        <v>19.417475728155338</v>
      </c>
    </row>
    <row r="4484" spans="1:15" hidden="1" x14ac:dyDescent="0.25">
      <c r="A4484" s="5">
        <v>46160</v>
      </c>
      <c r="B4484" s="6" t="s">
        <v>22</v>
      </c>
      <c r="C4484" s="3" t="s">
        <v>23</v>
      </c>
      <c r="D4484" s="3">
        <v>21</v>
      </c>
      <c r="E4484" s="3">
        <v>18</v>
      </c>
      <c r="F4484" s="3">
        <v>20.22</v>
      </c>
      <c r="G4484" s="3">
        <v>6</v>
      </c>
      <c r="H4484" s="3">
        <v>1</v>
      </c>
      <c r="I4484" s="3">
        <f>E4484+G4484+H4484</f>
        <v>25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17</v>
      </c>
      <c r="K4484" s="3">
        <f>I4484-J4484</f>
        <v>8</v>
      </c>
      <c r="L4484" s="3" t="str">
        <f>IF(K4484&lt;-5,"CRÍTICO",IF(K4484&lt;0,"ATENÇÃO",IF(K4484&lt;=5,"OPORTUNO","MUITO BOM")))</f>
        <v>MUITO BOM</v>
      </c>
      <c r="M4484" s="3">
        <v>18</v>
      </c>
      <c r="N4484" s="3">
        <v>99.06</v>
      </c>
      <c r="O4484" s="3">
        <v>19.417475728155338</v>
      </c>
    </row>
    <row r="4485" spans="1:15" hidden="1" x14ac:dyDescent="0.25">
      <c r="A4485" s="7">
        <v>46161</v>
      </c>
      <c r="B4485" s="8" t="s">
        <v>22</v>
      </c>
      <c r="C4485" s="9" t="s">
        <v>23</v>
      </c>
      <c r="D4485" s="3">
        <v>19</v>
      </c>
      <c r="E4485" s="3">
        <v>18</v>
      </c>
      <c r="F4485" s="3">
        <v>21.58</v>
      </c>
      <c r="G4485" s="3">
        <v>3</v>
      </c>
      <c r="H4485" s="3">
        <v>3</v>
      </c>
      <c r="I4485" s="3">
        <f>E4485+G4485+H4485</f>
        <v>24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19</v>
      </c>
      <c r="K4485" s="3">
        <f>I4485-J4485</f>
        <v>5</v>
      </c>
      <c r="L4485" s="3" t="str">
        <f>IF(K4485&lt;-5,"CRÍTICO",IF(K4485&lt;0,"ATENÇÃO",IF(K4485&lt;=5,"OPORTUNO","MUITO BOM")))</f>
        <v>OPORTUNO</v>
      </c>
      <c r="M4485" s="3">
        <v>20</v>
      </c>
      <c r="N4485" s="3">
        <v>99.06</v>
      </c>
      <c r="O4485" s="3">
        <v>19.417475728155338</v>
      </c>
    </row>
    <row r="4486" spans="1:15" hidden="1" x14ac:dyDescent="0.25">
      <c r="A4486" s="7">
        <v>46162</v>
      </c>
      <c r="B4486" s="8" t="s">
        <v>22</v>
      </c>
      <c r="C4486" s="9" t="s">
        <v>23</v>
      </c>
      <c r="D4486" s="3">
        <v>26</v>
      </c>
      <c r="E4486" s="3">
        <v>20</v>
      </c>
      <c r="F4486" s="3">
        <v>15.09</v>
      </c>
      <c r="G4486" s="3">
        <v>5</v>
      </c>
      <c r="H4486" s="3">
        <v>2</v>
      </c>
      <c r="I4486" s="3">
        <f>E4486+G4486+H4486</f>
        <v>27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17</v>
      </c>
      <c r="K4486" s="3">
        <f>I4486-J4486</f>
        <v>10</v>
      </c>
      <c r="L4486" s="3" t="str">
        <f>IF(K4486&lt;-5,"CRÍTICO",IF(K4486&lt;0,"ATENÇÃO",IF(K4486&lt;=5,"OPORTUNO","MUITO BOM")))</f>
        <v>MUITO BOM</v>
      </c>
      <c r="M4486" s="3">
        <v>21</v>
      </c>
      <c r="N4486" s="3">
        <v>99.06</v>
      </c>
      <c r="O4486" s="3">
        <v>19.417475728155338</v>
      </c>
    </row>
    <row r="4487" spans="1:15" hidden="1" x14ac:dyDescent="0.25">
      <c r="A4487" s="5">
        <v>46163</v>
      </c>
      <c r="B4487" s="6" t="s">
        <v>22</v>
      </c>
      <c r="C4487" s="3" t="s">
        <v>23</v>
      </c>
      <c r="D4487" s="3">
        <v>16</v>
      </c>
      <c r="E4487" s="3">
        <v>15</v>
      </c>
      <c r="F4487" s="3">
        <v>25.07</v>
      </c>
      <c r="G4487" s="3">
        <v>3</v>
      </c>
      <c r="H4487" s="3">
        <v>0</v>
      </c>
      <c r="I4487" s="3">
        <f>E4487+G4487+H4487</f>
        <v>18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15</v>
      </c>
      <c r="K4487" s="3">
        <f>I4487-J4487</f>
        <v>3</v>
      </c>
      <c r="L4487" s="3" t="str">
        <f>IF(K4487&lt;-5,"CRÍTICO",IF(K4487&lt;0,"ATENÇÃO",IF(K4487&lt;=5,"OPORTUNO","MUITO BOM")))</f>
        <v>OPORTUNO</v>
      </c>
      <c r="M4487" s="3">
        <v>15</v>
      </c>
      <c r="N4487" s="3">
        <v>99.06</v>
      </c>
      <c r="O4487" s="3">
        <v>19.417475728155338</v>
      </c>
    </row>
    <row r="4488" spans="1:15" hidden="1" x14ac:dyDescent="0.25">
      <c r="A4488" s="5">
        <v>46146</v>
      </c>
      <c r="B4488" s="6" t="s">
        <v>22</v>
      </c>
      <c r="C4488" s="3" t="s">
        <v>23</v>
      </c>
      <c r="D4488" s="3">
        <v>24</v>
      </c>
      <c r="E4488" s="3">
        <v>20</v>
      </c>
      <c r="F4488" s="3">
        <v>21.45</v>
      </c>
      <c r="G4488" s="3">
        <v>7</v>
      </c>
      <c r="H4488" s="3">
        <v>0</v>
      </c>
      <c r="I4488" s="3">
        <f>E4488+G4488+H4488</f>
        <v>27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23</v>
      </c>
      <c r="K4488" s="3">
        <f>I4488-J4488</f>
        <v>4</v>
      </c>
      <c r="L4488" s="3" t="str">
        <f>IF(K4488&lt;-5,"CRÍTICO",IF(K4488&lt;0,"ATENÇÃO",IF(K4488&lt;=5,"OPORTUNO","MUITO BOM")))</f>
        <v>OPORTUNO</v>
      </c>
      <c r="M4488" s="3">
        <v>22</v>
      </c>
      <c r="N4488" s="3">
        <v>99.06</v>
      </c>
      <c r="O4488" s="3">
        <v>19.417475728155338</v>
      </c>
    </row>
    <row r="4489" spans="1:15" hidden="1" x14ac:dyDescent="0.25">
      <c r="A4489" s="5">
        <v>46147</v>
      </c>
      <c r="B4489" s="6" t="s">
        <v>22</v>
      </c>
      <c r="C4489" s="3" t="s">
        <v>23</v>
      </c>
      <c r="D4489" s="3">
        <v>13</v>
      </c>
      <c r="E4489" s="3">
        <v>12</v>
      </c>
      <c r="F4489" s="3">
        <v>17.149999999999999</v>
      </c>
      <c r="G4489" s="3">
        <v>9</v>
      </c>
      <c r="H4489" s="3">
        <v>0</v>
      </c>
      <c r="I4489" s="3">
        <f>E4489+G4489+H4489</f>
        <v>21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23</v>
      </c>
      <c r="K4489" s="3">
        <f>I4489-J4489</f>
        <v>-2</v>
      </c>
      <c r="L4489" s="3" t="str">
        <f>IF(K4489&lt;-5,"CRÍTICO",IF(K4489&lt;0,"ATENÇÃO",IF(K4489&lt;=5,"OPORTUNO","MUITO BOM")))</f>
        <v>ATENÇÃO</v>
      </c>
      <c r="M4489" s="3">
        <v>12</v>
      </c>
      <c r="N4489" s="3">
        <v>99.06</v>
      </c>
      <c r="O4489" s="3">
        <v>19.417475728155338</v>
      </c>
    </row>
    <row r="4490" spans="1:15" hidden="1" x14ac:dyDescent="0.25">
      <c r="A4490" s="5">
        <v>46148</v>
      </c>
      <c r="B4490" s="6" t="s">
        <v>22</v>
      </c>
      <c r="C4490" s="3" t="s">
        <v>23</v>
      </c>
      <c r="D4490" s="3">
        <v>23</v>
      </c>
      <c r="E4490" s="3">
        <v>22</v>
      </c>
      <c r="F4490" s="3">
        <v>20.21</v>
      </c>
      <c r="G4490" s="3">
        <v>9</v>
      </c>
      <c r="H4490" s="3">
        <v>0</v>
      </c>
      <c r="I4490" s="3">
        <f>E4490+G4490+H4490</f>
        <v>31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23</v>
      </c>
      <c r="K4490" s="3">
        <f>I4490-J4490</f>
        <v>8</v>
      </c>
      <c r="L4490" s="3" t="str">
        <f>IF(K4490&lt;-5,"CRÍTICO",IF(K4490&lt;0,"ATENÇÃO",IF(K4490&lt;=5,"OPORTUNO","MUITO BOM")))</f>
        <v>MUITO BOM</v>
      </c>
      <c r="M4490" s="3">
        <v>24</v>
      </c>
      <c r="N4490" s="3">
        <v>99.06</v>
      </c>
      <c r="O4490" s="3">
        <v>19.417475728155338</v>
      </c>
    </row>
    <row r="4491" spans="1:15" hidden="1" x14ac:dyDescent="0.25">
      <c r="A4491" s="10">
        <v>46164</v>
      </c>
      <c r="B4491" s="6" t="s">
        <v>22</v>
      </c>
      <c r="C4491" s="3" t="s">
        <v>23</v>
      </c>
      <c r="D4491" s="3">
        <v>8</v>
      </c>
      <c r="E4491" s="3">
        <v>7</v>
      </c>
      <c r="F4491" s="3">
        <v>18.34</v>
      </c>
      <c r="G4491" s="3">
        <v>0</v>
      </c>
      <c r="H4491" s="3">
        <v>0</v>
      </c>
      <c r="I4491" s="3">
        <f>E4491+G4491+H4491</f>
        <v>7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13</v>
      </c>
      <c r="K4491" s="3">
        <f>I4491-J4491</f>
        <v>-6</v>
      </c>
      <c r="L4491" s="3" t="str">
        <f>IF(K4491&lt;-5,"CRÍTICO",IF(K4491&lt;0,"ATENÇÃO",IF(K4491&lt;=5,"OPORTUNO","MUITO BOM")))</f>
        <v>CRÍTICO</v>
      </c>
      <c r="M4491" s="3">
        <v>7</v>
      </c>
      <c r="N4491" s="3">
        <v>99.06</v>
      </c>
      <c r="O4491" s="3">
        <v>19.417475728155338</v>
      </c>
    </row>
    <row r="4492" spans="1:15" hidden="1" x14ac:dyDescent="0.25">
      <c r="A4492" s="11">
        <v>46168</v>
      </c>
      <c r="B4492" t="s">
        <v>22</v>
      </c>
      <c r="C4492" t="s">
        <v>23</v>
      </c>
      <c r="D4492" s="3">
        <v>20</v>
      </c>
      <c r="E4492" s="3">
        <v>20</v>
      </c>
      <c r="F4492" s="3">
        <v>21.49</v>
      </c>
      <c r="G4492" s="3">
        <v>2</v>
      </c>
      <c r="M4492" s="3">
        <v>19</v>
      </c>
      <c r="N4492" s="3">
        <v>99.06</v>
      </c>
      <c r="O4492" s="3">
        <v>22.33009708737864</v>
      </c>
    </row>
    <row r="4493" spans="1:15" hidden="1" x14ac:dyDescent="0.25">
      <c r="A4493" s="11">
        <v>46140</v>
      </c>
      <c r="B4493" t="s">
        <v>62</v>
      </c>
      <c r="C4493" t="s">
        <v>23</v>
      </c>
      <c r="D4493" s="3">
        <v>20</v>
      </c>
      <c r="E4493" s="3">
        <v>19</v>
      </c>
      <c r="F4493" s="3">
        <v>20.09</v>
      </c>
      <c r="G4493" s="3">
        <v>0</v>
      </c>
      <c r="H4493" s="3">
        <v>0</v>
      </c>
      <c r="I4493" s="3">
        <f>E4493+G4493+H4493</f>
        <v>19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22</v>
      </c>
      <c r="K4493" s="3">
        <f>I4493-J4493</f>
        <v>-3</v>
      </c>
      <c r="L4493" s="3" t="str">
        <f>IF(K4493&lt;-5,"CRÍTICO",IF(K4493&lt;0,"ATENÇÃO",IF(K4493&lt;=5,"OPORTUNO","MUITO BOM")))</f>
        <v>ATENÇÃO</v>
      </c>
      <c r="M4493" s="3">
        <v>18</v>
      </c>
      <c r="N4493" s="3">
        <v>97.37</v>
      </c>
      <c r="O4493" s="3">
        <v>25.76530612244898</v>
      </c>
    </row>
    <row r="4494" spans="1:15" hidden="1" x14ac:dyDescent="0.25">
      <c r="A4494" s="11">
        <v>46141</v>
      </c>
      <c r="B4494" t="s">
        <v>62</v>
      </c>
      <c r="C4494" t="s">
        <v>23</v>
      </c>
      <c r="D4494" s="3">
        <v>20</v>
      </c>
      <c r="E4494" s="3">
        <v>18</v>
      </c>
      <c r="F4494" s="3">
        <v>20.37</v>
      </c>
      <c r="G4494" s="3">
        <v>0</v>
      </c>
      <c r="H4494" s="3">
        <v>0</v>
      </c>
      <c r="I4494" s="3">
        <f>E4494+G4494+H4494</f>
        <v>18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23</v>
      </c>
      <c r="K4494" s="3">
        <f>I4494-J4494</f>
        <v>-5</v>
      </c>
      <c r="L4494" s="3" t="str">
        <f>IF(K4494&lt;-5,"CRÍTICO",IF(K4494&lt;0,"ATENÇÃO",IF(K4494&lt;=5,"OPORTUNO","MUITO BOM")))</f>
        <v>ATENÇÃO</v>
      </c>
      <c r="M4494" s="3">
        <v>20</v>
      </c>
      <c r="N4494" s="3">
        <v>97.37</v>
      </c>
      <c r="O4494" s="3">
        <v>25.76530612244898</v>
      </c>
    </row>
    <row r="4495" spans="1:15" hidden="1" x14ac:dyDescent="0.25">
      <c r="A4495" s="11">
        <v>46142</v>
      </c>
      <c r="B4495" t="s">
        <v>62</v>
      </c>
      <c r="C4495" t="s">
        <v>23</v>
      </c>
      <c r="D4495" s="3">
        <v>30</v>
      </c>
      <c r="E4495" s="3">
        <v>28</v>
      </c>
      <c r="F4495" s="3">
        <v>16.54</v>
      </c>
      <c r="G4495" s="3">
        <v>0</v>
      </c>
      <c r="H4495" s="3">
        <v>0</v>
      </c>
      <c r="I4495" s="3">
        <f>E4495+G4495+H4495</f>
        <v>28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21</v>
      </c>
      <c r="K4495" s="3">
        <f>I4495-J4495</f>
        <v>7</v>
      </c>
      <c r="L4495" s="3" t="str">
        <f>IF(K4495&lt;-5,"CRÍTICO",IF(K4495&lt;0,"ATENÇÃO",IF(K4495&lt;=5,"OPORTUNO","MUITO BOM")))</f>
        <v>MUITO BOM</v>
      </c>
      <c r="M4495" s="3">
        <v>26</v>
      </c>
      <c r="N4495" s="3">
        <v>97.37</v>
      </c>
      <c r="O4495" s="3">
        <v>25.76530612244898</v>
      </c>
    </row>
    <row r="4496" spans="1:15" hidden="1" x14ac:dyDescent="0.25">
      <c r="A4496" s="5">
        <v>46146</v>
      </c>
      <c r="B4496" s="6" t="s">
        <v>62</v>
      </c>
      <c r="C4496" s="3" t="s">
        <v>23</v>
      </c>
      <c r="D4496" s="3">
        <v>25</v>
      </c>
      <c r="E4496" s="3">
        <v>21</v>
      </c>
      <c r="F4496" s="3">
        <v>17.18</v>
      </c>
      <c r="G4496" s="3">
        <v>4</v>
      </c>
      <c r="H4496" s="3">
        <v>0</v>
      </c>
      <c r="I4496" s="3">
        <f>E4496+G4496+H4496</f>
        <v>25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23</v>
      </c>
      <c r="K4496" s="3">
        <f>I4496-J4496</f>
        <v>2</v>
      </c>
      <c r="L4496" s="3" t="str">
        <f>IF(K4496&lt;-5,"CRÍTICO",IF(K4496&lt;0,"ATENÇÃO",IF(K4496&lt;=5,"BOM","EXCELENTE")))</f>
        <v>BOM</v>
      </c>
      <c r="M4496" s="3">
        <v>26</v>
      </c>
      <c r="N4496" s="3">
        <v>94.55</v>
      </c>
      <c r="O4496" s="3">
        <v>23.450134770889491</v>
      </c>
    </row>
    <row r="4497" spans="1:15" hidden="1" x14ac:dyDescent="0.25">
      <c r="A4497" s="5">
        <v>46147</v>
      </c>
      <c r="B4497" s="6" t="s">
        <v>62</v>
      </c>
      <c r="C4497" s="3" t="s">
        <v>23</v>
      </c>
      <c r="D4497" s="3">
        <v>31</v>
      </c>
      <c r="E4497" s="3">
        <v>28</v>
      </c>
      <c r="F4497" s="3">
        <v>17.329999999999998</v>
      </c>
      <c r="G4497" s="3">
        <v>1</v>
      </c>
      <c r="H4497" s="3">
        <v>0</v>
      </c>
      <c r="I4497" s="3">
        <f>E4497+G4497+H4497</f>
        <v>29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23</v>
      </c>
      <c r="K4497" s="3">
        <f>I4497-J4497</f>
        <v>6</v>
      </c>
      <c r="L4497" s="3" t="str">
        <f>IF(K4497&lt;-5,"CRÍTICO",IF(K4497&lt;0,"ATENÇÃO",IF(K4497&lt;=5,"BOM","EXCELENTE")))</f>
        <v>EXCELENTE</v>
      </c>
      <c r="M4497" s="3">
        <v>30</v>
      </c>
      <c r="N4497" s="3">
        <v>94.55</v>
      </c>
      <c r="O4497" s="3">
        <v>23.450134770889491</v>
      </c>
    </row>
    <row r="4498" spans="1:15" hidden="1" x14ac:dyDescent="0.25">
      <c r="A4498" s="5">
        <v>46148</v>
      </c>
      <c r="B4498" s="6" t="s">
        <v>62</v>
      </c>
      <c r="C4498" s="3" t="s">
        <v>23</v>
      </c>
      <c r="D4498" s="3">
        <v>31</v>
      </c>
      <c r="E4498" s="3">
        <v>30</v>
      </c>
      <c r="F4498" s="3">
        <v>17.329999999999998</v>
      </c>
      <c r="G4498" s="3">
        <v>8</v>
      </c>
      <c r="H4498" s="3">
        <v>0</v>
      </c>
      <c r="I4498" s="3">
        <f>E4498+G4498+H4498</f>
        <v>38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23</v>
      </c>
      <c r="K4498" s="3">
        <f>I4498-J4498</f>
        <v>15</v>
      </c>
      <c r="L4498" s="3" t="str">
        <f>IF(K4498&lt;-5,"CRÍTICO",IF(K4498&lt;0,"ATENÇÃO",IF(K4498&lt;=5,"BOM","EXCELENTE")))</f>
        <v>EXCELENTE</v>
      </c>
      <c r="M4498" s="3">
        <v>36</v>
      </c>
      <c r="N4498" s="3">
        <v>94.55</v>
      </c>
      <c r="O4498" s="3">
        <v>23.450134770889491</v>
      </c>
    </row>
    <row r="4499" spans="1:15" hidden="1" x14ac:dyDescent="0.25">
      <c r="A4499" s="11">
        <v>46168</v>
      </c>
      <c r="B4499" t="s">
        <v>62</v>
      </c>
      <c r="C4499" t="s">
        <v>23</v>
      </c>
      <c r="D4499" s="3">
        <v>28</v>
      </c>
      <c r="E4499" s="3">
        <v>27</v>
      </c>
      <c r="F4499" s="3">
        <v>16.45</v>
      </c>
      <c r="G4499" s="3">
        <v>1</v>
      </c>
      <c r="M4499" s="3">
        <v>26</v>
      </c>
      <c r="N4499" s="3">
        <v>94.55</v>
      </c>
      <c r="O4499" s="3">
        <v>24.258760107816709</v>
      </c>
    </row>
    <row r="4500" spans="1:15" hidden="1" x14ac:dyDescent="0.25">
      <c r="A4500" s="11">
        <v>46140</v>
      </c>
      <c r="B4500" t="s">
        <v>63</v>
      </c>
      <c r="C4500" t="s">
        <v>23</v>
      </c>
      <c r="D4500" s="3">
        <v>36</v>
      </c>
      <c r="E4500" s="3">
        <v>30</v>
      </c>
      <c r="F4500" s="3">
        <v>13.43</v>
      </c>
      <c r="G4500" s="3">
        <v>0</v>
      </c>
      <c r="H4500" s="3">
        <v>0</v>
      </c>
      <c r="I4500" s="3">
        <f>E4500+G4500+H4500</f>
        <v>30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22</v>
      </c>
      <c r="K4500" s="3">
        <f>I4500-J4500</f>
        <v>8</v>
      </c>
      <c r="L4500" s="3" t="str">
        <f>IF(K4500&lt;-5,"CRÍTICO",IF(K4500&lt;0,"ATENÇÃO",IF(K4500&lt;=5,"OPORTUNO","MUITO BOM")))</f>
        <v>MUITO BOM</v>
      </c>
      <c r="M4500" s="3">
        <v>26</v>
      </c>
      <c r="N4500" s="3">
        <v>98.32</v>
      </c>
      <c r="O4500" s="3">
        <v>26.858513189448441</v>
      </c>
    </row>
    <row r="4501" spans="1:15" hidden="1" x14ac:dyDescent="0.25">
      <c r="A4501" s="11">
        <v>46141</v>
      </c>
      <c r="B4501" t="s">
        <v>63</v>
      </c>
      <c r="C4501" t="s">
        <v>23</v>
      </c>
      <c r="D4501" s="3">
        <v>32</v>
      </c>
      <c r="E4501" s="3">
        <v>28</v>
      </c>
      <c r="F4501" s="3">
        <v>13.21</v>
      </c>
      <c r="G4501" s="3">
        <v>0</v>
      </c>
      <c r="H4501" s="3">
        <v>0</v>
      </c>
      <c r="I4501" s="3">
        <f>E4501+G4501+H4501</f>
        <v>28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23</v>
      </c>
      <c r="K4501" s="3">
        <f>I4501-J4501</f>
        <v>5</v>
      </c>
      <c r="L4501" s="3" t="str">
        <f>IF(K4501&lt;-5,"CRÍTICO",IF(K4501&lt;0,"ATENÇÃO",IF(K4501&lt;=5,"OPORTUNO","MUITO BOM")))</f>
        <v>OPORTUNO</v>
      </c>
      <c r="M4501" s="3">
        <v>21</v>
      </c>
      <c r="N4501" s="3">
        <v>98.32</v>
      </c>
      <c r="O4501" s="3">
        <v>26.858513189448441</v>
      </c>
    </row>
    <row r="4502" spans="1:15" hidden="1" x14ac:dyDescent="0.25">
      <c r="A4502" s="11">
        <v>46142</v>
      </c>
      <c r="B4502" t="s">
        <v>63</v>
      </c>
      <c r="C4502" t="s">
        <v>23</v>
      </c>
      <c r="D4502" s="3">
        <v>27</v>
      </c>
      <c r="E4502" s="3">
        <v>24</v>
      </c>
      <c r="F4502" s="3">
        <v>15.08</v>
      </c>
      <c r="G4502" s="3">
        <v>0</v>
      </c>
      <c r="H4502" s="3">
        <v>0</v>
      </c>
      <c r="I4502" s="3">
        <f>E4502+G4502+H4502</f>
        <v>24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21</v>
      </c>
      <c r="K4502" s="3">
        <f>I4502-J4502</f>
        <v>3</v>
      </c>
      <c r="L4502" s="3" t="str">
        <f>IF(K4502&lt;-5,"CRÍTICO",IF(K4502&lt;0,"ATENÇÃO",IF(K4502&lt;=5,"OPORTUNO","MUITO BOM")))</f>
        <v>OPORTUNO</v>
      </c>
      <c r="M4502" s="3">
        <v>22</v>
      </c>
      <c r="N4502" s="3">
        <v>98.32</v>
      </c>
      <c r="O4502" s="3">
        <v>26.858513189448441</v>
      </c>
    </row>
    <row r="4503" spans="1:15" hidden="1" x14ac:dyDescent="0.25">
      <c r="A4503" s="5">
        <v>46146</v>
      </c>
      <c r="B4503" s="6" t="s">
        <v>63</v>
      </c>
      <c r="C4503" s="3" t="s">
        <v>23</v>
      </c>
      <c r="D4503" s="3">
        <v>27</v>
      </c>
      <c r="E4503" s="3">
        <v>23</v>
      </c>
      <c r="F4503" s="3">
        <v>14.07</v>
      </c>
      <c r="G4503" s="3">
        <v>4</v>
      </c>
      <c r="H4503" s="3">
        <v>0</v>
      </c>
      <c r="I4503" s="3">
        <f>E4503+G4503+H4503</f>
        <v>27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23</v>
      </c>
      <c r="K4503" s="3">
        <f>I4503-J4503</f>
        <v>4</v>
      </c>
      <c r="L4503" s="3" t="str">
        <f>IF(K4503&lt;-5,"CRÍTICO",IF(K4503&lt;0,"ATENÇÃO",IF(K4503&lt;=5,"BOM","EXCELENTE")))</f>
        <v>BOM</v>
      </c>
      <c r="M4503" s="3">
        <v>20</v>
      </c>
      <c r="N4503" s="3">
        <v>98</v>
      </c>
      <c r="O4503" s="3">
        <v>20.73490813648294</v>
      </c>
    </row>
    <row r="4504" spans="1:15" hidden="1" x14ac:dyDescent="0.25">
      <c r="A4504" s="11">
        <v>46167</v>
      </c>
      <c r="B4504" t="s">
        <v>22</v>
      </c>
      <c r="C4504" t="s">
        <v>23</v>
      </c>
      <c r="D4504" s="3">
        <v>25</v>
      </c>
      <c r="E4504" s="3">
        <v>25</v>
      </c>
      <c r="F4504" s="3">
        <v>12.33</v>
      </c>
      <c r="G4504" s="3">
        <v>0</v>
      </c>
      <c r="H4504" s="3">
        <v>0</v>
      </c>
      <c r="I4504" s="3">
        <v>0</v>
      </c>
      <c r="J4504" s="3">
        <v>0</v>
      </c>
      <c r="K4504" s="3">
        <v>0</v>
      </c>
      <c r="L4504" s="3" t="str">
        <f>IF(K4504&lt;-5,"CRÍTICO",IF(K4504&lt;0,"ATENÇÃO",IF(K4504&lt;=5,"OPORTUNO","MUITO BOM")))</f>
        <v>OPORTUNO</v>
      </c>
      <c r="M4504" s="3">
        <v>24</v>
      </c>
      <c r="N4504" s="3">
        <v>99.06</v>
      </c>
      <c r="O4504" s="3">
        <v>19.417475728155338</v>
      </c>
    </row>
    <row r="4505" spans="1:15" hidden="1" x14ac:dyDescent="0.25">
      <c r="A4505" s="5">
        <v>46147</v>
      </c>
      <c r="B4505" s="6" t="s">
        <v>63</v>
      </c>
      <c r="C4505" s="3" t="s">
        <v>23</v>
      </c>
      <c r="D4505" s="3">
        <v>31</v>
      </c>
      <c r="E4505" s="3">
        <v>26</v>
      </c>
      <c r="F4505" s="3">
        <v>13.5</v>
      </c>
      <c r="G4505" s="3">
        <v>10</v>
      </c>
      <c r="H4505" s="3">
        <v>0</v>
      </c>
      <c r="I4505" s="3">
        <f>E4505+G4505+H4505</f>
        <v>36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23</v>
      </c>
      <c r="K4505" s="3">
        <f>I4505-J4505</f>
        <v>13</v>
      </c>
      <c r="L4505" s="3" t="str">
        <f>IF(K4505&lt;-5,"CRÍTICO",IF(K4505&lt;0,"ATENÇÃO",IF(K4505&lt;=5,"BOM","EXCELENTE")))</f>
        <v>EXCELENTE</v>
      </c>
      <c r="M4505" s="3">
        <v>21</v>
      </c>
      <c r="N4505" s="3">
        <v>98</v>
      </c>
      <c r="O4505" s="3">
        <v>20.73490813648294</v>
      </c>
    </row>
    <row r="4506" spans="1:15" hidden="1" x14ac:dyDescent="0.25">
      <c r="A4506" s="5">
        <v>46148</v>
      </c>
      <c r="B4506" s="6" t="s">
        <v>63</v>
      </c>
      <c r="C4506" s="3" t="s">
        <v>23</v>
      </c>
      <c r="D4506" s="3">
        <v>34</v>
      </c>
      <c r="E4506" s="3">
        <v>30</v>
      </c>
      <c r="F4506" s="3">
        <v>13.25</v>
      </c>
      <c r="G4506" s="3">
        <v>5</v>
      </c>
      <c r="H4506" s="3">
        <v>0</v>
      </c>
      <c r="I4506" s="3">
        <f>E4506+G4506+H4506</f>
        <v>35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23</v>
      </c>
      <c r="K4506" s="3">
        <f>I4506-J4506</f>
        <v>12</v>
      </c>
      <c r="L4506" s="3" t="str">
        <f>IF(K4506&lt;-5,"CRÍTICO",IF(K4506&lt;0,"ATENÇÃO",IF(K4506&lt;=5,"BOM","EXCELENTE")))</f>
        <v>EXCELENTE</v>
      </c>
      <c r="M4506" s="3">
        <v>23</v>
      </c>
      <c r="N4506" s="3">
        <v>98</v>
      </c>
      <c r="O4506" s="3">
        <v>20.73490813648294</v>
      </c>
    </row>
    <row r="4507" spans="1:15" hidden="1" x14ac:dyDescent="0.25">
      <c r="A4507" s="11">
        <v>46168</v>
      </c>
      <c r="B4507" t="s">
        <v>63</v>
      </c>
      <c r="C4507" t="s">
        <v>23</v>
      </c>
      <c r="D4507" s="3">
        <v>29</v>
      </c>
      <c r="E4507" s="3">
        <v>26</v>
      </c>
      <c r="F4507" s="3">
        <v>15.57</v>
      </c>
      <c r="G4507" s="3">
        <v>4</v>
      </c>
      <c r="M4507" s="3">
        <v>22</v>
      </c>
      <c r="N4507" s="3">
        <v>98</v>
      </c>
      <c r="O4507" s="3">
        <v>22.57217847769029</v>
      </c>
    </row>
    <row r="4508" spans="1:15" hidden="1" x14ac:dyDescent="0.25">
      <c r="A4508" s="11">
        <v>46140</v>
      </c>
      <c r="B4508" t="s">
        <v>64</v>
      </c>
      <c r="C4508" t="s">
        <v>23</v>
      </c>
      <c r="D4508" s="3">
        <v>25</v>
      </c>
      <c r="E4508" s="3">
        <v>25</v>
      </c>
      <c r="F4508" s="3">
        <v>20.47</v>
      </c>
      <c r="G4508" s="3">
        <v>0</v>
      </c>
      <c r="H4508" s="3">
        <v>0</v>
      </c>
      <c r="I4508" s="3">
        <f>E4508+G4508+H4508</f>
        <v>25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22</v>
      </c>
      <c r="K4508" s="3">
        <f>I4508-J4508</f>
        <v>3</v>
      </c>
      <c r="L4508" s="3" t="str">
        <f>IF(K4508&lt;-5,"CRÍTICO",IF(K4508&lt;0,"ATENÇÃO",IF(K4508&lt;=5,"OPORTUNO","MUITO BOM")))</f>
        <v>OPORTUNO</v>
      </c>
      <c r="M4508" s="3">
        <v>23</v>
      </c>
      <c r="N4508" s="3">
        <v>100</v>
      </c>
      <c r="O4508" s="3">
        <v>26.36986301369863</v>
      </c>
    </row>
    <row r="4509" spans="1:15" hidden="1" x14ac:dyDescent="0.25">
      <c r="A4509" s="11">
        <v>46141</v>
      </c>
      <c r="B4509" t="s">
        <v>64</v>
      </c>
      <c r="C4509" t="s">
        <v>23</v>
      </c>
      <c r="D4509" s="3">
        <v>15</v>
      </c>
      <c r="E4509" s="3">
        <v>14</v>
      </c>
      <c r="F4509" s="3">
        <v>23.58</v>
      </c>
      <c r="G4509" s="3">
        <v>0</v>
      </c>
      <c r="H4509" s="3">
        <v>0</v>
      </c>
      <c r="I4509" s="3">
        <f>E4509+G4509+H4509</f>
        <v>14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23</v>
      </c>
      <c r="K4509" s="3">
        <f>I4509-J4509</f>
        <v>-9</v>
      </c>
      <c r="L4509" s="3" t="str">
        <f>IF(K4509&lt;-5,"CRÍTICO",IF(K4509&lt;0,"ATENÇÃO",IF(K4509&lt;=5,"OPORTUNO","MUITO BOM")))</f>
        <v>CRÍTICO</v>
      </c>
      <c r="M4509" s="3">
        <v>13</v>
      </c>
      <c r="N4509" s="3">
        <v>100</v>
      </c>
      <c r="O4509" s="3">
        <v>26.36986301369863</v>
      </c>
    </row>
    <row r="4510" spans="1:15" hidden="1" x14ac:dyDescent="0.25">
      <c r="A4510" s="11">
        <v>46142</v>
      </c>
      <c r="B4510" t="s">
        <v>64</v>
      </c>
      <c r="C4510" t="s">
        <v>23</v>
      </c>
      <c r="D4510" s="3">
        <v>10</v>
      </c>
      <c r="E4510" s="3">
        <v>10</v>
      </c>
      <c r="F4510" s="3">
        <v>23.27</v>
      </c>
      <c r="G4510" s="3">
        <v>0</v>
      </c>
      <c r="H4510" s="3">
        <v>0</v>
      </c>
      <c r="I4510" s="3">
        <f>E4510+G4510+H4510</f>
        <v>10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21</v>
      </c>
      <c r="K4510" s="3">
        <f>I4510-J4510</f>
        <v>-11</v>
      </c>
      <c r="L4510" s="3" t="str">
        <f>IF(K4510&lt;-5,"CRÍTICO",IF(K4510&lt;0,"ATENÇÃO",IF(K4510&lt;=5,"OPORTUNO","MUITO BOM")))</f>
        <v>CRÍTICO</v>
      </c>
      <c r="M4510" s="3">
        <v>10</v>
      </c>
      <c r="N4510" s="3">
        <v>100</v>
      </c>
      <c r="O4510" s="3">
        <v>26.36986301369863</v>
      </c>
    </row>
    <row r="4511" spans="1:15" hidden="1" x14ac:dyDescent="0.25">
      <c r="A4511" s="5">
        <v>46146</v>
      </c>
      <c r="B4511" s="6" t="s">
        <v>64</v>
      </c>
      <c r="C4511" s="3" t="s">
        <v>23</v>
      </c>
      <c r="D4511" s="3">
        <v>20</v>
      </c>
      <c r="E4511" s="3">
        <v>20</v>
      </c>
      <c r="F4511" s="3">
        <v>25.29</v>
      </c>
      <c r="G4511" s="3">
        <v>0</v>
      </c>
      <c r="H4511" s="3">
        <v>0</v>
      </c>
      <c r="I4511" s="3">
        <f>E4511+G4511+H4511</f>
        <v>20</v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>23</v>
      </c>
      <c r="K4511" s="3">
        <f>I4511-J4511</f>
        <v>-3</v>
      </c>
      <c r="L4511" s="3" t="str">
        <f>IF(K4511&lt;-5,"CRÍTICO",IF(K4511&lt;0,"ATENÇÃO",IF(K4511&lt;=5,"BOM","EXCELENTE")))</f>
        <v>ATENÇÃO</v>
      </c>
      <c r="M4511" s="3">
        <v>20</v>
      </c>
      <c r="N4511" s="3">
        <v>100</v>
      </c>
      <c r="O4511" s="3">
        <v>18</v>
      </c>
    </row>
    <row r="4512" spans="1:15" hidden="1" x14ac:dyDescent="0.25">
      <c r="A4512" s="5">
        <v>46147</v>
      </c>
      <c r="B4512" s="6" t="s">
        <v>64</v>
      </c>
      <c r="C4512" s="3" t="s">
        <v>23</v>
      </c>
      <c r="D4512" s="3">
        <v>14</v>
      </c>
      <c r="E4512" s="3">
        <v>14</v>
      </c>
      <c r="F4512" s="3">
        <v>35.53</v>
      </c>
      <c r="G4512" s="3">
        <v>3</v>
      </c>
      <c r="H4512" s="3">
        <v>0</v>
      </c>
      <c r="I4512" s="3">
        <f>E4512+G4512+H4512</f>
        <v>17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23</v>
      </c>
      <c r="K4512" s="3">
        <f>I4512-J4512</f>
        <v>-6</v>
      </c>
      <c r="L4512" s="3" t="str">
        <f>IF(K4512&lt;-5,"CRÍTICO",IF(K4512&lt;0,"ATENÇÃO",IF(K4512&lt;=5,"BOM","EXCELENTE")))</f>
        <v>CRÍTICO</v>
      </c>
      <c r="M4512" s="3">
        <v>10</v>
      </c>
      <c r="N4512" s="3">
        <v>100</v>
      </c>
      <c r="O4512" s="3">
        <v>18</v>
      </c>
    </row>
    <row r="4513" spans="1:16" hidden="1" x14ac:dyDescent="0.25">
      <c r="A4513" s="5">
        <v>46148</v>
      </c>
      <c r="B4513" s="6" t="s">
        <v>64</v>
      </c>
      <c r="C4513" s="3" t="s">
        <v>23</v>
      </c>
      <c r="D4513" s="3">
        <v>19</v>
      </c>
      <c r="E4513" s="3">
        <v>18</v>
      </c>
      <c r="F4513" s="3">
        <v>26.43</v>
      </c>
      <c r="G4513" s="3">
        <v>1</v>
      </c>
      <c r="H4513" s="3">
        <v>0</v>
      </c>
      <c r="I4513" s="3">
        <f>E4513+G4513+H4513</f>
        <v>19</v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>23</v>
      </c>
      <c r="K4513" s="3">
        <f>I4513-J4513</f>
        <v>-4</v>
      </c>
      <c r="L4513" s="3" t="str">
        <f>IF(K4513&lt;-5,"CRÍTICO",IF(K4513&lt;0,"ATENÇÃO",IF(K4513&lt;=5,"BOM","EXCELENTE")))</f>
        <v>ATENÇÃO</v>
      </c>
      <c r="M4513" s="3">
        <v>18</v>
      </c>
      <c r="N4513" s="3">
        <v>100</v>
      </c>
      <c r="O4513" s="3">
        <v>18</v>
      </c>
    </row>
    <row r="4514" spans="1:16" hidden="1" x14ac:dyDescent="0.25">
      <c r="A4514" s="11">
        <v>46168</v>
      </c>
      <c r="B4514" t="s">
        <v>64</v>
      </c>
      <c r="C4514" t="s">
        <v>23</v>
      </c>
      <c r="D4514" s="3">
        <v>15</v>
      </c>
      <c r="E4514" s="3">
        <v>15</v>
      </c>
      <c r="F4514" s="3">
        <v>37</v>
      </c>
      <c r="G4514" s="3">
        <v>0</v>
      </c>
      <c r="M4514" s="3">
        <v>14</v>
      </c>
      <c r="N4514" s="3">
        <v>100</v>
      </c>
      <c r="O4514" s="3">
        <v>19.35483870967742</v>
      </c>
    </row>
    <row r="4515" spans="1:16" hidden="1" x14ac:dyDescent="0.25">
      <c r="A4515" s="11">
        <v>46133</v>
      </c>
      <c r="B4515" t="s">
        <v>22</v>
      </c>
      <c r="C4515" t="s">
        <v>23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99.28</v>
      </c>
      <c r="O4515">
        <v>27.689243027888441</v>
      </c>
      <c r="P4515"/>
    </row>
    <row r="4516" spans="1:16" hidden="1" x14ac:dyDescent="0.25">
      <c r="A4516" s="11">
        <v>46133</v>
      </c>
      <c r="B4516" t="s">
        <v>47</v>
      </c>
      <c r="C4516" t="s">
        <v>48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100</v>
      </c>
      <c r="O4516">
        <v>32.764505119453922</v>
      </c>
      <c r="P4516"/>
    </row>
    <row r="4517" spans="1:16" hidden="1" x14ac:dyDescent="0.25">
      <c r="A4517" s="11">
        <v>46133</v>
      </c>
      <c r="B4517" t="s">
        <v>31</v>
      </c>
      <c r="C4517" t="s">
        <v>32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98.66</v>
      </c>
      <c r="O4517">
        <v>35.416666666666671</v>
      </c>
      <c r="P4517"/>
    </row>
    <row r="4518" spans="1:16" hidden="1" x14ac:dyDescent="0.25">
      <c r="A4518" s="11">
        <v>46133</v>
      </c>
      <c r="B4518" t="s">
        <v>59</v>
      </c>
      <c r="C4518" t="s">
        <v>23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99.32</v>
      </c>
      <c r="O4518">
        <v>30.648330058939099</v>
      </c>
      <c r="P4518"/>
    </row>
    <row r="4519" spans="1:16" hidden="1" x14ac:dyDescent="0.25">
      <c r="A4519" s="11">
        <v>46133</v>
      </c>
      <c r="B4519" t="s">
        <v>33</v>
      </c>
      <c r="C4519" t="s">
        <v>32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100</v>
      </c>
      <c r="O4519">
        <v>27.803738317757009</v>
      </c>
      <c r="P4519"/>
    </row>
    <row r="4520" spans="1:16" hidden="1" x14ac:dyDescent="0.25">
      <c r="A4520" s="11">
        <v>46133</v>
      </c>
      <c r="B4520" t="s">
        <v>15</v>
      </c>
      <c r="C4520" t="s">
        <v>16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96.74</v>
      </c>
      <c r="O4520">
        <v>28.67647058823529</v>
      </c>
      <c r="P4520"/>
    </row>
    <row r="4521" spans="1:16" hidden="1" x14ac:dyDescent="0.25">
      <c r="A4521" s="11">
        <v>46133</v>
      </c>
      <c r="B4521" t="s">
        <v>49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98.82</v>
      </c>
      <c r="O4521">
        <v>30.741410488245929</v>
      </c>
      <c r="P4521"/>
    </row>
    <row r="4522" spans="1:16" hidden="1" x14ac:dyDescent="0.25">
      <c r="A4522" s="11">
        <v>46133</v>
      </c>
      <c r="B4522" t="s">
        <v>50</v>
      </c>
      <c r="C4522" t="s">
        <v>48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98.2</v>
      </c>
      <c r="O4522">
        <v>27.170868347338931</v>
      </c>
      <c r="P4522"/>
    </row>
    <row r="4523" spans="1:16" hidden="1" x14ac:dyDescent="0.25">
      <c r="A4523" s="11">
        <v>46133</v>
      </c>
      <c r="B4523" t="s">
        <v>17</v>
      </c>
      <c r="C4523" t="s">
        <v>16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100</v>
      </c>
      <c r="O4523">
        <v>23.134328358208951</v>
      </c>
      <c r="P4523"/>
    </row>
    <row r="4524" spans="1:16" hidden="1" x14ac:dyDescent="0.25">
      <c r="A4524" s="11">
        <v>46133</v>
      </c>
      <c r="B4524" t="s">
        <v>60</v>
      </c>
      <c r="C4524" t="s">
        <v>23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96.3</v>
      </c>
      <c r="O4524">
        <v>32.219570405727922</v>
      </c>
      <c r="P4524"/>
    </row>
    <row r="4525" spans="1:16" hidden="1" x14ac:dyDescent="0.25">
      <c r="A4525" s="11">
        <v>46133</v>
      </c>
      <c r="B4525" t="s">
        <v>34</v>
      </c>
      <c r="C4525" t="s">
        <v>32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93.75</v>
      </c>
      <c r="O4525">
        <v>26.819923371647509</v>
      </c>
      <c r="P4525"/>
    </row>
    <row r="4526" spans="1:16" hidden="1" x14ac:dyDescent="0.25">
      <c r="A4526" s="11">
        <v>46133</v>
      </c>
      <c r="B4526" t="s">
        <v>51</v>
      </c>
      <c r="C4526" t="s">
        <v>48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97.86</v>
      </c>
      <c r="O4526">
        <v>31.018518518518519</v>
      </c>
      <c r="P4526"/>
    </row>
    <row r="4527" spans="1:16" hidden="1" x14ac:dyDescent="0.25">
      <c r="A4527" s="11">
        <v>46133</v>
      </c>
      <c r="B4527" t="s">
        <v>61</v>
      </c>
      <c r="C4527" t="s">
        <v>23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36.594202898550733</v>
      </c>
      <c r="P4527"/>
    </row>
    <row r="4528" spans="1:16" hidden="1" x14ac:dyDescent="0.25">
      <c r="A4528" s="11">
        <v>46133</v>
      </c>
      <c r="B4528" t="s">
        <v>35</v>
      </c>
      <c r="C4528" t="s">
        <v>32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38.653846153846153</v>
      </c>
      <c r="P4528"/>
    </row>
    <row r="4529" spans="1:16" hidden="1" x14ac:dyDescent="0.25">
      <c r="A4529" s="11">
        <v>46133</v>
      </c>
      <c r="B4529" t="s">
        <v>18</v>
      </c>
      <c r="C4529" t="s">
        <v>16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100</v>
      </c>
      <c r="O4529">
        <v>27.368421052631579</v>
      </c>
      <c r="P4529"/>
    </row>
    <row r="4530" spans="1:16" hidden="1" x14ac:dyDescent="0.25">
      <c r="A4530" s="11">
        <v>46133</v>
      </c>
      <c r="B4530" t="s">
        <v>52</v>
      </c>
      <c r="C4530" t="s">
        <v>48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97.83</v>
      </c>
      <c r="O4530">
        <v>28.35164835164835</v>
      </c>
      <c r="P4530"/>
    </row>
    <row r="4531" spans="1:16" hidden="1" x14ac:dyDescent="0.25">
      <c r="A4531" s="11">
        <v>46133</v>
      </c>
      <c r="B4531" t="s">
        <v>36</v>
      </c>
      <c r="C4531" t="s">
        <v>32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99.26</v>
      </c>
      <c r="O4531">
        <v>29.766536964980549</v>
      </c>
      <c r="P4531"/>
    </row>
    <row r="4532" spans="1:16" hidden="1" x14ac:dyDescent="0.25">
      <c r="A4532" s="11">
        <v>46133</v>
      </c>
      <c r="B4532" t="s">
        <v>53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99.19</v>
      </c>
      <c r="O4532">
        <v>29.462365591397852</v>
      </c>
      <c r="P4532"/>
    </row>
    <row r="4533" spans="1:16" hidden="1" x14ac:dyDescent="0.25">
      <c r="A4533" s="11">
        <v>46133</v>
      </c>
      <c r="B4533" t="s">
        <v>54</v>
      </c>
      <c r="C4533" t="s">
        <v>48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100</v>
      </c>
      <c r="O4533">
        <v>28.921568627450981</v>
      </c>
      <c r="P4533"/>
    </row>
    <row r="4534" spans="1:16" hidden="1" x14ac:dyDescent="0.25">
      <c r="A4534" s="11">
        <v>46133</v>
      </c>
      <c r="B4534" t="s">
        <v>37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99.57</v>
      </c>
      <c r="O4534">
        <v>30.635838150289018</v>
      </c>
      <c r="P4534"/>
    </row>
    <row r="4535" spans="1:16" hidden="1" x14ac:dyDescent="0.25">
      <c r="A4535" s="11">
        <v>46133</v>
      </c>
      <c r="B4535" t="s">
        <v>38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95.65</v>
      </c>
      <c r="O4535">
        <v>32.432432432432442</v>
      </c>
      <c r="P4535"/>
    </row>
    <row r="4536" spans="1:16" hidden="1" x14ac:dyDescent="0.25">
      <c r="A4536" s="11">
        <v>46133</v>
      </c>
      <c r="B4536" t="s">
        <v>55</v>
      </c>
      <c r="C4536" t="s">
        <v>48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98.81</v>
      </c>
      <c r="O4536">
        <v>26.256983240223459</v>
      </c>
      <c r="P4536"/>
    </row>
    <row r="4537" spans="1:16" hidden="1" x14ac:dyDescent="0.25">
      <c r="A4537" s="11">
        <v>46133</v>
      </c>
      <c r="B4537" t="s">
        <v>39</v>
      </c>
      <c r="C4537" t="s">
        <v>32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0</v>
      </c>
      <c r="O4537">
        <v>0</v>
      </c>
      <c r="P4537"/>
    </row>
    <row r="4538" spans="1:16" hidden="1" x14ac:dyDescent="0.25">
      <c r="A4538" s="11">
        <v>46133</v>
      </c>
      <c r="B4538" t="s">
        <v>25</v>
      </c>
      <c r="C4538" t="s">
        <v>26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97.17</v>
      </c>
      <c r="O4538">
        <v>28.81844380403458</v>
      </c>
      <c r="P4538"/>
    </row>
    <row r="4539" spans="1:16" hidden="1" x14ac:dyDescent="0.25">
      <c r="A4539" s="11">
        <v>46133</v>
      </c>
      <c r="B4539" t="s">
        <v>40</v>
      </c>
      <c r="C4539" t="s">
        <v>32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96.81</v>
      </c>
      <c r="O4539">
        <v>48.018648018648022</v>
      </c>
      <c r="P4539"/>
    </row>
    <row r="4540" spans="1:16" hidden="1" x14ac:dyDescent="0.25">
      <c r="A4540" s="11">
        <v>46133</v>
      </c>
      <c r="B4540" t="s">
        <v>27</v>
      </c>
      <c r="C4540" t="s">
        <v>26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98.15</v>
      </c>
      <c r="O4540">
        <v>27.1551724137931</v>
      </c>
      <c r="P4540"/>
    </row>
    <row r="4541" spans="1:16" hidden="1" x14ac:dyDescent="0.25">
      <c r="A4541" s="11">
        <v>46133</v>
      </c>
      <c r="B4541" t="s">
        <v>41</v>
      </c>
      <c r="C4541" t="s">
        <v>32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99.15</v>
      </c>
      <c r="O4541">
        <v>27.586206896551719</v>
      </c>
      <c r="P4541"/>
    </row>
    <row r="4542" spans="1:16" hidden="1" x14ac:dyDescent="0.25">
      <c r="A4542" s="11">
        <v>46133</v>
      </c>
      <c r="B4542" t="s">
        <v>56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99.17</v>
      </c>
      <c r="O4542">
        <v>29.75206611570248</v>
      </c>
      <c r="P4542"/>
    </row>
    <row r="4543" spans="1:16" hidden="1" x14ac:dyDescent="0.25">
      <c r="A4543" s="11">
        <v>46133</v>
      </c>
      <c r="B4543" t="s">
        <v>57</v>
      </c>
      <c r="C4543" t="s">
        <v>48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98.73</v>
      </c>
      <c r="O4543">
        <v>28.961748633879779</v>
      </c>
      <c r="P4543"/>
    </row>
    <row r="4544" spans="1:16" hidden="1" x14ac:dyDescent="0.25">
      <c r="A4544" s="11">
        <v>46133</v>
      </c>
      <c r="B4544" t="s">
        <v>42</v>
      </c>
      <c r="C4544" t="s">
        <v>32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88.68</v>
      </c>
      <c r="O4544">
        <v>22.03389830508474</v>
      </c>
      <c r="P4544"/>
    </row>
    <row r="4545" spans="1:16" hidden="1" x14ac:dyDescent="0.25">
      <c r="A4545" s="11">
        <v>46133</v>
      </c>
      <c r="B4545" t="s">
        <v>62</v>
      </c>
      <c r="C4545" t="s">
        <v>23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97.37</v>
      </c>
      <c r="O4545">
        <v>25.76530612244898</v>
      </c>
      <c r="P4545"/>
    </row>
    <row r="4546" spans="1:16" hidden="1" x14ac:dyDescent="0.25">
      <c r="A4546" s="11">
        <v>46133</v>
      </c>
      <c r="B4546" t="s">
        <v>19</v>
      </c>
      <c r="C4546" t="s">
        <v>16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100</v>
      </c>
      <c r="O4546">
        <v>25</v>
      </c>
      <c r="P4546"/>
    </row>
    <row r="4547" spans="1:16" hidden="1" x14ac:dyDescent="0.25">
      <c r="A4547" s="11">
        <v>46133</v>
      </c>
      <c r="B4547" t="s">
        <v>43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100</v>
      </c>
      <c r="O4547">
        <v>23.9870340356564</v>
      </c>
      <c r="P4547"/>
    </row>
    <row r="4548" spans="1:16" hidden="1" x14ac:dyDescent="0.25">
      <c r="A4548" s="11">
        <v>46133</v>
      </c>
      <c r="B4548" t="s">
        <v>44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M4548">
        <v>0</v>
      </c>
      <c r="N4548">
        <v>95.49</v>
      </c>
      <c r="O4548">
        <v>28.370221327967808</v>
      </c>
      <c r="P4548"/>
    </row>
    <row r="4549" spans="1:16" hidden="1" x14ac:dyDescent="0.25">
      <c r="A4549" s="11">
        <v>46133</v>
      </c>
      <c r="B4549" t="s">
        <v>20</v>
      </c>
      <c r="C4549" t="s">
        <v>16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100</v>
      </c>
      <c r="O4549">
        <v>23.77622377622378</v>
      </c>
      <c r="P4549"/>
    </row>
    <row r="4550" spans="1:16" hidden="1" x14ac:dyDescent="0.25">
      <c r="A4550" s="11">
        <v>46133</v>
      </c>
      <c r="B4550" t="s">
        <v>28</v>
      </c>
      <c r="C4550" t="s">
        <v>26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96.15</v>
      </c>
      <c r="O4550">
        <v>24.045801526717561</v>
      </c>
      <c r="P4550"/>
    </row>
    <row r="4551" spans="1:16" hidden="1" x14ac:dyDescent="0.25">
      <c r="A4551" s="11">
        <v>46133</v>
      </c>
      <c r="B4551" t="s">
        <v>58</v>
      </c>
      <c r="C4551" t="s">
        <v>48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99.02</v>
      </c>
      <c r="O4551">
        <v>34.797297297297298</v>
      </c>
      <c r="P4551"/>
    </row>
    <row r="4552" spans="1:16" hidden="1" x14ac:dyDescent="0.25">
      <c r="A4552" s="11">
        <v>46133</v>
      </c>
      <c r="B4552" t="s">
        <v>29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98.84</v>
      </c>
      <c r="O4552">
        <v>31.868131868131869</v>
      </c>
      <c r="P4552"/>
    </row>
    <row r="4553" spans="1:16" hidden="1" x14ac:dyDescent="0.25">
      <c r="A4553" s="11">
        <v>46133</v>
      </c>
      <c r="B4553" t="s">
        <v>30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M4553">
        <v>0</v>
      </c>
      <c r="N4553">
        <v>100</v>
      </c>
      <c r="O4553">
        <v>34.666666666666671</v>
      </c>
      <c r="P4553"/>
    </row>
    <row r="4554" spans="1:16" hidden="1" x14ac:dyDescent="0.25">
      <c r="A4554" s="11">
        <v>46133</v>
      </c>
      <c r="B4554" t="s">
        <v>21</v>
      </c>
      <c r="C4554" t="s">
        <v>16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94.12</v>
      </c>
      <c r="O4554">
        <v>32.799999999999997</v>
      </c>
      <c r="P4554"/>
    </row>
    <row r="4555" spans="1:16" hidden="1" x14ac:dyDescent="0.25">
      <c r="A4555" s="11">
        <v>46133</v>
      </c>
      <c r="B4555" t="s">
        <v>63</v>
      </c>
      <c r="C4555" t="s">
        <v>23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98.32</v>
      </c>
      <c r="O4555">
        <v>26.858513189448441</v>
      </c>
      <c r="P4555"/>
    </row>
    <row r="4556" spans="1:16" hidden="1" x14ac:dyDescent="0.25">
      <c r="A4556" s="11">
        <v>46133</v>
      </c>
      <c r="B4556" t="s">
        <v>45</v>
      </c>
      <c r="C4556" t="s">
        <v>32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31.135531135531139</v>
      </c>
      <c r="P4556"/>
    </row>
    <row r="4557" spans="1:16" hidden="1" x14ac:dyDescent="0.25">
      <c r="A4557" s="11">
        <v>46133</v>
      </c>
      <c r="B4557" t="s">
        <v>64</v>
      </c>
      <c r="C4557" t="s">
        <v>23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100</v>
      </c>
      <c r="O4557">
        <v>26.36986301369863</v>
      </c>
      <c r="P4557"/>
    </row>
    <row r="4558" spans="1:16" hidden="1" x14ac:dyDescent="0.25">
      <c r="A4558" s="11">
        <v>46133</v>
      </c>
      <c r="B4558" t="s">
        <v>46</v>
      </c>
      <c r="C4558" t="s">
        <v>32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99.21</v>
      </c>
      <c r="O4558">
        <v>25.188916876574311</v>
      </c>
      <c r="P4558"/>
    </row>
    <row r="4559" spans="1:16" hidden="1" x14ac:dyDescent="0.25">
      <c r="A4559" s="11">
        <v>46143</v>
      </c>
      <c r="B4559" t="s">
        <v>15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99.25</v>
      </c>
      <c r="O4559">
        <v>20.408163265306118</v>
      </c>
      <c r="P4559"/>
    </row>
    <row r="4560" spans="1:16" hidden="1" x14ac:dyDescent="0.25">
      <c r="A4560" s="11">
        <v>46143</v>
      </c>
      <c r="B4560" t="s">
        <v>17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97.14</v>
      </c>
      <c r="O4560">
        <v>24.761904761904759</v>
      </c>
      <c r="P4560"/>
    </row>
    <row r="4561" spans="1:16" hidden="1" x14ac:dyDescent="0.25">
      <c r="A4561" s="11">
        <v>46143</v>
      </c>
      <c r="B4561" t="s">
        <v>18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28.94736842105263</v>
      </c>
      <c r="P4561"/>
    </row>
    <row r="4562" spans="1:16" hidden="1" x14ac:dyDescent="0.25">
      <c r="A4562" s="11">
        <v>46143</v>
      </c>
      <c r="B4562" t="s">
        <v>19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M4562">
        <v>0</v>
      </c>
      <c r="N4562">
        <v>100</v>
      </c>
      <c r="O4562">
        <v>12.941176470588241</v>
      </c>
      <c r="P4562"/>
    </row>
    <row r="4563" spans="1:16" hidden="1" x14ac:dyDescent="0.25">
      <c r="A4563" s="11">
        <v>46143</v>
      </c>
      <c r="B4563" t="s">
        <v>20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100</v>
      </c>
      <c r="O4563">
        <v>17.1875</v>
      </c>
      <c r="P4563"/>
    </row>
    <row r="4564" spans="1:16" hidden="1" x14ac:dyDescent="0.25">
      <c r="A4564" s="11">
        <v>46143</v>
      </c>
      <c r="B4564" t="s">
        <v>21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98.36</v>
      </c>
      <c r="O4564">
        <v>21.917808219178081</v>
      </c>
      <c r="P4564"/>
    </row>
    <row r="4565" spans="1:16" hidden="1" x14ac:dyDescent="0.25">
      <c r="A4565" s="11">
        <v>46143</v>
      </c>
      <c r="B4565" t="s">
        <v>25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97.62</v>
      </c>
      <c r="O4565">
        <v>17.82477341389728</v>
      </c>
      <c r="P4565"/>
    </row>
    <row r="4566" spans="1:16" hidden="1" x14ac:dyDescent="0.25">
      <c r="A4566" s="11">
        <v>46143</v>
      </c>
      <c r="B4566" t="s">
        <v>27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100</v>
      </c>
      <c r="O4566">
        <v>19.072164948453612</v>
      </c>
      <c r="P4566"/>
    </row>
    <row r="4567" spans="1:16" hidden="1" x14ac:dyDescent="0.25">
      <c r="A4567" s="11">
        <v>46143</v>
      </c>
      <c r="B4567" t="s">
        <v>28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96.83</v>
      </c>
      <c r="O4567">
        <v>20.94017094017094</v>
      </c>
      <c r="P4567"/>
    </row>
    <row r="4568" spans="1:16" hidden="1" x14ac:dyDescent="0.25">
      <c r="A4568" s="11">
        <v>46143</v>
      </c>
      <c r="B4568" t="s">
        <v>29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20.0836820083682</v>
      </c>
      <c r="P4568"/>
    </row>
    <row r="4569" spans="1:16" hidden="1" x14ac:dyDescent="0.25">
      <c r="A4569" s="11">
        <v>46143</v>
      </c>
      <c r="B4569" t="s">
        <v>30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M4569">
        <v>0</v>
      </c>
      <c r="N4569">
        <v>100</v>
      </c>
      <c r="O4569">
        <v>16.34241245136187</v>
      </c>
      <c r="P4569"/>
    </row>
    <row r="4570" spans="1:16" hidden="1" x14ac:dyDescent="0.25">
      <c r="A4570" s="11">
        <v>46143</v>
      </c>
      <c r="B4570" t="s">
        <v>31</v>
      </c>
      <c r="C4570" t="s">
        <v>32</v>
      </c>
      <c r="D4570" s="3">
        <v>0</v>
      </c>
      <c r="E4570" s="3">
        <v>0</v>
      </c>
      <c r="F4570" s="3">
        <v>0</v>
      </c>
      <c r="G4570" s="3">
        <v>0</v>
      </c>
      <c r="H4570" s="3">
        <v>0</v>
      </c>
      <c r="I4570" s="3">
        <v>0</v>
      </c>
      <c r="J4570" s="3">
        <v>0</v>
      </c>
      <c r="K4570" s="3">
        <v>0</v>
      </c>
      <c r="M4570" s="3">
        <v>0</v>
      </c>
      <c r="N4570" s="3">
        <v>100</v>
      </c>
      <c r="O4570" s="3">
        <v>0</v>
      </c>
    </row>
    <row r="4571" spans="1:16" hidden="1" x14ac:dyDescent="0.25">
      <c r="A4571" s="11">
        <v>46143</v>
      </c>
      <c r="B4571" t="s">
        <v>33</v>
      </c>
      <c r="C4571" t="s">
        <v>32</v>
      </c>
      <c r="D4571" s="3">
        <v>0</v>
      </c>
      <c r="E4571" s="3">
        <v>0</v>
      </c>
      <c r="F4571" s="3">
        <v>0</v>
      </c>
      <c r="G4571" s="3">
        <v>0</v>
      </c>
      <c r="H4571" s="3">
        <v>0</v>
      </c>
      <c r="I4571" s="3">
        <v>0</v>
      </c>
      <c r="J4571" s="3">
        <v>0</v>
      </c>
      <c r="K4571" s="3">
        <v>0</v>
      </c>
      <c r="M4571" s="3">
        <v>0</v>
      </c>
      <c r="N4571" s="3">
        <v>96.94</v>
      </c>
      <c r="O4571" s="3">
        <v>19.613259668508292</v>
      </c>
    </row>
    <row r="4572" spans="1:16" hidden="1" x14ac:dyDescent="0.25">
      <c r="A4572" s="11">
        <v>46143</v>
      </c>
      <c r="B4572" t="s">
        <v>34</v>
      </c>
      <c r="C4572" t="s">
        <v>32</v>
      </c>
      <c r="D4572" s="3">
        <v>0</v>
      </c>
      <c r="E4572" s="3">
        <v>0</v>
      </c>
      <c r="F4572" s="3">
        <v>0</v>
      </c>
      <c r="G4572" s="3">
        <v>0</v>
      </c>
      <c r="H4572" s="3">
        <v>0</v>
      </c>
      <c r="I4572" s="3">
        <v>0</v>
      </c>
      <c r="J4572" s="3">
        <v>0</v>
      </c>
      <c r="K4572" s="3">
        <v>0</v>
      </c>
      <c r="M4572" s="3">
        <v>0</v>
      </c>
      <c r="N4572" s="3">
        <v>92.81</v>
      </c>
      <c r="O4572" s="3">
        <v>25.477707006369432</v>
      </c>
    </row>
    <row r="4573" spans="1:16" hidden="1" x14ac:dyDescent="0.25">
      <c r="A4573" s="11">
        <v>46143</v>
      </c>
      <c r="B4573" t="s">
        <v>35</v>
      </c>
      <c r="C4573" t="s">
        <v>32</v>
      </c>
      <c r="D4573" s="3">
        <v>0</v>
      </c>
      <c r="E4573" s="3">
        <v>0</v>
      </c>
      <c r="F4573" s="3">
        <v>0</v>
      </c>
      <c r="G4573" s="3">
        <v>0</v>
      </c>
      <c r="H4573" s="3">
        <v>0</v>
      </c>
      <c r="I4573" s="3">
        <v>0</v>
      </c>
      <c r="J4573" s="3">
        <v>0</v>
      </c>
      <c r="K4573" s="3">
        <v>0</v>
      </c>
      <c r="M4573" s="3">
        <v>0</v>
      </c>
      <c r="N4573" s="3">
        <v>99.19</v>
      </c>
      <c r="O4573" s="3">
        <v>28.404669260700391</v>
      </c>
    </row>
    <row r="4574" spans="1:16" hidden="1" x14ac:dyDescent="0.25">
      <c r="A4574" s="11">
        <v>46143</v>
      </c>
      <c r="B4574" t="s">
        <v>36</v>
      </c>
      <c r="C4574" t="s">
        <v>32</v>
      </c>
      <c r="D4574" s="3">
        <v>0</v>
      </c>
      <c r="E4574" s="3">
        <v>0</v>
      </c>
      <c r="F4574" s="3">
        <v>0</v>
      </c>
      <c r="G4574" s="3">
        <v>0</v>
      </c>
      <c r="H4574" s="3">
        <v>0</v>
      </c>
      <c r="I4574" s="3">
        <v>0</v>
      </c>
      <c r="J4574" s="3">
        <v>0</v>
      </c>
      <c r="K4574" s="3">
        <v>0</v>
      </c>
      <c r="M4574" s="3">
        <v>0</v>
      </c>
      <c r="N4574" s="3">
        <v>100</v>
      </c>
      <c r="O4574" s="3">
        <v>13.51351351351351</v>
      </c>
    </row>
    <row r="4575" spans="1:16" hidden="1" x14ac:dyDescent="0.25">
      <c r="A4575" s="11">
        <v>46143</v>
      </c>
      <c r="B4575" t="s">
        <v>37</v>
      </c>
      <c r="C4575" t="s">
        <v>32</v>
      </c>
      <c r="D4575" s="3">
        <v>0</v>
      </c>
      <c r="E4575" s="3">
        <v>0</v>
      </c>
      <c r="F4575" s="3">
        <v>0</v>
      </c>
      <c r="G4575" s="3">
        <v>0</v>
      </c>
      <c r="H4575" s="3">
        <v>0</v>
      </c>
      <c r="I4575" s="3">
        <v>0</v>
      </c>
      <c r="J4575" s="3">
        <v>0</v>
      </c>
      <c r="K4575" s="3">
        <v>0</v>
      </c>
      <c r="M4575" s="3">
        <v>0</v>
      </c>
      <c r="N4575" s="3">
        <v>99</v>
      </c>
      <c r="O4575" s="3">
        <v>22.27414330218069</v>
      </c>
    </row>
    <row r="4576" spans="1:16" hidden="1" x14ac:dyDescent="0.25">
      <c r="A4576" s="11">
        <v>46143</v>
      </c>
      <c r="B4576" t="s">
        <v>38</v>
      </c>
      <c r="C4576" t="s">
        <v>32</v>
      </c>
      <c r="D4576" s="3">
        <v>0</v>
      </c>
      <c r="E4576" s="3">
        <v>0</v>
      </c>
      <c r="F4576" s="3">
        <v>0</v>
      </c>
      <c r="G4576" s="3">
        <v>0</v>
      </c>
      <c r="H4576" s="3">
        <v>0</v>
      </c>
      <c r="I4576" s="3">
        <v>0</v>
      </c>
      <c r="J4576" s="3">
        <v>0</v>
      </c>
      <c r="K4576" s="3">
        <v>0</v>
      </c>
      <c r="M4576" s="3">
        <v>0</v>
      </c>
      <c r="N4576" s="3">
        <v>97.04</v>
      </c>
      <c r="O4576" s="3">
        <v>29.828850855745721</v>
      </c>
    </row>
    <row r="4577" spans="1:15" hidden="1" x14ac:dyDescent="0.25">
      <c r="A4577" s="11">
        <v>46143</v>
      </c>
      <c r="B4577" t="s">
        <v>39</v>
      </c>
      <c r="C4577" t="s">
        <v>32</v>
      </c>
      <c r="D4577" s="3">
        <v>0</v>
      </c>
      <c r="E4577" s="3">
        <v>0</v>
      </c>
      <c r="F4577" s="3">
        <v>0</v>
      </c>
      <c r="G4577" s="3">
        <v>0</v>
      </c>
      <c r="H4577" s="3">
        <v>0</v>
      </c>
      <c r="I4577" s="3">
        <v>0</v>
      </c>
      <c r="J4577" s="3">
        <v>0</v>
      </c>
      <c r="K4577" s="3">
        <v>0</v>
      </c>
      <c r="M4577" s="3">
        <v>0</v>
      </c>
      <c r="N4577" s="3">
        <v>0</v>
      </c>
      <c r="O4577" s="3">
        <v>0</v>
      </c>
    </row>
    <row r="4578" spans="1:15" hidden="1" x14ac:dyDescent="0.25">
      <c r="A4578" s="11">
        <v>46143</v>
      </c>
      <c r="B4578" t="s">
        <v>40</v>
      </c>
      <c r="C4578" t="s">
        <v>32</v>
      </c>
      <c r="D4578" s="3">
        <v>0</v>
      </c>
      <c r="E4578" s="3">
        <v>0</v>
      </c>
      <c r="F4578" s="3">
        <v>0</v>
      </c>
      <c r="G4578" s="3">
        <v>0</v>
      </c>
      <c r="H4578" s="3">
        <v>0</v>
      </c>
      <c r="I4578" s="3">
        <v>0</v>
      </c>
      <c r="J4578" s="3">
        <v>0</v>
      </c>
      <c r="K4578" s="3">
        <v>0</v>
      </c>
      <c r="M4578" s="3">
        <v>0</v>
      </c>
      <c r="N4578" s="3">
        <v>96.84</v>
      </c>
      <c r="O4578" s="3">
        <v>16.338028169014081</v>
      </c>
    </row>
    <row r="4579" spans="1:15" hidden="1" x14ac:dyDescent="0.25">
      <c r="A4579" s="11">
        <v>46143</v>
      </c>
      <c r="B4579" t="s">
        <v>41</v>
      </c>
      <c r="C4579" t="s">
        <v>32</v>
      </c>
      <c r="D4579" s="3">
        <v>0</v>
      </c>
      <c r="E4579" s="3">
        <v>0</v>
      </c>
      <c r="F4579" s="3">
        <v>0</v>
      </c>
      <c r="G4579" s="3">
        <v>0</v>
      </c>
      <c r="H4579" s="3">
        <v>0</v>
      </c>
      <c r="I4579" s="3">
        <v>0</v>
      </c>
      <c r="J4579" s="3">
        <v>0</v>
      </c>
      <c r="K4579" s="3">
        <v>0</v>
      </c>
      <c r="M4579" s="3">
        <v>0</v>
      </c>
      <c r="N4579" s="3">
        <v>100</v>
      </c>
      <c r="O4579" s="3">
        <v>18.244803695150122</v>
      </c>
    </row>
    <row r="4580" spans="1:15" hidden="1" x14ac:dyDescent="0.25">
      <c r="A4580" s="11">
        <v>46143</v>
      </c>
      <c r="B4580" t="s">
        <v>42</v>
      </c>
      <c r="C4580" t="s">
        <v>32</v>
      </c>
      <c r="D4580" s="3">
        <v>0</v>
      </c>
      <c r="E4580" s="3">
        <v>0</v>
      </c>
      <c r="F4580" s="3">
        <v>0</v>
      </c>
      <c r="G4580" s="3">
        <v>0</v>
      </c>
      <c r="H4580" s="3">
        <v>0</v>
      </c>
      <c r="I4580" s="3">
        <v>0</v>
      </c>
      <c r="J4580" s="3">
        <v>0</v>
      </c>
      <c r="K4580" s="3">
        <v>0</v>
      </c>
      <c r="M4580" s="3">
        <v>0</v>
      </c>
      <c r="N4580" s="3">
        <v>100</v>
      </c>
      <c r="O4580" s="3">
        <v>15.789473684210529</v>
      </c>
    </row>
    <row r="4581" spans="1:15" hidden="1" x14ac:dyDescent="0.25">
      <c r="A4581" s="11">
        <v>46143</v>
      </c>
      <c r="B4581" t="s">
        <v>43</v>
      </c>
      <c r="C4581" t="s">
        <v>32</v>
      </c>
      <c r="D4581" s="3">
        <v>0</v>
      </c>
      <c r="E4581" s="3">
        <v>0</v>
      </c>
      <c r="F4581" s="3">
        <v>0</v>
      </c>
      <c r="G4581" s="3">
        <v>0</v>
      </c>
      <c r="H4581" s="3">
        <v>0</v>
      </c>
      <c r="I4581" s="3">
        <v>0</v>
      </c>
      <c r="J4581" s="3">
        <v>0</v>
      </c>
      <c r="K4581" s="3">
        <v>0</v>
      </c>
      <c r="M4581" s="3">
        <v>0</v>
      </c>
      <c r="N4581" s="3">
        <v>98.39</v>
      </c>
      <c r="O4581" s="3">
        <v>8.7999999999999989</v>
      </c>
    </row>
    <row r="4582" spans="1:15" hidden="1" x14ac:dyDescent="0.25">
      <c r="A4582" s="11">
        <v>46143</v>
      </c>
      <c r="B4582" t="s">
        <v>44</v>
      </c>
      <c r="C4582" t="s">
        <v>32</v>
      </c>
      <c r="D4582" s="3">
        <v>0</v>
      </c>
      <c r="E4582" s="3">
        <v>0</v>
      </c>
      <c r="F4582" s="3">
        <v>0</v>
      </c>
      <c r="G4582" s="3">
        <v>0</v>
      </c>
      <c r="H4582" s="3">
        <v>0</v>
      </c>
      <c r="I4582" s="3">
        <v>0</v>
      </c>
      <c r="J4582" s="3">
        <v>0</v>
      </c>
      <c r="K4582" s="3">
        <v>0</v>
      </c>
      <c r="M4582" s="3">
        <v>0</v>
      </c>
      <c r="N4582" s="3">
        <v>96.38</v>
      </c>
      <c r="O4582" s="3">
        <v>23.198198198198199</v>
      </c>
    </row>
    <row r="4583" spans="1:15" hidden="1" x14ac:dyDescent="0.25">
      <c r="A4583" s="11">
        <v>46143</v>
      </c>
      <c r="B4583" t="s">
        <v>45</v>
      </c>
      <c r="C4583" t="s">
        <v>32</v>
      </c>
      <c r="D4583" s="3">
        <v>0</v>
      </c>
      <c r="E4583" s="3">
        <v>0</v>
      </c>
      <c r="F4583" s="3">
        <v>0</v>
      </c>
      <c r="G4583" s="3">
        <v>0</v>
      </c>
      <c r="H4583" s="3">
        <v>0</v>
      </c>
      <c r="I4583" s="3">
        <v>0</v>
      </c>
      <c r="J4583" s="3">
        <v>0</v>
      </c>
      <c r="K4583" s="3">
        <v>0</v>
      </c>
      <c r="M4583" s="3">
        <v>0</v>
      </c>
      <c r="N4583" s="3">
        <v>99.39</v>
      </c>
      <c r="O4583" s="3">
        <v>25.203252032520329</v>
      </c>
    </row>
    <row r="4584" spans="1:15" hidden="1" x14ac:dyDescent="0.25">
      <c r="A4584" s="11">
        <v>46143</v>
      </c>
      <c r="B4584" t="s">
        <v>46</v>
      </c>
      <c r="C4584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v>0</v>
      </c>
      <c r="J4584" s="3">
        <v>0</v>
      </c>
      <c r="K4584" s="3">
        <v>0</v>
      </c>
      <c r="M4584" s="3">
        <v>0</v>
      </c>
      <c r="N4584" s="3">
        <v>97</v>
      </c>
      <c r="O4584" s="3">
        <v>20.325203252032519</v>
      </c>
    </row>
    <row r="4585" spans="1:15" x14ac:dyDescent="0.25">
      <c r="A4585" s="13">
        <v>46168</v>
      </c>
      <c r="B4585" t="s">
        <v>47</v>
      </c>
      <c r="C4585" t="s">
        <v>48</v>
      </c>
      <c r="D4585" s="3">
        <v>28</v>
      </c>
      <c r="E4585" s="3">
        <v>21</v>
      </c>
      <c r="F4585" s="3">
        <v>15.57</v>
      </c>
      <c r="G4585" s="3">
        <v>2</v>
      </c>
      <c r="H4585" s="3">
        <v>0</v>
      </c>
      <c r="I4585" s="3">
        <f>E4585+G4585+H4585</f>
        <v>23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22</v>
      </c>
      <c r="K4585" s="3">
        <f>I4585-J4585</f>
        <v>1</v>
      </c>
      <c r="L4585" s="3" t="str">
        <f>IF(K4585&lt;-5,"CRÍTICO",IF(K4585&lt;0,"ATENÇÃO",IF(K4585&lt;=5,"OPORTUNO","MUITO BOM")))</f>
        <v>OPORTUNO</v>
      </c>
      <c r="M4585" s="3">
        <v>17</v>
      </c>
      <c r="N4585" s="3">
        <v>99.18</v>
      </c>
      <c r="O4585" s="3">
        <v>25.641025641025639</v>
      </c>
    </row>
    <row r="4586" spans="1:15" hidden="1" x14ac:dyDescent="0.25">
      <c r="A4586" s="11">
        <v>46143</v>
      </c>
      <c r="B4586" t="s">
        <v>49</v>
      </c>
      <c r="C4586" t="s">
        <v>48</v>
      </c>
      <c r="D4586" s="3">
        <v>0</v>
      </c>
      <c r="E4586" s="3">
        <v>0</v>
      </c>
      <c r="F4586" s="3">
        <v>0</v>
      </c>
      <c r="G4586" s="3">
        <v>0</v>
      </c>
      <c r="H4586" s="3">
        <v>0</v>
      </c>
      <c r="I4586" s="3">
        <v>0</v>
      </c>
      <c r="J4586" s="3">
        <v>0</v>
      </c>
      <c r="K4586" s="3">
        <v>0</v>
      </c>
      <c r="M4586" s="3">
        <v>0</v>
      </c>
      <c r="N4586" s="3">
        <v>99.35</v>
      </c>
      <c r="O4586" s="3">
        <v>19.852941176470591</v>
      </c>
    </row>
    <row r="4587" spans="1:15" hidden="1" x14ac:dyDescent="0.25">
      <c r="A4587" s="11">
        <v>46143</v>
      </c>
      <c r="B4587" t="s">
        <v>50</v>
      </c>
      <c r="C4587" t="s">
        <v>48</v>
      </c>
      <c r="D4587" s="3">
        <v>0</v>
      </c>
      <c r="E4587" s="3">
        <v>0</v>
      </c>
      <c r="F4587" s="3">
        <v>0</v>
      </c>
      <c r="G4587" s="3">
        <v>0</v>
      </c>
      <c r="H4587" s="3">
        <v>0</v>
      </c>
      <c r="I4587" s="3">
        <v>0</v>
      </c>
      <c r="J4587" s="3">
        <v>0</v>
      </c>
      <c r="K4587" s="3">
        <v>0</v>
      </c>
      <c r="M4587" s="3">
        <v>0</v>
      </c>
      <c r="N4587" s="3">
        <v>99.07</v>
      </c>
      <c r="O4587" s="3">
        <v>20.098039215686271</v>
      </c>
    </row>
    <row r="4588" spans="1:15" hidden="1" x14ac:dyDescent="0.25">
      <c r="A4588" s="11">
        <v>46143</v>
      </c>
      <c r="B4588" t="s">
        <v>51</v>
      </c>
      <c r="C4588" t="s">
        <v>48</v>
      </c>
      <c r="D4588" s="3">
        <v>0</v>
      </c>
      <c r="E4588" s="3">
        <v>0</v>
      </c>
      <c r="F4588" s="3">
        <v>0</v>
      </c>
      <c r="G4588" s="3">
        <v>0</v>
      </c>
      <c r="H4588" s="3">
        <v>0</v>
      </c>
      <c r="I4588" s="3">
        <v>0</v>
      </c>
      <c r="J4588" s="3">
        <v>0</v>
      </c>
      <c r="K4588" s="3">
        <v>0</v>
      </c>
      <c r="M4588" s="3">
        <v>0</v>
      </c>
      <c r="N4588" s="3">
        <v>98.81</v>
      </c>
      <c r="O4588" s="3">
        <v>22.767857142857139</v>
      </c>
    </row>
    <row r="4589" spans="1:15" hidden="1" x14ac:dyDescent="0.25">
      <c r="A4589" s="11">
        <v>46143</v>
      </c>
      <c r="B4589" t="s">
        <v>52</v>
      </c>
      <c r="C4589" t="s">
        <v>48</v>
      </c>
      <c r="D4589" s="3">
        <v>0</v>
      </c>
      <c r="E4589" s="3">
        <v>0</v>
      </c>
      <c r="F4589" s="3">
        <v>0</v>
      </c>
      <c r="G4589" s="3">
        <v>0</v>
      </c>
      <c r="H4589" s="3">
        <v>0</v>
      </c>
      <c r="I4589" s="3">
        <v>0</v>
      </c>
      <c r="J4589" s="3">
        <v>0</v>
      </c>
      <c r="K4589" s="3">
        <v>0</v>
      </c>
      <c r="M4589" s="3">
        <v>0</v>
      </c>
      <c r="N4589" s="3">
        <v>99.01</v>
      </c>
      <c r="O4589" s="3">
        <v>17.766497461928939</v>
      </c>
    </row>
    <row r="4590" spans="1:15" hidden="1" x14ac:dyDescent="0.25">
      <c r="A4590" s="11">
        <v>46143</v>
      </c>
      <c r="B4590" t="s">
        <v>53</v>
      </c>
      <c r="C4590" t="s">
        <v>48</v>
      </c>
      <c r="D4590" s="3">
        <v>0</v>
      </c>
      <c r="E4590" s="3">
        <v>0</v>
      </c>
      <c r="F4590" s="3">
        <v>0</v>
      </c>
      <c r="G4590" s="3">
        <v>0</v>
      </c>
      <c r="H4590" s="3">
        <v>0</v>
      </c>
      <c r="I4590" s="3">
        <v>0</v>
      </c>
      <c r="J4590" s="3">
        <v>0</v>
      </c>
      <c r="K4590" s="3">
        <v>0</v>
      </c>
      <c r="M4590" s="3">
        <v>0</v>
      </c>
      <c r="N4590" s="3">
        <v>100</v>
      </c>
      <c r="O4590" s="3">
        <v>17.241379310344829</v>
      </c>
    </row>
    <row r="4591" spans="1:15" hidden="1" x14ac:dyDescent="0.25">
      <c r="A4591" s="11">
        <v>46143</v>
      </c>
      <c r="B4591" t="s">
        <v>54</v>
      </c>
      <c r="C459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v>0</v>
      </c>
      <c r="J4591" s="3">
        <v>0</v>
      </c>
      <c r="K4591" s="3">
        <v>0</v>
      </c>
      <c r="M4591" s="3">
        <v>0</v>
      </c>
      <c r="N4591" s="3">
        <v>98.98</v>
      </c>
      <c r="O4591" s="3">
        <v>19.35483870967742</v>
      </c>
    </row>
    <row r="4592" spans="1:15" hidden="1" x14ac:dyDescent="0.25">
      <c r="A4592" s="11">
        <v>46143</v>
      </c>
      <c r="B4592" t="s">
        <v>55</v>
      </c>
      <c r="C4592" t="s">
        <v>48</v>
      </c>
      <c r="D4592" s="3">
        <v>0</v>
      </c>
      <c r="E4592" s="3">
        <v>0</v>
      </c>
      <c r="F4592" s="3">
        <v>0</v>
      </c>
      <c r="G4592" s="3">
        <v>0</v>
      </c>
      <c r="H4592" s="3">
        <v>0</v>
      </c>
      <c r="I4592" s="3">
        <v>0</v>
      </c>
      <c r="J4592" s="3">
        <v>0</v>
      </c>
      <c r="K4592" s="3">
        <v>0</v>
      </c>
      <c r="M4592" s="3">
        <v>0</v>
      </c>
      <c r="N4592" s="3">
        <v>98.94</v>
      </c>
      <c r="O4592" s="3">
        <v>21.270718232044199</v>
      </c>
    </row>
    <row r="4593" spans="1:16" hidden="1" x14ac:dyDescent="0.25">
      <c r="A4593" s="11">
        <v>46143</v>
      </c>
      <c r="B4593" t="s">
        <v>56</v>
      </c>
      <c r="C4593" t="s">
        <v>48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v>0</v>
      </c>
      <c r="J4593" s="3">
        <v>0</v>
      </c>
      <c r="K4593" s="3">
        <v>0</v>
      </c>
      <c r="M4593" s="3">
        <v>0</v>
      </c>
      <c r="N4593" s="3">
        <v>99</v>
      </c>
      <c r="O4593" s="3">
        <v>22.010869565217391</v>
      </c>
    </row>
    <row r="4594" spans="1:16" hidden="1" x14ac:dyDescent="0.25">
      <c r="A4594" s="11">
        <v>46143</v>
      </c>
      <c r="B4594" t="s">
        <v>57</v>
      </c>
      <c r="C4594" t="s">
        <v>48</v>
      </c>
      <c r="D4594" s="3">
        <v>0</v>
      </c>
      <c r="E4594" s="3">
        <v>0</v>
      </c>
      <c r="F4594" s="3">
        <v>0</v>
      </c>
      <c r="G4594" s="3">
        <v>0</v>
      </c>
      <c r="H4594" s="3">
        <v>0</v>
      </c>
      <c r="I4594" s="3">
        <v>0</v>
      </c>
      <c r="J4594" s="3">
        <v>0</v>
      </c>
      <c r="K4594" s="3">
        <v>0</v>
      </c>
      <c r="M4594" s="3">
        <v>0</v>
      </c>
      <c r="N4594" s="3">
        <v>100</v>
      </c>
      <c r="O4594" s="3">
        <v>25</v>
      </c>
    </row>
    <row r="4595" spans="1:16" hidden="1" x14ac:dyDescent="0.25">
      <c r="A4595" s="11">
        <v>46143</v>
      </c>
      <c r="B4595" t="s">
        <v>58</v>
      </c>
      <c r="C4595" t="s">
        <v>48</v>
      </c>
      <c r="D4595" s="3">
        <v>0</v>
      </c>
      <c r="E4595" s="3">
        <v>0</v>
      </c>
      <c r="F4595" s="3">
        <v>0</v>
      </c>
      <c r="G4595" s="3">
        <v>0</v>
      </c>
      <c r="H4595" s="3">
        <v>0</v>
      </c>
      <c r="I4595" s="3">
        <v>0</v>
      </c>
      <c r="J4595" s="3">
        <v>0</v>
      </c>
      <c r="K4595" s="3">
        <v>0</v>
      </c>
      <c r="M4595" s="3">
        <v>0</v>
      </c>
      <c r="N4595" s="3">
        <v>100</v>
      </c>
      <c r="O4595" s="3">
        <v>20.183486238532112</v>
      </c>
    </row>
    <row r="4596" spans="1:16" hidden="1" x14ac:dyDescent="0.25">
      <c r="A4596" s="11">
        <v>46143</v>
      </c>
      <c r="B4596" t="s">
        <v>22</v>
      </c>
      <c r="C4596" t="s">
        <v>23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v>0</v>
      </c>
      <c r="J4596" s="3">
        <v>0</v>
      </c>
      <c r="K4596" s="3">
        <v>0</v>
      </c>
      <c r="M4596" s="3">
        <v>0</v>
      </c>
      <c r="N4596" s="3">
        <v>99.06</v>
      </c>
      <c r="O4596" s="3">
        <v>19.417475728155338</v>
      </c>
    </row>
    <row r="4597" spans="1:16" hidden="1" x14ac:dyDescent="0.25">
      <c r="A4597" s="11">
        <v>46143</v>
      </c>
      <c r="B4597" t="s">
        <v>59</v>
      </c>
      <c r="C4597" t="s">
        <v>23</v>
      </c>
      <c r="D4597" s="3">
        <v>0</v>
      </c>
      <c r="E4597" s="3">
        <v>0</v>
      </c>
      <c r="F4597" s="3">
        <v>0</v>
      </c>
      <c r="G4597" s="3">
        <v>0</v>
      </c>
      <c r="H4597" s="3">
        <v>0</v>
      </c>
      <c r="I4597" s="3">
        <v>0</v>
      </c>
      <c r="J4597" s="3">
        <v>0</v>
      </c>
      <c r="K4597" s="3">
        <v>0</v>
      </c>
      <c r="M4597" s="3">
        <v>0</v>
      </c>
      <c r="N4597" s="3">
        <v>96.25</v>
      </c>
      <c r="O4597" s="3">
        <v>25.586353944562902</v>
      </c>
    </row>
    <row r="4598" spans="1:16" hidden="1" x14ac:dyDescent="0.25">
      <c r="A4598" s="11">
        <v>46143</v>
      </c>
      <c r="B4598" t="s">
        <v>60</v>
      </c>
      <c r="C4598" t="s">
        <v>23</v>
      </c>
      <c r="D4598" s="3">
        <v>0</v>
      </c>
      <c r="E4598" s="3">
        <v>0</v>
      </c>
      <c r="F4598" s="3">
        <v>0</v>
      </c>
      <c r="G4598" s="3">
        <v>0</v>
      </c>
      <c r="H4598" s="3">
        <v>0</v>
      </c>
      <c r="I4598" s="3">
        <v>0</v>
      </c>
      <c r="J4598" s="3">
        <v>0</v>
      </c>
      <c r="K4598" s="3">
        <v>0</v>
      </c>
      <c r="M4598" s="3">
        <v>0</v>
      </c>
      <c r="N4598" s="3">
        <v>97.48</v>
      </c>
      <c r="O4598" s="3">
        <v>22.99465240641711</v>
      </c>
    </row>
    <row r="4599" spans="1:16" hidden="1" x14ac:dyDescent="0.25">
      <c r="A4599" s="11">
        <v>46143</v>
      </c>
      <c r="B4599" t="s">
        <v>61</v>
      </c>
      <c r="C4599" t="s">
        <v>23</v>
      </c>
      <c r="D4599" s="3">
        <v>0</v>
      </c>
      <c r="E4599" s="3">
        <v>0</v>
      </c>
      <c r="F4599" s="3">
        <v>0</v>
      </c>
      <c r="G4599" s="3">
        <v>0</v>
      </c>
      <c r="H4599" s="3">
        <v>0</v>
      </c>
      <c r="I4599" s="3">
        <v>0</v>
      </c>
      <c r="J4599" s="3">
        <v>0</v>
      </c>
      <c r="K4599" s="3">
        <v>0</v>
      </c>
      <c r="M4599" s="3">
        <v>0</v>
      </c>
      <c r="N4599" s="3">
        <v>100</v>
      </c>
      <c r="O4599" s="3">
        <v>20.788530465949819</v>
      </c>
    </row>
    <row r="4600" spans="1:16" hidden="1" x14ac:dyDescent="0.25">
      <c r="A4600" s="11">
        <v>46143</v>
      </c>
      <c r="B4600" t="s">
        <v>62</v>
      </c>
      <c r="C4600" t="s">
        <v>23</v>
      </c>
      <c r="D4600" s="3">
        <v>0</v>
      </c>
      <c r="E4600" s="3">
        <v>0</v>
      </c>
      <c r="F4600" s="3">
        <v>0</v>
      </c>
      <c r="G4600" s="3">
        <v>0</v>
      </c>
      <c r="H4600" s="3">
        <v>0</v>
      </c>
      <c r="I4600" s="3">
        <v>0</v>
      </c>
      <c r="J4600" s="3">
        <v>0</v>
      </c>
      <c r="K4600" s="3">
        <v>0</v>
      </c>
      <c r="M4600" s="3">
        <v>0</v>
      </c>
      <c r="N4600" s="3">
        <v>94.55</v>
      </c>
      <c r="O4600" s="3">
        <v>23.450134770889491</v>
      </c>
    </row>
    <row r="4601" spans="1:16" hidden="1" x14ac:dyDescent="0.25">
      <c r="A4601" s="11">
        <v>46143</v>
      </c>
      <c r="B4601" t="s">
        <v>63</v>
      </c>
      <c r="C4601" t="s">
        <v>23</v>
      </c>
      <c r="D4601" s="3">
        <v>0</v>
      </c>
      <c r="E4601" s="3">
        <v>0</v>
      </c>
      <c r="F4601" s="3">
        <v>0</v>
      </c>
      <c r="G4601" s="3">
        <v>0</v>
      </c>
      <c r="H4601" s="3">
        <v>0</v>
      </c>
      <c r="I4601" s="3">
        <v>0</v>
      </c>
      <c r="J4601" s="3">
        <v>0</v>
      </c>
      <c r="K4601" s="3">
        <v>0</v>
      </c>
      <c r="M4601" s="3">
        <v>0</v>
      </c>
      <c r="N4601" s="3">
        <v>98</v>
      </c>
      <c r="O4601" s="3">
        <v>20.73490813648294</v>
      </c>
    </row>
    <row r="4602" spans="1:16" hidden="1" x14ac:dyDescent="0.25">
      <c r="A4602" s="11">
        <v>46143</v>
      </c>
      <c r="B4602" t="s">
        <v>64</v>
      </c>
      <c r="C4602" t="s">
        <v>23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v>0</v>
      </c>
      <c r="J4602" s="3">
        <v>0</v>
      </c>
      <c r="K4602" s="3">
        <v>0</v>
      </c>
      <c r="M4602" s="3">
        <v>0</v>
      </c>
      <c r="N4602" s="3">
        <v>100</v>
      </c>
      <c r="O4602" s="3">
        <v>18</v>
      </c>
    </row>
    <row r="4603" spans="1:16" hidden="1" x14ac:dyDescent="0.25">
      <c r="A4603" s="11">
        <v>46169</v>
      </c>
      <c r="B4603" t="s">
        <v>17</v>
      </c>
      <c r="C4603" t="s">
        <v>16</v>
      </c>
      <c r="D4603">
        <v>8</v>
      </c>
      <c r="E4603">
        <v>8</v>
      </c>
      <c r="F4603">
        <v>23.25</v>
      </c>
      <c r="G4603" s="12"/>
      <c r="H4603" s="12"/>
      <c r="I4603" s="12"/>
      <c r="J4603" s="12"/>
      <c r="K4603" s="12"/>
      <c r="L4603" s="12"/>
      <c r="M4603" s="12"/>
      <c r="N4603" s="12"/>
      <c r="O4603" s="12"/>
      <c r="P4603"/>
    </row>
    <row r="4604" spans="1:16" hidden="1" x14ac:dyDescent="0.25">
      <c r="A4604" s="11">
        <v>46169</v>
      </c>
      <c r="B4604" t="s">
        <v>18</v>
      </c>
      <c r="C4604" t="s">
        <v>16</v>
      </c>
      <c r="D4604">
        <v>5</v>
      </c>
      <c r="E4604">
        <v>5</v>
      </c>
      <c r="F4604">
        <v>57</v>
      </c>
      <c r="G4604" s="12"/>
      <c r="H4604" s="12"/>
      <c r="I4604" s="12"/>
      <c r="J4604" s="12"/>
      <c r="K4604" s="12"/>
      <c r="L4604" s="12"/>
      <c r="M4604" s="12"/>
      <c r="N4604" s="12"/>
      <c r="O4604" s="12"/>
      <c r="P4604"/>
    </row>
    <row r="4605" spans="1:16" hidden="1" x14ac:dyDescent="0.25">
      <c r="A4605" s="11">
        <v>46169</v>
      </c>
      <c r="B4605" t="s">
        <v>19</v>
      </c>
      <c r="C4605" t="s">
        <v>16</v>
      </c>
      <c r="D4605">
        <v>23</v>
      </c>
      <c r="E4605">
        <v>22</v>
      </c>
      <c r="F4605">
        <v>18.3</v>
      </c>
      <c r="G4605" s="12"/>
      <c r="H4605" s="12"/>
      <c r="I4605" s="12"/>
      <c r="J4605" s="12"/>
      <c r="K4605" s="12"/>
      <c r="L4605" s="12"/>
      <c r="M4605" s="12"/>
      <c r="N4605" s="12"/>
      <c r="O4605" s="12"/>
      <c r="P4605"/>
    </row>
    <row r="4606" spans="1:16" hidden="1" x14ac:dyDescent="0.25">
      <c r="A4606" s="11">
        <v>46169</v>
      </c>
      <c r="B4606" t="s">
        <v>20</v>
      </c>
      <c r="C4606" t="s">
        <v>16</v>
      </c>
      <c r="D4606">
        <v>17</v>
      </c>
      <c r="E4606">
        <v>16</v>
      </c>
      <c r="F4606">
        <v>27.24</v>
      </c>
      <c r="G4606" s="12"/>
      <c r="H4606" s="12"/>
      <c r="I4606" s="12"/>
      <c r="J4606" s="12"/>
      <c r="K4606" s="12"/>
      <c r="L4606" s="12"/>
      <c r="M4606" s="12"/>
      <c r="N4606" s="12"/>
      <c r="O4606" s="12"/>
      <c r="P4606"/>
    </row>
    <row r="4607" spans="1:16" hidden="1" x14ac:dyDescent="0.25">
      <c r="A4607" s="11">
        <v>46169</v>
      </c>
      <c r="B4607" t="s">
        <v>21</v>
      </c>
      <c r="C4607" t="s">
        <v>16</v>
      </c>
      <c r="D4607">
        <v>19</v>
      </c>
      <c r="E4607">
        <v>16</v>
      </c>
      <c r="F4607">
        <v>27.02</v>
      </c>
      <c r="G4607" s="12"/>
      <c r="H4607" s="12"/>
      <c r="I4607" s="12"/>
      <c r="J4607" s="12"/>
      <c r="K4607" s="12"/>
      <c r="L4607" s="12"/>
      <c r="M4607" s="12"/>
      <c r="N4607" s="12"/>
      <c r="O4607" s="12"/>
      <c r="P4607"/>
    </row>
    <row r="4608" spans="1:16" hidden="1" x14ac:dyDescent="0.25">
      <c r="A4608" s="11">
        <v>46169</v>
      </c>
      <c r="B4608" t="s">
        <v>24</v>
      </c>
      <c r="C4608" t="s">
        <v>16</v>
      </c>
      <c r="D4608">
        <v>7</v>
      </c>
      <c r="E4608">
        <v>7</v>
      </c>
      <c r="F4608">
        <v>46.44</v>
      </c>
      <c r="G4608" s="12"/>
      <c r="H4608" s="12"/>
      <c r="I4608" s="12"/>
      <c r="J4608" s="12"/>
      <c r="K4608" s="12"/>
      <c r="L4608" s="12"/>
      <c r="M4608" s="12"/>
      <c r="N4608" s="12"/>
      <c r="O4608" s="12"/>
      <c r="P4608"/>
    </row>
    <row r="4609" spans="1:16" hidden="1" x14ac:dyDescent="0.25">
      <c r="A4609" s="11">
        <v>46169</v>
      </c>
      <c r="B4609" t="s">
        <v>15</v>
      </c>
      <c r="C4609" t="s">
        <v>26</v>
      </c>
      <c r="D4609">
        <v>40</v>
      </c>
      <c r="E4609">
        <v>38</v>
      </c>
      <c r="F4609">
        <v>12.23</v>
      </c>
      <c r="G4609" s="12"/>
      <c r="H4609" s="12"/>
      <c r="I4609" s="12"/>
      <c r="J4609" s="12"/>
      <c r="K4609" s="12"/>
      <c r="L4609" s="12"/>
      <c r="M4609" s="12"/>
      <c r="N4609" s="12"/>
      <c r="O4609" s="12"/>
      <c r="P4609"/>
    </row>
    <row r="4610" spans="1:16" hidden="1" x14ac:dyDescent="0.25">
      <c r="A4610" s="11">
        <v>46169</v>
      </c>
      <c r="B4610" t="s">
        <v>25</v>
      </c>
      <c r="C4610" t="s">
        <v>26</v>
      </c>
      <c r="D4610">
        <v>17</v>
      </c>
      <c r="E4610">
        <v>17</v>
      </c>
      <c r="F4610">
        <v>22.23</v>
      </c>
      <c r="G4610" s="12"/>
      <c r="H4610" s="12"/>
      <c r="I4610" s="12"/>
      <c r="J4610" s="12"/>
      <c r="K4610" s="12"/>
      <c r="L4610" s="12"/>
      <c r="M4610" s="12"/>
      <c r="N4610" s="12"/>
      <c r="O4610" s="12"/>
      <c r="P4610"/>
    </row>
    <row r="4611" spans="1:16" hidden="1" x14ac:dyDescent="0.25">
      <c r="A4611" s="11">
        <v>46169</v>
      </c>
      <c r="B4611" t="s">
        <v>27</v>
      </c>
      <c r="C4611" t="s">
        <v>26</v>
      </c>
      <c r="D4611">
        <v>10</v>
      </c>
      <c r="E4611">
        <v>7</v>
      </c>
      <c r="F4611">
        <v>35.46</v>
      </c>
      <c r="G4611" s="12"/>
      <c r="H4611" s="12"/>
      <c r="I4611" s="12"/>
      <c r="J4611" s="12"/>
      <c r="K4611" s="12"/>
      <c r="L4611" s="12"/>
      <c r="M4611" s="12"/>
      <c r="N4611" s="12"/>
      <c r="O4611" s="12"/>
      <c r="P4611"/>
    </row>
    <row r="4612" spans="1:16" hidden="1" x14ac:dyDescent="0.25">
      <c r="A4612" s="11">
        <v>46169</v>
      </c>
      <c r="B4612" t="s">
        <v>28</v>
      </c>
      <c r="C4612" t="s">
        <v>26</v>
      </c>
      <c r="D4612">
        <v>30</v>
      </c>
      <c r="E4612">
        <v>20</v>
      </c>
      <c r="F4612">
        <v>8.57</v>
      </c>
      <c r="G4612" s="12"/>
      <c r="H4612" s="12"/>
      <c r="I4612" s="12"/>
      <c r="J4612" s="12"/>
      <c r="K4612" s="12"/>
      <c r="L4612" s="12"/>
      <c r="M4612" s="12"/>
      <c r="N4612" s="12"/>
      <c r="O4612" s="12"/>
      <c r="P4612"/>
    </row>
    <row r="4613" spans="1:16" hidden="1" x14ac:dyDescent="0.25">
      <c r="A4613" s="11">
        <v>46169</v>
      </c>
      <c r="B4613" t="s">
        <v>29</v>
      </c>
      <c r="C4613" t="s">
        <v>26</v>
      </c>
      <c r="D4613">
        <v>14</v>
      </c>
      <c r="E4613">
        <v>14</v>
      </c>
      <c r="F4613">
        <v>23.31</v>
      </c>
      <c r="G4613" s="12"/>
      <c r="H4613" s="12"/>
      <c r="I4613" s="12"/>
      <c r="J4613" s="12"/>
      <c r="K4613" s="12"/>
      <c r="L4613" s="12"/>
      <c r="M4613" s="12"/>
      <c r="N4613" s="12"/>
      <c r="O4613" s="12"/>
      <c r="P4613"/>
    </row>
    <row r="4614" spans="1:16" hidden="1" x14ac:dyDescent="0.25">
      <c r="A4614" s="11">
        <v>46169</v>
      </c>
      <c r="B4614" t="s">
        <v>30</v>
      </c>
      <c r="C4614" t="s">
        <v>26</v>
      </c>
      <c r="D4614">
        <v>21</v>
      </c>
      <c r="E4614">
        <v>19</v>
      </c>
      <c r="F4614">
        <v>15.53</v>
      </c>
      <c r="G4614" s="12"/>
      <c r="H4614" s="12"/>
      <c r="I4614" s="12"/>
      <c r="J4614" s="12"/>
      <c r="K4614" s="12"/>
      <c r="L4614" s="12"/>
      <c r="M4614" s="12"/>
      <c r="N4614" s="12"/>
      <c r="O4614" s="12"/>
      <c r="P4614"/>
    </row>
    <row r="4615" spans="1:16" x14ac:dyDescent="0.25">
      <c r="A4615" s="13">
        <v>46169</v>
      </c>
      <c r="B4615" t="s">
        <v>47</v>
      </c>
      <c r="C4615" t="s">
        <v>48</v>
      </c>
      <c r="D4615" s="3">
        <v>35</v>
      </c>
      <c r="E4615" s="3">
        <v>28</v>
      </c>
      <c r="F4615" s="3">
        <v>7.36</v>
      </c>
      <c r="G4615" s="3">
        <v>0</v>
      </c>
      <c r="H4615" s="3">
        <v>0</v>
      </c>
      <c r="I4615" s="3">
        <f>E4615+G4615+H4615</f>
        <v>28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22</v>
      </c>
      <c r="K4615" s="3">
        <f>I4615-J4615</f>
        <v>6</v>
      </c>
      <c r="L4615" s="3" t="str">
        <f>IF(K4615&lt;-5,"CRÍTICO",IF(K4615&lt;0,"ATENÇÃO",IF(K4615&lt;=5,"OPORTUNO","MUITO BOM")))</f>
        <v>MUITO BOM</v>
      </c>
    </row>
    <row r="4616" spans="1:16" hidden="1" x14ac:dyDescent="0.25">
      <c r="A4616" s="11">
        <v>46169</v>
      </c>
      <c r="B4616" t="s">
        <v>31</v>
      </c>
      <c r="C4616" t="s">
        <v>32</v>
      </c>
      <c r="D4616" s="3">
        <v>0</v>
      </c>
      <c r="E4616" s="3">
        <v>0</v>
      </c>
      <c r="F4616" s="3">
        <v>0</v>
      </c>
      <c r="G4616" s="3">
        <v>0</v>
      </c>
      <c r="H4616" s="3">
        <v>0</v>
      </c>
      <c r="I4616" s="3">
        <v>0</v>
      </c>
      <c r="J4616" s="3">
        <v>0</v>
      </c>
      <c r="K4616" s="3">
        <v>0</v>
      </c>
    </row>
    <row r="4617" spans="1:16" hidden="1" x14ac:dyDescent="0.25">
      <c r="A4617" s="11">
        <v>46169</v>
      </c>
      <c r="B4617" t="s">
        <v>59</v>
      </c>
      <c r="C4617" t="s">
        <v>23</v>
      </c>
      <c r="D4617" s="3">
        <v>24</v>
      </c>
      <c r="E4617" s="3">
        <v>24</v>
      </c>
      <c r="F4617" s="3">
        <v>17.36</v>
      </c>
    </row>
    <row r="4618" spans="1:16" hidden="1" x14ac:dyDescent="0.25">
      <c r="A4618" s="11">
        <v>46169</v>
      </c>
      <c r="B4618" t="s">
        <v>33</v>
      </c>
      <c r="C4618" t="s">
        <v>32</v>
      </c>
      <c r="D4618" s="3">
        <v>34</v>
      </c>
      <c r="E4618" s="3">
        <v>33</v>
      </c>
      <c r="F4618" s="3">
        <v>12.31</v>
      </c>
    </row>
    <row r="4619" spans="1:16" hidden="1" x14ac:dyDescent="0.25">
      <c r="A4619" s="11">
        <v>46169</v>
      </c>
      <c r="B4619" t="s">
        <v>49</v>
      </c>
      <c r="C4619" t="s">
        <v>48</v>
      </c>
      <c r="D4619" s="3">
        <v>28</v>
      </c>
      <c r="E4619" s="3">
        <v>27</v>
      </c>
      <c r="F4619" s="3">
        <v>15.42</v>
      </c>
    </row>
    <row r="4620" spans="1:16" hidden="1" x14ac:dyDescent="0.25">
      <c r="A4620" s="11">
        <v>46169</v>
      </c>
      <c r="B4620" t="s">
        <v>50</v>
      </c>
      <c r="C4620" t="s">
        <v>48</v>
      </c>
      <c r="D4620" s="3">
        <v>29</v>
      </c>
      <c r="E4620" s="3">
        <v>28</v>
      </c>
      <c r="F4620" s="3">
        <v>17.260000000000002</v>
      </c>
    </row>
    <row r="4621" spans="1:16" hidden="1" x14ac:dyDescent="0.25">
      <c r="A4621" s="11">
        <v>46169</v>
      </c>
      <c r="B4621" t="s">
        <v>60</v>
      </c>
      <c r="C4621" t="s">
        <v>23</v>
      </c>
      <c r="D4621" s="3">
        <v>19</v>
      </c>
      <c r="E4621" s="3">
        <v>17</v>
      </c>
      <c r="F4621" s="3">
        <v>18.579999999999998</v>
      </c>
    </row>
    <row r="4622" spans="1:16" hidden="1" x14ac:dyDescent="0.25">
      <c r="A4622" s="11">
        <v>46169</v>
      </c>
      <c r="B4622" t="s">
        <v>34</v>
      </c>
      <c r="C4622" t="s">
        <v>32</v>
      </c>
      <c r="D4622" s="3">
        <v>31</v>
      </c>
      <c r="E4622" s="3">
        <v>23</v>
      </c>
      <c r="F4622" s="3">
        <v>10.119999999999999</v>
      </c>
    </row>
    <row r="4623" spans="1:16" hidden="1" x14ac:dyDescent="0.25">
      <c r="A4623" s="11">
        <v>46169</v>
      </c>
      <c r="B4623" t="s">
        <v>51</v>
      </c>
      <c r="C4623" t="s">
        <v>48</v>
      </c>
      <c r="D4623" s="3">
        <v>0</v>
      </c>
      <c r="E4623" s="3">
        <v>0</v>
      </c>
      <c r="F4623" s="3">
        <v>0</v>
      </c>
      <c r="G4623" s="3">
        <v>0</v>
      </c>
      <c r="H4623" s="3">
        <v>0</v>
      </c>
      <c r="I4623" s="3">
        <v>0</v>
      </c>
      <c r="J4623" s="3">
        <v>0</v>
      </c>
      <c r="K4623" s="3">
        <v>0</v>
      </c>
    </row>
    <row r="4624" spans="1:16" hidden="1" x14ac:dyDescent="0.25">
      <c r="A4624" s="11">
        <v>46169</v>
      </c>
      <c r="B4624" t="s">
        <v>61</v>
      </c>
      <c r="C4624" t="s">
        <v>23</v>
      </c>
      <c r="D4624" s="3">
        <v>27</v>
      </c>
      <c r="E4624" s="3">
        <v>25</v>
      </c>
      <c r="F4624" s="3">
        <v>12.26</v>
      </c>
    </row>
    <row r="4625" spans="1:11" hidden="1" x14ac:dyDescent="0.25">
      <c r="A4625" s="11">
        <v>46169</v>
      </c>
      <c r="B4625" t="s">
        <v>35</v>
      </c>
      <c r="C4625" t="s">
        <v>32</v>
      </c>
      <c r="D4625" s="3">
        <v>0</v>
      </c>
      <c r="E4625" s="3">
        <v>0</v>
      </c>
      <c r="F4625" s="3">
        <v>0</v>
      </c>
      <c r="G4625" s="3">
        <v>0</v>
      </c>
      <c r="H4625" s="3">
        <v>0</v>
      </c>
      <c r="I4625" s="3">
        <v>0</v>
      </c>
      <c r="J4625" s="3">
        <v>0</v>
      </c>
      <c r="K4625" s="3">
        <v>0</v>
      </c>
    </row>
    <row r="4626" spans="1:11" hidden="1" x14ac:dyDescent="0.25">
      <c r="A4626" s="11">
        <v>46169</v>
      </c>
      <c r="B4626" t="s">
        <v>52</v>
      </c>
      <c r="C4626" t="s">
        <v>48</v>
      </c>
      <c r="D4626" s="3">
        <v>32</v>
      </c>
      <c r="E4626" s="3">
        <v>31</v>
      </c>
      <c r="F4626" s="3">
        <v>17.239999999999998</v>
      </c>
    </row>
    <row r="4627" spans="1:11" hidden="1" x14ac:dyDescent="0.25">
      <c r="A4627" s="11">
        <v>46169</v>
      </c>
      <c r="B4627" t="s">
        <v>36</v>
      </c>
      <c r="C4627" t="s">
        <v>32</v>
      </c>
      <c r="D4627" s="3">
        <v>32</v>
      </c>
      <c r="E4627" s="3">
        <v>31</v>
      </c>
      <c r="F4627" s="3">
        <v>14</v>
      </c>
    </row>
    <row r="4628" spans="1:11" hidden="1" x14ac:dyDescent="0.25">
      <c r="A4628" s="11">
        <v>46169</v>
      </c>
      <c r="B4628" t="s">
        <v>53</v>
      </c>
      <c r="C4628" t="s">
        <v>48</v>
      </c>
      <c r="D4628" s="3">
        <v>0</v>
      </c>
      <c r="E4628" s="3">
        <v>0</v>
      </c>
      <c r="F4628" s="3">
        <v>0</v>
      </c>
      <c r="G4628" s="3">
        <v>0</v>
      </c>
      <c r="H4628" s="3">
        <v>0</v>
      </c>
      <c r="I4628" s="3">
        <v>0</v>
      </c>
      <c r="J4628" s="3">
        <v>0</v>
      </c>
      <c r="K4628" s="3">
        <v>0</v>
      </c>
    </row>
    <row r="4629" spans="1:11" hidden="1" x14ac:dyDescent="0.25">
      <c r="A4629" s="11">
        <v>46169</v>
      </c>
      <c r="B4629" t="s">
        <v>22</v>
      </c>
      <c r="C4629" t="s">
        <v>23</v>
      </c>
      <c r="D4629" s="3">
        <v>22</v>
      </c>
      <c r="E4629" s="3">
        <v>18</v>
      </c>
      <c r="F4629" s="3">
        <v>13.48</v>
      </c>
    </row>
    <row r="4630" spans="1:11" hidden="1" x14ac:dyDescent="0.25">
      <c r="A4630" s="11">
        <v>46169</v>
      </c>
      <c r="B4630" t="s">
        <v>54</v>
      </c>
      <c r="C4630" t="s">
        <v>48</v>
      </c>
      <c r="D4630" s="3">
        <v>20</v>
      </c>
      <c r="E4630" s="3">
        <v>19</v>
      </c>
      <c r="F4630" s="3">
        <v>23.31</v>
      </c>
    </row>
    <row r="4631" spans="1:11" hidden="1" x14ac:dyDescent="0.25">
      <c r="A4631" s="11">
        <v>46169</v>
      </c>
      <c r="B4631" t="s">
        <v>37</v>
      </c>
      <c r="C4631" t="s">
        <v>32</v>
      </c>
      <c r="D4631" s="3">
        <v>38</v>
      </c>
      <c r="E4631" s="3">
        <v>34</v>
      </c>
      <c r="F4631" s="3">
        <v>15</v>
      </c>
    </row>
    <row r="4632" spans="1:11" hidden="1" x14ac:dyDescent="0.25">
      <c r="A4632" s="11">
        <v>46169</v>
      </c>
      <c r="B4632" t="s">
        <v>38</v>
      </c>
      <c r="C4632" t="s">
        <v>32</v>
      </c>
      <c r="D4632" s="3">
        <v>20</v>
      </c>
      <c r="E4632" s="3">
        <v>15</v>
      </c>
      <c r="F4632" s="3">
        <v>10.47</v>
      </c>
    </row>
    <row r="4633" spans="1:11" hidden="1" x14ac:dyDescent="0.25">
      <c r="A4633" s="11">
        <v>46169</v>
      </c>
      <c r="B4633" t="s">
        <v>55</v>
      </c>
      <c r="C4633" t="s">
        <v>48</v>
      </c>
      <c r="D4633" s="3">
        <v>8</v>
      </c>
      <c r="E4633" s="3">
        <v>5</v>
      </c>
      <c r="F4633" s="3">
        <v>12.02</v>
      </c>
    </row>
    <row r="4634" spans="1:11" hidden="1" x14ac:dyDescent="0.25">
      <c r="A4634" s="11">
        <v>46169</v>
      </c>
      <c r="B4634" t="s">
        <v>39</v>
      </c>
      <c r="C4634" t="s">
        <v>32</v>
      </c>
      <c r="D4634" s="3">
        <v>0</v>
      </c>
      <c r="E4634" s="3">
        <v>0</v>
      </c>
      <c r="F4634" s="3">
        <v>0</v>
      </c>
      <c r="G4634" s="3">
        <v>0</v>
      </c>
      <c r="H4634" s="3">
        <v>0</v>
      </c>
      <c r="I4634" s="3">
        <v>0</v>
      </c>
      <c r="J4634" s="3">
        <v>0</v>
      </c>
      <c r="K4634" s="3">
        <v>0</v>
      </c>
    </row>
    <row r="4635" spans="1:11" hidden="1" x14ac:dyDescent="0.25">
      <c r="A4635" s="11">
        <v>46169</v>
      </c>
      <c r="B4635" t="s">
        <v>40</v>
      </c>
      <c r="C4635" t="s">
        <v>32</v>
      </c>
      <c r="D4635" s="3">
        <v>26</v>
      </c>
      <c r="E4635" s="3">
        <v>26</v>
      </c>
      <c r="F4635" s="3">
        <v>16.55</v>
      </c>
    </row>
    <row r="4636" spans="1:11" hidden="1" x14ac:dyDescent="0.25">
      <c r="A4636" s="11">
        <v>46169</v>
      </c>
      <c r="B4636" t="s">
        <v>41</v>
      </c>
      <c r="C4636" t="s">
        <v>32</v>
      </c>
      <c r="D4636" s="3">
        <v>28</v>
      </c>
      <c r="E4636" s="3">
        <v>27</v>
      </c>
      <c r="F4636" s="3">
        <v>18.32</v>
      </c>
    </row>
    <row r="4637" spans="1:11" hidden="1" x14ac:dyDescent="0.25">
      <c r="A4637" s="11">
        <v>46169</v>
      </c>
      <c r="B4637" t="s">
        <v>56</v>
      </c>
      <c r="C4637" t="s">
        <v>48</v>
      </c>
      <c r="D4637" s="3">
        <v>27</v>
      </c>
      <c r="E4637" s="3">
        <v>25</v>
      </c>
      <c r="F4637" s="3">
        <v>18.3</v>
      </c>
    </row>
    <row r="4638" spans="1:11" hidden="1" x14ac:dyDescent="0.25">
      <c r="A4638" s="11">
        <v>46169</v>
      </c>
      <c r="B4638" t="s">
        <v>57</v>
      </c>
      <c r="C4638" t="s">
        <v>48</v>
      </c>
      <c r="D4638" s="3">
        <v>26</v>
      </c>
      <c r="E4638" s="3">
        <v>23</v>
      </c>
      <c r="F4638" s="3">
        <v>15.44</v>
      </c>
    </row>
    <row r="4639" spans="1:11" hidden="1" x14ac:dyDescent="0.25">
      <c r="A4639" s="11">
        <v>46169</v>
      </c>
      <c r="B4639" t="s">
        <v>42</v>
      </c>
      <c r="C4639" t="s">
        <v>32</v>
      </c>
      <c r="D4639" s="3">
        <v>0</v>
      </c>
      <c r="E4639" s="3">
        <v>0</v>
      </c>
      <c r="F4639" s="3">
        <v>0</v>
      </c>
      <c r="G4639" s="3">
        <v>0</v>
      </c>
      <c r="H4639" s="3">
        <v>0</v>
      </c>
      <c r="I4639" s="3">
        <v>0</v>
      </c>
      <c r="J4639" s="3">
        <v>0</v>
      </c>
      <c r="K4639" s="3">
        <v>0</v>
      </c>
    </row>
    <row r="4640" spans="1:11" hidden="1" x14ac:dyDescent="0.25">
      <c r="A4640" s="11">
        <v>46169</v>
      </c>
      <c r="B4640" t="s">
        <v>62</v>
      </c>
      <c r="C4640" t="s">
        <v>23</v>
      </c>
      <c r="D4640" s="3">
        <v>20</v>
      </c>
      <c r="E4640" s="3">
        <v>18</v>
      </c>
      <c r="F4640" s="3">
        <v>19.09</v>
      </c>
    </row>
    <row r="4641" spans="1:16" hidden="1" x14ac:dyDescent="0.25">
      <c r="A4641" s="11">
        <v>46169</v>
      </c>
      <c r="B4641" t="s">
        <v>43</v>
      </c>
      <c r="C4641" t="s">
        <v>32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v>0</v>
      </c>
      <c r="J4641" s="3">
        <v>0</v>
      </c>
      <c r="K4641" s="3">
        <v>0</v>
      </c>
    </row>
    <row r="4642" spans="1:16" hidden="1" x14ac:dyDescent="0.25">
      <c r="A4642" s="11">
        <v>46169</v>
      </c>
      <c r="B4642" t="s">
        <v>44</v>
      </c>
      <c r="C4642" t="s">
        <v>32</v>
      </c>
      <c r="D4642" s="3">
        <v>36</v>
      </c>
      <c r="E4642" s="3">
        <v>29</v>
      </c>
      <c r="F4642" s="3">
        <v>10.09</v>
      </c>
    </row>
    <row r="4643" spans="1:16" hidden="1" x14ac:dyDescent="0.25">
      <c r="A4643" s="11">
        <v>46169</v>
      </c>
      <c r="B4643" t="s">
        <v>58</v>
      </c>
      <c r="C4643" t="s">
        <v>48</v>
      </c>
      <c r="D4643" s="3">
        <v>0</v>
      </c>
      <c r="E4643" s="3">
        <v>0</v>
      </c>
      <c r="F4643" s="3">
        <v>0</v>
      </c>
      <c r="G4643" s="3">
        <v>0</v>
      </c>
      <c r="H4643" s="3">
        <v>0</v>
      </c>
      <c r="I4643" s="3">
        <v>0</v>
      </c>
      <c r="J4643" s="3">
        <v>0</v>
      </c>
      <c r="K4643" s="3">
        <v>0</v>
      </c>
    </row>
    <row r="4644" spans="1:16" hidden="1" x14ac:dyDescent="0.25">
      <c r="A4644" s="11">
        <v>46169</v>
      </c>
      <c r="B4644" t="s">
        <v>63</v>
      </c>
      <c r="C4644" t="s">
        <v>23</v>
      </c>
      <c r="D4644" s="3">
        <v>31</v>
      </c>
      <c r="E4644" s="3">
        <v>27</v>
      </c>
      <c r="F4644" s="3">
        <v>15.47</v>
      </c>
    </row>
    <row r="4645" spans="1:16" hidden="1" x14ac:dyDescent="0.25">
      <c r="A4645" s="11">
        <v>46169</v>
      </c>
      <c r="B4645" t="s">
        <v>45</v>
      </c>
      <c r="C4645" t="s">
        <v>32</v>
      </c>
      <c r="D4645" s="3">
        <v>41</v>
      </c>
      <c r="E4645" s="3">
        <v>35</v>
      </c>
      <c r="F4645" s="3">
        <v>10.39</v>
      </c>
    </row>
    <row r="4646" spans="1:16" hidden="1" x14ac:dyDescent="0.25">
      <c r="A4646" s="11">
        <v>46169</v>
      </c>
      <c r="B4646" t="s">
        <v>64</v>
      </c>
      <c r="C4646" t="s">
        <v>23</v>
      </c>
      <c r="D4646" s="3">
        <v>20</v>
      </c>
      <c r="E4646" s="3">
        <v>19</v>
      </c>
      <c r="F4646" s="3">
        <v>23.5</v>
      </c>
    </row>
    <row r="4647" spans="1:16" hidden="1" x14ac:dyDescent="0.25">
      <c r="A4647" s="11">
        <v>46169</v>
      </c>
      <c r="B4647" t="s">
        <v>46</v>
      </c>
      <c r="C4647" t="s">
        <v>32</v>
      </c>
      <c r="D4647" s="3">
        <v>22</v>
      </c>
      <c r="E4647" s="3">
        <v>21</v>
      </c>
      <c r="F4647" s="3">
        <v>24.18</v>
      </c>
    </row>
    <row r="4648" spans="1:16" hidden="1" x14ac:dyDescent="0.25">
      <c r="A4648" s="11">
        <v>46170</v>
      </c>
      <c r="B4648" t="s">
        <v>17</v>
      </c>
      <c r="C4648" t="s">
        <v>16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s="12"/>
      <c r="M4648" s="12"/>
      <c r="N4648" s="12"/>
      <c r="O4648" s="12"/>
      <c r="P4648"/>
    </row>
    <row r="4649" spans="1:16" hidden="1" x14ac:dyDescent="0.25">
      <c r="A4649" s="11">
        <v>46170</v>
      </c>
      <c r="B4649" t="s">
        <v>18</v>
      </c>
      <c r="C4649" t="s">
        <v>16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  <c r="P4649"/>
    </row>
    <row r="4650" spans="1:16" hidden="1" x14ac:dyDescent="0.25">
      <c r="A4650" s="11">
        <v>46170</v>
      </c>
      <c r="B4650" t="s">
        <v>19</v>
      </c>
      <c r="C4650" t="s">
        <v>16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  <c r="P4650"/>
    </row>
    <row r="4651" spans="1:16" hidden="1" x14ac:dyDescent="0.25">
      <c r="A4651" s="11">
        <v>46170</v>
      </c>
      <c r="B4651" t="s">
        <v>20</v>
      </c>
      <c r="C4651" t="s">
        <v>16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  <c r="P4651"/>
    </row>
    <row r="4652" spans="1:16" hidden="1" x14ac:dyDescent="0.25">
      <c r="A4652" s="11">
        <v>46170</v>
      </c>
      <c r="B4652" t="s">
        <v>21</v>
      </c>
      <c r="C4652" t="s">
        <v>16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  <c r="P4652"/>
    </row>
    <row r="4653" spans="1:16" hidden="1" x14ac:dyDescent="0.25">
      <c r="A4653" s="11">
        <v>46170</v>
      </c>
      <c r="B4653" t="s">
        <v>24</v>
      </c>
      <c r="C4653" t="s">
        <v>16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  <c r="P4653"/>
    </row>
    <row r="4654" spans="1:16" hidden="1" x14ac:dyDescent="0.25">
      <c r="A4654" s="11">
        <v>46170</v>
      </c>
      <c r="B4654" t="s">
        <v>15</v>
      </c>
      <c r="C4654" t="s">
        <v>26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  <c r="P4654"/>
    </row>
    <row r="4655" spans="1:16" hidden="1" x14ac:dyDescent="0.25">
      <c r="A4655" s="11">
        <v>46170</v>
      </c>
      <c r="B4655" t="s">
        <v>25</v>
      </c>
      <c r="C4655" t="s">
        <v>26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  <c r="P4655"/>
    </row>
    <row r="4656" spans="1:16" hidden="1" x14ac:dyDescent="0.25">
      <c r="A4656" s="11">
        <v>46170</v>
      </c>
      <c r="B4656" t="s">
        <v>27</v>
      </c>
      <c r="C4656" t="s">
        <v>26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  <c r="P4656"/>
    </row>
    <row r="4657" spans="1:16" hidden="1" x14ac:dyDescent="0.25">
      <c r="A4657" s="11">
        <v>46170</v>
      </c>
      <c r="B4657" t="s">
        <v>28</v>
      </c>
      <c r="C4657" t="s">
        <v>26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  <c r="P4657"/>
    </row>
    <row r="4658" spans="1:16" hidden="1" x14ac:dyDescent="0.25">
      <c r="A4658" s="11">
        <v>46170</v>
      </c>
      <c r="B4658" t="s">
        <v>29</v>
      </c>
      <c r="C4658" t="s">
        <v>26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  <c r="P4658"/>
    </row>
    <row r="4659" spans="1:16" hidden="1" x14ac:dyDescent="0.25">
      <c r="A4659" s="11">
        <v>46170</v>
      </c>
      <c r="B4659" t="s">
        <v>30</v>
      </c>
      <c r="C4659" t="s">
        <v>26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  <c r="P4659"/>
    </row>
    <row r="4660" spans="1:16" hidden="1" x14ac:dyDescent="0.25">
      <c r="A4660" s="11">
        <v>46170</v>
      </c>
      <c r="B4660" t="s">
        <v>47</v>
      </c>
      <c r="C4660" t="s">
        <v>48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  <c r="P4660"/>
    </row>
    <row r="4661" spans="1:16" hidden="1" x14ac:dyDescent="0.25">
      <c r="A4661" s="11">
        <v>46170</v>
      </c>
      <c r="B4661" t="s">
        <v>31</v>
      </c>
      <c r="C4661" t="s">
        <v>32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s="12"/>
      <c r="M4661" s="12"/>
      <c r="N4661" s="12"/>
      <c r="O4661" s="12"/>
      <c r="P4661"/>
    </row>
    <row r="4662" spans="1:16" hidden="1" x14ac:dyDescent="0.25">
      <c r="A4662" s="11">
        <v>46170</v>
      </c>
      <c r="B4662" t="s">
        <v>59</v>
      </c>
      <c r="C4662" t="s">
        <v>23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s="12"/>
      <c r="M4662" s="12"/>
      <c r="N4662" s="12"/>
      <c r="O4662" s="12"/>
      <c r="P4662"/>
    </row>
    <row r="4663" spans="1:16" hidden="1" x14ac:dyDescent="0.25">
      <c r="A4663" s="11">
        <v>46170</v>
      </c>
      <c r="B4663" t="s">
        <v>33</v>
      </c>
      <c r="C4663" t="s">
        <v>32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s="12"/>
      <c r="M4663" s="12"/>
      <c r="N4663" s="12"/>
      <c r="O4663" s="12"/>
      <c r="P4663"/>
    </row>
    <row r="4664" spans="1:16" hidden="1" x14ac:dyDescent="0.25">
      <c r="A4664" s="11">
        <v>46170</v>
      </c>
      <c r="B4664" t="s">
        <v>49</v>
      </c>
      <c r="C4664" t="s">
        <v>48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s="12"/>
      <c r="M4664" s="12"/>
      <c r="N4664" s="12"/>
      <c r="O4664" s="12"/>
      <c r="P4664"/>
    </row>
    <row r="4665" spans="1:16" hidden="1" x14ac:dyDescent="0.25">
      <c r="A4665" s="11">
        <v>46170</v>
      </c>
      <c r="B4665" t="s">
        <v>50</v>
      </c>
      <c r="C4665" t="s">
        <v>48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s="12"/>
      <c r="M4665" s="12"/>
      <c r="N4665" s="12"/>
      <c r="O4665" s="12"/>
      <c r="P4665"/>
    </row>
    <row r="4666" spans="1:16" hidden="1" x14ac:dyDescent="0.25">
      <c r="A4666" s="11">
        <v>46170</v>
      </c>
      <c r="B4666" t="s">
        <v>60</v>
      </c>
      <c r="C4666" t="s">
        <v>23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s="12"/>
      <c r="M4666" s="12"/>
      <c r="N4666" s="12"/>
      <c r="O4666" s="12"/>
      <c r="P4666"/>
    </row>
    <row r="4667" spans="1:16" hidden="1" x14ac:dyDescent="0.25">
      <c r="A4667" s="11">
        <v>46170</v>
      </c>
      <c r="B4667" t="s">
        <v>34</v>
      </c>
      <c r="C4667" t="s">
        <v>32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s="12"/>
      <c r="M4667" s="12"/>
      <c r="N4667" s="12"/>
      <c r="O4667" s="12"/>
      <c r="P4667"/>
    </row>
    <row r="4668" spans="1:16" hidden="1" x14ac:dyDescent="0.25">
      <c r="A4668" s="11">
        <v>46170</v>
      </c>
      <c r="B4668" t="s">
        <v>51</v>
      </c>
      <c r="C4668" t="s">
        <v>48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s="12"/>
      <c r="M4668" s="12"/>
      <c r="N4668" s="12"/>
      <c r="O4668" s="12"/>
      <c r="P4668"/>
    </row>
    <row r="4669" spans="1:16" hidden="1" x14ac:dyDescent="0.25">
      <c r="A4669" s="11">
        <v>46170</v>
      </c>
      <c r="B4669" t="s">
        <v>61</v>
      </c>
      <c r="C4669" t="s">
        <v>23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s="12"/>
      <c r="M4669" s="12"/>
      <c r="N4669" s="12"/>
      <c r="O4669" s="12"/>
      <c r="P4669"/>
    </row>
    <row r="4670" spans="1:16" hidden="1" x14ac:dyDescent="0.25">
      <c r="A4670" s="11">
        <v>46170</v>
      </c>
      <c r="B4670" t="s">
        <v>35</v>
      </c>
      <c r="C4670" t="s">
        <v>32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s="12"/>
      <c r="M4670" s="12"/>
      <c r="N4670" s="12"/>
      <c r="O4670" s="12"/>
      <c r="P4670"/>
    </row>
    <row r="4671" spans="1:16" hidden="1" x14ac:dyDescent="0.25">
      <c r="A4671" s="11">
        <v>46170</v>
      </c>
      <c r="B4671" t="s">
        <v>52</v>
      </c>
      <c r="C4671" t="s">
        <v>48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s="12"/>
      <c r="M4671" s="12"/>
      <c r="N4671" s="12"/>
      <c r="O4671" s="12"/>
      <c r="P4671"/>
    </row>
    <row r="4672" spans="1:16" hidden="1" x14ac:dyDescent="0.25">
      <c r="A4672" s="11">
        <v>46170</v>
      </c>
      <c r="B4672" t="s">
        <v>36</v>
      </c>
      <c r="C4672" t="s">
        <v>32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s="12"/>
      <c r="M4672" s="12"/>
      <c r="N4672" s="12"/>
      <c r="O4672" s="12"/>
      <c r="P4672"/>
    </row>
    <row r="4673" spans="1:16" hidden="1" x14ac:dyDescent="0.25">
      <c r="A4673" s="11">
        <v>46170</v>
      </c>
      <c r="B4673" t="s">
        <v>53</v>
      </c>
      <c r="C4673" t="s">
        <v>48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s="12"/>
      <c r="M4673" s="12"/>
      <c r="N4673" s="12"/>
      <c r="O4673" s="12"/>
      <c r="P4673"/>
    </row>
    <row r="4674" spans="1:16" hidden="1" x14ac:dyDescent="0.25">
      <c r="A4674" s="11">
        <v>46170</v>
      </c>
      <c r="B4674" t="s">
        <v>22</v>
      </c>
      <c r="C4674" t="s">
        <v>23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s="12"/>
      <c r="M4674" s="12"/>
      <c r="N4674" s="12"/>
      <c r="O4674" s="12"/>
      <c r="P4674"/>
    </row>
    <row r="4675" spans="1:16" hidden="1" x14ac:dyDescent="0.25">
      <c r="A4675" s="11">
        <v>46170</v>
      </c>
      <c r="B4675" t="s">
        <v>54</v>
      </c>
      <c r="C4675" t="s">
        <v>48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s="12"/>
      <c r="M4675" s="12"/>
      <c r="N4675" s="12"/>
      <c r="O4675" s="12"/>
      <c r="P4675"/>
    </row>
    <row r="4676" spans="1:16" hidden="1" x14ac:dyDescent="0.25">
      <c r="A4676" s="11">
        <v>46170</v>
      </c>
      <c r="B4676" t="s">
        <v>37</v>
      </c>
      <c r="C4676" t="s">
        <v>32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s="12"/>
      <c r="M4676" s="12"/>
      <c r="N4676" s="12"/>
      <c r="O4676" s="12"/>
      <c r="P4676"/>
    </row>
    <row r="4677" spans="1:16" hidden="1" x14ac:dyDescent="0.25">
      <c r="A4677" s="11">
        <v>46170</v>
      </c>
      <c r="B4677" t="s">
        <v>38</v>
      </c>
      <c r="C4677" t="s">
        <v>32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s="12"/>
      <c r="M4677" s="12"/>
      <c r="N4677" s="12"/>
      <c r="O4677" s="12"/>
      <c r="P4677"/>
    </row>
    <row r="4678" spans="1:16" hidden="1" x14ac:dyDescent="0.25">
      <c r="A4678" s="11">
        <v>46170</v>
      </c>
      <c r="B4678" t="s">
        <v>55</v>
      </c>
      <c r="C4678" t="s">
        <v>48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s="12"/>
      <c r="M4678" s="12"/>
      <c r="N4678" s="12"/>
      <c r="O4678" s="12"/>
      <c r="P4678"/>
    </row>
    <row r="4679" spans="1:16" hidden="1" x14ac:dyDescent="0.25">
      <c r="A4679" s="11">
        <v>46170</v>
      </c>
      <c r="B4679" t="s">
        <v>39</v>
      </c>
      <c r="C4679" t="s">
        <v>32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s="12"/>
      <c r="M4679" s="12"/>
      <c r="N4679" s="12"/>
      <c r="O4679" s="12"/>
      <c r="P4679"/>
    </row>
    <row r="4680" spans="1:16" hidden="1" x14ac:dyDescent="0.25">
      <c r="A4680" s="11">
        <v>46170</v>
      </c>
      <c r="B4680" t="s">
        <v>40</v>
      </c>
      <c r="C4680" t="s">
        <v>32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s="12"/>
      <c r="M4680" s="12"/>
      <c r="N4680" s="12"/>
      <c r="O4680" s="12"/>
      <c r="P4680"/>
    </row>
    <row r="4681" spans="1:16" hidden="1" x14ac:dyDescent="0.25">
      <c r="A4681" s="11">
        <v>46170</v>
      </c>
      <c r="B4681" t="s">
        <v>41</v>
      </c>
      <c r="C4681" t="s">
        <v>32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s="12"/>
      <c r="M4681" s="12"/>
      <c r="N4681" s="12"/>
      <c r="O4681" s="12"/>
      <c r="P4681"/>
    </row>
    <row r="4682" spans="1:16" hidden="1" x14ac:dyDescent="0.25">
      <c r="A4682" s="11">
        <v>46170</v>
      </c>
      <c r="B4682" t="s">
        <v>56</v>
      </c>
      <c r="C4682" t="s">
        <v>48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s="12"/>
      <c r="M4682" s="12"/>
      <c r="N4682" s="12"/>
      <c r="O4682" s="12"/>
      <c r="P4682"/>
    </row>
    <row r="4683" spans="1:16" hidden="1" x14ac:dyDescent="0.25">
      <c r="A4683" s="11">
        <v>46170</v>
      </c>
      <c r="B4683" t="s">
        <v>57</v>
      </c>
      <c r="C4683" t="s">
        <v>48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s="12"/>
      <c r="M4683" s="12"/>
      <c r="N4683" s="12"/>
      <c r="O4683" s="12"/>
      <c r="P4683"/>
    </row>
    <row r="4684" spans="1:16" hidden="1" x14ac:dyDescent="0.25">
      <c r="A4684" s="11">
        <v>46170</v>
      </c>
      <c r="B4684" t="s">
        <v>42</v>
      </c>
      <c r="C4684" t="s">
        <v>32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s="12"/>
      <c r="M4684" s="12"/>
      <c r="N4684" s="12"/>
      <c r="O4684" s="12"/>
      <c r="P4684"/>
    </row>
    <row r="4685" spans="1:16" hidden="1" x14ac:dyDescent="0.25">
      <c r="A4685" s="11">
        <v>46170</v>
      </c>
      <c r="B4685" t="s">
        <v>62</v>
      </c>
      <c r="C4685" t="s">
        <v>23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s="12"/>
      <c r="M4685" s="12"/>
      <c r="N4685" s="12"/>
      <c r="O4685" s="12"/>
      <c r="P4685"/>
    </row>
    <row r="4686" spans="1:16" hidden="1" x14ac:dyDescent="0.25">
      <c r="A4686" s="11">
        <v>46170</v>
      </c>
      <c r="B4686" t="s">
        <v>43</v>
      </c>
      <c r="C4686" t="s">
        <v>32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s="12"/>
      <c r="M4686" s="12"/>
      <c r="N4686" s="12"/>
      <c r="O4686" s="12"/>
      <c r="P4686"/>
    </row>
    <row r="4687" spans="1:16" hidden="1" x14ac:dyDescent="0.25">
      <c r="A4687" s="11">
        <v>46170</v>
      </c>
      <c r="B4687" t="s">
        <v>44</v>
      </c>
      <c r="C4687" t="s">
        <v>32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s="12"/>
      <c r="M4687" s="12"/>
      <c r="N4687" s="12"/>
      <c r="O4687" s="12"/>
      <c r="P4687"/>
    </row>
    <row r="4688" spans="1:16" hidden="1" x14ac:dyDescent="0.25">
      <c r="A4688" s="11">
        <v>46170</v>
      </c>
      <c r="B4688" t="s">
        <v>58</v>
      </c>
      <c r="C4688" t="s">
        <v>48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s="12"/>
      <c r="M4688" s="12"/>
      <c r="N4688" s="12"/>
      <c r="O4688" s="12"/>
      <c r="P4688"/>
    </row>
    <row r="4689" spans="1:16" hidden="1" x14ac:dyDescent="0.25">
      <c r="A4689" s="11">
        <v>46170</v>
      </c>
      <c r="B4689" t="s">
        <v>63</v>
      </c>
      <c r="C4689" t="s">
        <v>23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s="12"/>
      <c r="M4689" s="12"/>
      <c r="N4689" s="12"/>
      <c r="O4689" s="12"/>
      <c r="P4689"/>
    </row>
    <row r="4690" spans="1:16" hidden="1" x14ac:dyDescent="0.25">
      <c r="A4690" s="11">
        <v>46170</v>
      </c>
      <c r="B4690" t="s">
        <v>45</v>
      </c>
      <c r="C4690" t="s">
        <v>32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s="12"/>
      <c r="M4690" s="12"/>
      <c r="N4690" s="12"/>
      <c r="O4690" s="12"/>
      <c r="P4690"/>
    </row>
    <row r="4691" spans="1:16" hidden="1" x14ac:dyDescent="0.25">
      <c r="A4691" s="11">
        <v>46170</v>
      </c>
      <c r="B4691" t="s">
        <v>64</v>
      </c>
      <c r="C4691" t="s">
        <v>23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s="12"/>
      <c r="M4691" s="12"/>
      <c r="N4691" s="12"/>
      <c r="O4691" s="12"/>
      <c r="P4691"/>
    </row>
    <row r="4692" spans="1:16" hidden="1" x14ac:dyDescent="0.25">
      <c r="A4692" s="11">
        <v>46170</v>
      </c>
      <c r="B4692" t="s">
        <v>46</v>
      </c>
      <c r="C4692" t="s">
        <v>32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s="12"/>
      <c r="M4692" s="12"/>
      <c r="N4692" s="12"/>
      <c r="O4692" s="12"/>
      <c r="P4692"/>
    </row>
  </sheetData>
  <autoFilter ref="A1:O4692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1">
      <filters>
        <filter val="Alisson de Freitas Silva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544:O4615">
      <sortCondition ref="A1:A4692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2026-05-28T14:43:58Z</dcterms:modified>
</cp:coreProperties>
</file>
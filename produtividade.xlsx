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6F8F87A6-8FAC-4C6C-B773-2A5D2DC5EEAB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14" i="1" l="1"/>
  <c r="I4514" i="1"/>
  <c r="K4514" i="1" s="1"/>
  <c r="L4514" i="1" s="1"/>
  <c r="J4513" i="1"/>
  <c r="I4513" i="1"/>
  <c r="K4513" i="1" s="1"/>
  <c r="L4513" i="1" s="1"/>
  <c r="J4512" i="1"/>
  <c r="I4512" i="1"/>
  <c r="K4512" i="1" s="1"/>
  <c r="L4512" i="1" s="1"/>
  <c r="J4511" i="1"/>
  <c r="I4511" i="1"/>
  <c r="K4511" i="1" s="1"/>
  <c r="L4511" i="1" s="1"/>
  <c r="J4510" i="1"/>
  <c r="I4510" i="1"/>
  <c r="K4510" i="1" s="1"/>
  <c r="L4510" i="1" s="1"/>
  <c r="J4509" i="1"/>
  <c r="I4509" i="1"/>
  <c r="K4509" i="1" s="1"/>
  <c r="L4509" i="1" s="1"/>
  <c r="J4507" i="1"/>
  <c r="I4507" i="1"/>
  <c r="K4507" i="1" s="1"/>
  <c r="L4507" i="1" s="1"/>
  <c r="J4506" i="1"/>
  <c r="I4506" i="1"/>
  <c r="K4506" i="1" s="1"/>
  <c r="L4506" i="1" s="1"/>
  <c r="L4505" i="1"/>
  <c r="J4504" i="1"/>
  <c r="I4504" i="1"/>
  <c r="K4504" i="1" s="1"/>
  <c r="L4504" i="1" s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499" i="1"/>
  <c r="I4499" i="1"/>
  <c r="K4499" i="1" s="1"/>
  <c r="L4499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2" i="1"/>
  <c r="I4492" i="1"/>
  <c r="K4492" i="1" s="1"/>
  <c r="L4492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L4479" i="1"/>
  <c r="J4478" i="1"/>
  <c r="I4478" i="1"/>
  <c r="K4478" i="1" s="1"/>
  <c r="L4478" i="1" s="1"/>
  <c r="J4477" i="1"/>
  <c r="I4477" i="1"/>
  <c r="K4477" i="1" s="1"/>
  <c r="L4477" i="1" s="1"/>
  <c r="L4476" i="1"/>
  <c r="J4475" i="1"/>
  <c r="I4475" i="1"/>
  <c r="K4475" i="1" s="1"/>
  <c r="L4475" i="1" s="1"/>
  <c r="J4473" i="1"/>
  <c r="I4473" i="1"/>
  <c r="K4473" i="1" s="1"/>
  <c r="L4473" i="1" s="1"/>
  <c r="J4472" i="1"/>
  <c r="I4472" i="1"/>
  <c r="K4472" i="1" s="1"/>
  <c r="L4472" i="1" s="1"/>
  <c r="L4471" i="1"/>
  <c r="L4470" i="1"/>
  <c r="L4469" i="1"/>
  <c r="L4468" i="1"/>
  <c r="L4467" i="1"/>
  <c r="L4466" i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L4405" i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L4370" i="1"/>
  <c r="L4369" i="1"/>
  <c r="L4367" i="1"/>
  <c r="L4366" i="1"/>
  <c r="L4365" i="1"/>
  <c r="L4364" i="1"/>
  <c r="L4363" i="1"/>
  <c r="L4362" i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L4339" i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L4312" i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J4180" i="1"/>
  <c r="I4180" i="1"/>
  <c r="K4180" i="1" s="1"/>
  <c r="L4180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4136" i="1"/>
  <c r="I4136" i="1"/>
  <c r="K4136" i="1" s="1"/>
  <c r="L4136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L4004" i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L3960" i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L3916" i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L3872" i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L3828" i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L3784" i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L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L3696" i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L3619" i="1"/>
  <c r="J3618" i="1"/>
  <c r="I3618" i="1"/>
  <c r="J3617" i="1"/>
  <c r="I3617" i="1"/>
  <c r="J3616" i="1"/>
  <c r="I3616" i="1"/>
  <c r="J3615" i="1"/>
  <c r="I3615" i="1"/>
  <c r="J3614" i="1"/>
  <c r="I3614" i="1"/>
  <c r="L3613" i="1"/>
  <c r="J3612" i="1"/>
  <c r="I3612" i="1"/>
  <c r="J3611" i="1"/>
  <c r="I3611" i="1"/>
  <c r="J3610" i="1"/>
  <c r="I3610" i="1"/>
  <c r="J3609" i="1"/>
  <c r="I3609" i="1"/>
  <c r="L3608" i="1"/>
  <c r="J3607" i="1"/>
  <c r="I3607" i="1"/>
  <c r="J3606" i="1"/>
  <c r="I3606" i="1"/>
  <c r="J3605" i="1"/>
  <c r="I3605" i="1"/>
  <c r="J3604" i="1"/>
  <c r="I3604" i="1"/>
  <c r="L3603" i="1"/>
  <c r="J3602" i="1"/>
  <c r="I3602" i="1"/>
  <c r="L3601" i="1"/>
  <c r="J3600" i="1"/>
  <c r="I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L3592" i="1"/>
  <c r="J3591" i="1"/>
  <c r="I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8" i="1"/>
  <c r="J3577" i="1"/>
  <c r="I3577" i="1"/>
  <c r="J3576" i="1"/>
  <c r="I3576" i="1"/>
  <c r="L3575" i="1"/>
  <c r="J3574" i="1"/>
  <c r="I3574" i="1"/>
  <c r="J3573" i="1"/>
  <c r="I3573" i="1"/>
  <c r="J3572" i="1"/>
  <c r="I3572" i="1"/>
  <c r="J3571" i="1"/>
  <c r="I3571" i="1"/>
  <c r="J3570" i="1"/>
  <c r="I3570" i="1"/>
  <c r="L3569" i="1"/>
  <c r="J3568" i="1"/>
  <c r="I3568" i="1"/>
  <c r="J3567" i="1"/>
  <c r="I3567" i="1"/>
  <c r="J3566" i="1"/>
  <c r="I3566" i="1"/>
  <c r="J3565" i="1"/>
  <c r="I3565" i="1"/>
  <c r="L3564" i="1"/>
  <c r="J3563" i="1"/>
  <c r="I3563" i="1"/>
  <c r="J3562" i="1"/>
  <c r="I3562" i="1"/>
  <c r="J3561" i="1"/>
  <c r="I3561" i="1"/>
  <c r="L3560" i="1"/>
  <c r="L3559" i="1"/>
  <c r="J3558" i="1"/>
  <c r="I3558" i="1"/>
  <c r="L3557" i="1"/>
  <c r="J3556" i="1"/>
  <c r="I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3520" i="1"/>
  <c r="I3520" i="1"/>
  <c r="J3519" i="1"/>
  <c r="I3519" i="1"/>
  <c r="L3518" i="1"/>
  <c r="J3517" i="1"/>
  <c r="I3517" i="1"/>
  <c r="J3516" i="1"/>
  <c r="I3516" i="1"/>
  <c r="L3515" i="1"/>
  <c r="J3514" i="1"/>
  <c r="I3514" i="1"/>
  <c r="L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J3482" i="1"/>
  <c r="I3482" i="1"/>
  <c r="L3481" i="1"/>
  <c r="L3480" i="1"/>
  <c r="J3479" i="1"/>
  <c r="I3479" i="1"/>
  <c r="J3478" i="1"/>
  <c r="I3478" i="1"/>
  <c r="J3477" i="1"/>
  <c r="I3477" i="1"/>
  <c r="L3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L3451" i="1"/>
  <c r="L3450" i="1"/>
  <c r="J3449" i="1"/>
  <c r="I3449" i="1"/>
  <c r="K3449" i="1" s="1"/>
  <c r="L3449" i="1" s="1"/>
  <c r="L3448" i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L3300" i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L2574" i="1"/>
  <c r="L2573" i="1"/>
  <c r="L2572" i="1"/>
  <c r="L2571" i="1"/>
  <c r="L2570" i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L2563" i="1"/>
  <c r="J2562" i="1"/>
  <c r="I2562" i="1"/>
  <c r="K2562" i="1" s="1"/>
  <c r="L2562" i="1" s="1"/>
  <c r="J2561" i="1"/>
  <c r="I2561" i="1"/>
  <c r="K2561" i="1" s="1"/>
  <c r="L2561" i="1" s="1"/>
  <c r="L2560" i="1"/>
  <c r="L2559" i="1"/>
  <c r="J2558" i="1"/>
  <c r="I2558" i="1"/>
  <c r="K2558" i="1" s="1"/>
  <c r="L2558" i="1" s="1"/>
  <c r="L2557" i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L2547" i="1"/>
  <c r="J2546" i="1"/>
  <c r="I2546" i="1"/>
  <c r="K2546" i="1" s="1"/>
  <c r="L2546" i="1" s="1"/>
  <c r="L2545" i="1"/>
  <c r="J2544" i="1"/>
  <c r="I2544" i="1"/>
  <c r="K2544" i="1" s="1"/>
  <c r="L2544" i="1" s="1"/>
  <c r="J2543" i="1"/>
  <c r="I2543" i="1"/>
  <c r="K2543" i="1" s="1"/>
  <c r="L2543" i="1" s="1"/>
  <c r="L2542" i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L2536" i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L2530" i="1"/>
  <c r="L2529" i="1"/>
  <c r="L2528" i="1"/>
  <c r="L2527" i="1"/>
  <c r="L2526" i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L2519" i="1"/>
  <c r="J2518" i="1"/>
  <c r="I2518" i="1"/>
  <c r="K2518" i="1" s="1"/>
  <c r="L2518" i="1" s="1"/>
  <c r="J2517" i="1"/>
  <c r="I2517" i="1"/>
  <c r="K2517" i="1" s="1"/>
  <c r="L2517" i="1" s="1"/>
  <c r="L2516" i="1"/>
  <c r="L2515" i="1"/>
  <c r="J2514" i="1"/>
  <c r="I2514" i="1"/>
  <c r="K2514" i="1" s="1"/>
  <c r="L2514" i="1" s="1"/>
  <c r="L2513" i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8" i="1"/>
  <c r="I2508" i="1"/>
  <c r="K2508" i="1" s="1"/>
  <c r="L2508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L2503" i="1"/>
  <c r="J2502" i="1"/>
  <c r="I2502" i="1"/>
  <c r="K2502" i="1" s="1"/>
  <c r="L2502" i="1" s="1"/>
  <c r="L2501" i="1"/>
  <c r="J2500" i="1"/>
  <c r="I2500" i="1"/>
  <c r="K2500" i="1" s="1"/>
  <c r="L2500" i="1" s="1"/>
  <c r="J2499" i="1"/>
  <c r="I2499" i="1"/>
  <c r="K2499" i="1" s="1"/>
  <c r="L2499" i="1" s="1"/>
  <c r="L2498" i="1"/>
  <c r="J2497" i="1"/>
  <c r="I2497" i="1"/>
  <c r="K2497" i="1" s="1"/>
  <c r="L2497" i="1" s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L2492" i="1"/>
  <c r="J2491" i="1"/>
  <c r="I2491" i="1"/>
  <c r="K2491" i="1" s="1"/>
  <c r="L2491" i="1" s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L2486" i="1"/>
  <c r="L2485" i="1"/>
  <c r="L2484" i="1"/>
  <c r="L2483" i="1"/>
  <c r="L2482" i="1"/>
  <c r="J2481" i="1"/>
  <c r="I2481" i="1"/>
  <c r="K2481" i="1" s="1"/>
  <c r="L2481" i="1" s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L2475" i="1"/>
  <c r="J2474" i="1"/>
  <c r="I2474" i="1"/>
  <c r="K2474" i="1" s="1"/>
  <c r="L2474" i="1" s="1"/>
  <c r="J2473" i="1"/>
  <c r="I2473" i="1"/>
  <c r="K2473" i="1" s="1"/>
  <c r="L2473" i="1" s="1"/>
  <c r="L2472" i="1"/>
  <c r="L2471" i="1"/>
  <c r="J2470" i="1"/>
  <c r="I2470" i="1"/>
  <c r="K2470" i="1" s="1"/>
  <c r="L2470" i="1" s="1"/>
  <c r="L2469" i="1"/>
  <c r="L2468" i="1"/>
  <c r="J2467" i="1"/>
  <c r="I2467" i="1"/>
  <c r="K2467" i="1" s="1"/>
  <c r="L2467" i="1" s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L2459" i="1"/>
  <c r="J2458" i="1"/>
  <c r="I2458" i="1"/>
  <c r="K2458" i="1" s="1"/>
  <c r="L2458" i="1" s="1"/>
  <c r="L2457" i="1"/>
  <c r="J2456" i="1"/>
  <c r="I2456" i="1"/>
  <c r="K2456" i="1" s="1"/>
  <c r="L2456" i="1" s="1"/>
  <c r="J2455" i="1"/>
  <c r="I2455" i="1"/>
  <c r="K2455" i="1" s="1"/>
  <c r="L2455" i="1" s="1"/>
  <c r="L2454" i="1"/>
  <c r="J2453" i="1"/>
  <c r="I2453" i="1"/>
  <c r="K2453" i="1" s="1"/>
  <c r="L2453" i="1" s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L2448" i="1"/>
  <c r="J2447" i="1"/>
  <c r="I2447" i="1"/>
  <c r="K2447" i="1" s="1"/>
  <c r="L2447" i="1" s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L2443" i="1"/>
  <c r="L2442" i="1"/>
  <c r="L2441" i="1"/>
  <c r="L2440" i="1"/>
  <c r="L2439" i="1"/>
  <c r="L2438" i="1"/>
  <c r="J2437" i="1"/>
  <c r="I2437" i="1"/>
  <c r="K2437" i="1" s="1"/>
  <c r="L2437" i="1" s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L2431" i="1"/>
  <c r="J2430" i="1"/>
  <c r="I2430" i="1"/>
  <c r="K2430" i="1" s="1"/>
  <c r="L2430" i="1" s="1"/>
  <c r="J2429" i="1"/>
  <c r="I2429" i="1"/>
  <c r="K2429" i="1" s="1"/>
  <c r="L2429" i="1" s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L2384" i="1"/>
  <c r="J2383" i="1"/>
  <c r="I2383" i="1"/>
  <c r="J2382" i="1"/>
  <c r="I2382" i="1"/>
  <c r="L2381" i="1"/>
  <c r="J2380" i="1"/>
  <c r="I2380" i="1"/>
  <c r="J2379" i="1"/>
  <c r="I2379" i="1"/>
  <c r="J2378" i="1"/>
  <c r="I2378" i="1"/>
  <c r="J2377" i="1"/>
  <c r="I2377" i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L2371" i="1"/>
  <c r="J2370" i="1"/>
  <c r="I2370" i="1"/>
  <c r="K2370" i="1" s="1"/>
  <c r="L2370" i="1" s="1"/>
  <c r="L2369" i="1"/>
  <c r="L2368" i="1"/>
  <c r="L2367" i="1"/>
  <c r="L2366" i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L2360" i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L2344" i="1"/>
  <c r="L2343" i="1"/>
  <c r="J2342" i="1"/>
  <c r="I2342" i="1"/>
  <c r="K2342" i="1" s="1"/>
  <c r="L2342" i="1" s="1"/>
  <c r="J2341" i="1"/>
  <c r="I2341" i="1"/>
  <c r="K2341" i="1" s="1"/>
  <c r="L2341" i="1" s="1"/>
  <c r="L2340" i="1"/>
  <c r="J2339" i="1"/>
  <c r="I2339" i="1"/>
  <c r="K2339" i="1" s="1"/>
  <c r="L2339" i="1" s="1"/>
  <c r="J2338" i="1"/>
  <c r="I2338" i="1"/>
  <c r="K2338" i="1" s="1"/>
  <c r="L2338" i="1" s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L1392" i="1"/>
  <c r="J1391" i="1"/>
  <c r="I1391" i="1"/>
  <c r="J1390" i="1"/>
  <c r="I1390" i="1"/>
  <c r="J1389" i="1"/>
  <c r="I1389" i="1"/>
  <c r="J1388" i="1"/>
  <c r="I1388" i="1"/>
  <c r="L1387" i="1"/>
  <c r="L1386" i="1"/>
  <c r="L1385" i="1"/>
  <c r="L1384" i="1"/>
  <c r="J1383" i="1"/>
  <c r="I1383" i="1"/>
  <c r="L1382" i="1"/>
  <c r="J1381" i="1"/>
  <c r="I1381" i="1"/>
  <c r="J1380" i="1"/>
  <c r="I1380" i="1"/>
  <c r="J1379" i="1"/>
  <c r="I1379" i="1"/>
  <c r="J1378" i="1"/>
  <c r="I1378" i="1"/>
  <c r="J1377" i="1"/>
  <c r="I1377" i="1"/>
  <c r="J1376" i="1"/>
  <c r="I1376" i="1"/>
  <c r="L1375" i="1"/>
  <c r="J1374" i="1"/>
  <c r="I1374" i="1"/>
  <c r="J1373" i="1"/>
  <c r="I1373" i="1"/>
  <c r="L1372" i="1"/>
  <c r="J1371" i="1"/>
  <c r="I1371" i="1"/>
  <c r="J1370" i="1"/>
  <c r="I1370" i="1"/>
  <c r="L1369" i="1"/>
  <c r="L1368" i="1"/>
  <c r="J1367" i="1"/>
  <c r="I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L1360" i="1"/>
  <c r="L1359" i="1"/>
  <c r="J1358" i="1"/>
  <c r="I1358" i="1"/>
  <c r="L1357" i="1"/>
  <c r="J1356" i="1"/>
  <c r="I1356" i="1"/>
  <c r="J1355" i="1"/>
  <c r="I1355" i="1"/>
  <c r="L1354" i="1"/>
  <c r="J1353" i="1"/>
  <c r="I1353" i="1"/>
  <c r="J1352" i="1"/>
  <c r="I1352" i="1"/>
  <c r="J1351" i="1"/>
  <c r="I1351" i="1"/>
  <c r="J1350" i="1"/>
  <c r="I1350" i="1"/>
  <c r="J1349" i="1"/>
  <c r="I1349" i="1"/>
  <c r="L1348" i="1"/>
  <c r="J1347" i="1"/>
  <c r="I1347" i="1"/>
  <c r="J1346" i="1"/>
  <c r="I1346" i="1"/>
  <c r="J1345" i="1"/>
  <c r="I1345" i="1"/>
  <c r="J1344" i="1"/>
  <c r="I1344" i="1"/>
  <c r="L1343" i="1"/>
  <c r="L1342" i="1"/>
  <c r="L1341" i="1"/>
  <c r="L1340" i="1"/>
  <c r="J1339" i="1"/>
  <c r="I1339" i="1"/>
  <c r="L1338" i="1"/>
  <c r="L1337" i="1"/>
  <c r="J1336" i="1"/>
  <c r="I1336" i="1"/>
  <c r="J1335" i="1"/>
  <c r="I1335" i="1"/>
  <c r="J1334" i="1"/>
  <c r="I1334" i="1"/>
  <c r="J1333" i="1"/>
  <c r="I1333" i="1"/>
  <c r="J1332" i="1"/>
  <c r="I1332" i="1"/>
  <c r="L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L1316" i="1"/>
  <c r="L1315" i="1"/>
  <c r="J1314" i="1"/>
  <c r="I1314" i="1"/>
  <c r="L1313" i="1"/>
  <c r="J1312" i="1"/>
  <c r="I1312" i="1"/>
  <c r="J1311" i="1"/>
  <c r="I1311" i="1"/>
  <c r="L1310" i="1"/>
  <c r="J1309" i="1"/>
  <c r="I1309" i="1"/>
  <c r="J1308" i="1"/>
  <c r="I1308" i="1"/>
  <c r="J1307" i="1"/>
  <c r="I1307" i="1"/>
  <c r="J1306" i="1"/>
  <c r="I1306" i="1"/>
  <c r="J1305" i="1"/>
  <c r="I1305" i="1"/>
  <c r="L1304" i="1"/>
  <c r="J1303" i="1"/>
  <c r="I1303" i="1"/>
  <c r="J1302" i="1"/>
  <c r="I1302" i="1"/>
  <c r="J1301" i="1"/>
  <c r="I1301" i="1"/>
  <c r="L1300" i="1"/>
  <c r="L1299" i="1"/>
  <c r="L1298" i="1"/>
  <c r="L1297" i="1"/>
  <c r="L1296" i="1"/>
  <c r="J1295" i="1"/>
  <c r="I1295" i="1"/>
  <c r="L1294" i="1"/>
  <c r="J1293" i="1"/>
  <c r="I1293" i="1"/>
  <c r="J1292" i="1"/>
  <c r="I1292" i="1"/>
  <c r="K1292" i="1" s="1"/>
  <c r="L1292" i="1" s="1"/>
  <c r="J1291" i="1"/>
  <c r="I1291" i="1"/>
  <c r="J1290" i="1"/>
  <c r="I1290" i="1"/>
  <c r="J1289" i="1"/>
  <c r="I1289" i="1"/>
  <c r="J1288" i="1"/>
  <c r="I1288" i="1"/>
  <c r="L1287" i="1"/>
  <c r="J1286" i="1"/>
  <c r="I1286" i="1"/>
  <c r="J1285" i="1"/>
  <c r="I1285" i="1"/>
  <c r="L1284" i="1"/>
  <c r="J1283" i="1"/>
  <c r="I1283" i="1"/>
  <c r="J1282" i="1"/>
  <c r="I1282" i="1"/>
  <c r="L1281" i="1"/>
  <c r="J1280" i="1"/>
  <c r="I1280" i="1"/>
  <c r="J1279" i="1"/>
  <c r="I1279" i="1"/>
  <c r="J1278" i="1"/>
  <c r="I1278" i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L1272" i="1"/>
  <c r="L1271" i="1"/>
  <c r="J1270" i="1"/>
  <c r="I1270" i="1"/>
  <c r="K1270" i="1" s="1"/>
  <c r="L1270" i="1" s="1"/>
  <c r="L1269" i="1"/>
  <c r="J1268" i="1"/>
  <c r="I1268" i="1"/>
  <c r="K1268" i="1" s="1"/>
  <c r="L1268" i="1" s="1"/>
  <c r="J1267" i="1"/>
  <c r="I1267" i="1"/>
  <c r="K1267" i="1" s="1"/>
  <c r="L1267" i="1" s="1"/>
  <c r="L1266" i="1"/>
  <c r="J1265" i="1"/>
  <c r="I1265" i="1"/>
  <c r="K1265" i="1" s="1"/>
  <c r="L1265" i="1" s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L1260" i="1"/>
  <c r="J1259" i="1"/>
  <c r="I1259" i="1"/>
  <c r="K1259" i="1" s="1"/>
  <c r="L1259" i="1" s="1"/>
  <c r="J1258" i="1"/>
  <c r="I1258" i="1"/>
  <c r="K1258" i="1" s="1"/>
  <c r="L1258" i="1" s="1"/>
  <c r="J1257" i="1"/>
  <c r="I1257" i="1"/>
  <c r="K1257" i="1" s="1"/>
  <c r="L1257" i="1" s="1"/>
  <c r="J1256" i="1"/>
  <c r="I1256" i="1"/>
  <c r="K1256" i="1" s="1"/>
  <c r="L1256" i="1" s="1"/>
  <c r="L1255" i="1"/>
  <c r="L1254" i="1"/>
  <c r="L1253" i="1"/>
  <c r="L1252" i="1"/>
  <c r="L1251" i="1"/>
  <c r="L1250" i="1"/>
  <c r="J1249" i="1"/>
  <c r="I1249" i="1"/>
  <c r="K1249" i="1" s="1"/>
  <c r="L1249" i="1" s="1"/>
  <c r="J1248" i="1"/>
  <c r="I1248" i="1"/>
  <c r="K1248" i="1" s="1"/>
  <c r="L1248" i="1" s="1"/>
  <c r="L1247" i="1"/>
  <c r="J1246" i="1"/>
  <c r="I1246" i="1"/>
  <c r="K1246" i="1" s="1"/>
  <c r="L1246" i="1" s="1"/>
  <c r="J1245" i="1"/>
  <c r="I1245" i="1"/>
  <c r="K1245" i="1" s="1"/>
  <c r="L1245" i="1" s="1"/>
  <c r="J1244" i="1"/>
  <c r="I1244" i="1"/>
  <c r="K1244" i="1" s="1"/>
  <c r="L1244" i="1" s="1"/>
  <c r="L1243" i="1"/>
  <c r="J1242" i="1"/>
  <c r="I1242" i="1"/>
  <c r="K1242" i="1" s="1"/>
  <c r="L1242" i="1" s="1"/>
  <c r="J1241" i="1"/>
  <c r="I1241" i="1"/>
  <c r="K1241" i="1" s="1"/>
  <c r="L1241" i="1" s="1"/>
  <c r="L1240" i="1"/>
  <c r="J1239" i="1"/>
  <c r="I1239" i="1"/>
  <c r="K1239" i="1" s="1"/>
  <c r="L1239" i="1" s="1"/>
  <c r="J1238" i="1"/>
  <c r="I1238" i="1"/>
  <c r="K1238" i="1" s="1"/>
  <c r="L1238" i="1" s="1"/>
  <c r="L1237" i="1"/>
  <c r="J1236" i="1"/>
  <c r="I1236" i="1"/>
  <c r="K1236" i="1" s="1"/>
  <c r="L1236" i="1" s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L1228" i="1"/>
  <c r="L1227" i="1"/>
  <c r="J1226" i="1"/>
  <c r="I1226" i="1"/>
  <c r="K1226" i="1" s="1"/>
  <c r="L1226" i="1" s="1"/>
  <c r="L1225" i="1"/>
  <c r="J1224" i="1"/>
  <c r="I1224" i="1"/>
  <c r="K1224" i="1" s="1"/>
  <c r="L1224" i="1" s="1"/>
  <c r="J1223" i="1"/>
  <c r="I1223" i="1"/>
  <c r="K1223" i="1" s="1"/>
  <c r="L1223" i="1" s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K1198" i="1" s="1"/>
  <c r="L1198" i="1" s="1"/>
  <c r="J1197" i="1"/>
  <c r="I1197" i="1"/>
  <c r="K1197" i="1" s="1"/>
  <c r="L1197" i="1" s="1"/>
  <c r="L1196" i="1"/>
  <c r="J1195" i="1"/>
  <c r="I1195" i="1"/>
  <c r="K1195" i="1" s="1"/>
  <c r="L1195" i="1" s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J774" i="1"/>
  <c r="I774" i="1"/>
  <c r="K774" i="1" s="1"/>
  <c r="L774" i="1" s="1"/>
  <c r="L773" i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L769" i="1"/>
  <c r="L768" i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L764" i="1"/>
  <c r="J763" i="1"/>
  <c r="I763" i="1"/>
  <c r="K763" i="1" s="1"/>
  <c r="L763" i="1" s="1"/>
  <c r="L762" i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L758" i="1"/>
  <c r="L757" i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L753" i="1"/>
  <c r="J752" i="1"/>
  <c r="I752" i="1"/>
  <c r="K752" i="1" s="1"/>
  <c r="L752" i="1" s="1"/>
  <c r="L751" i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L744" i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L740" i="1"/>
  <c r="J739" i="1"/>
  <c r="I739" i="1"/>
  <c r="K739" i="1" s="1"/>
  <c r="L739" i="1" s="1"/>
  <c r="L738" i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L733" i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L665" i="1"/>
  <c r="J664" i="1"/>
  <c r="I664" i="1"/>
  <c r="K664" i="1" s="1"/>
  <c r="L664" i="1" s="1"/>
  <c r="L663" i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L658" i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L652" i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L647" i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L643" i="1"/>
  <c r="J642" i="1"/>
  <c r="I642" i="1"/>
  <c r="K642" i="1" s="1"/>
  <c r="L642" i="1" s="1"/>
  <c r="L641" i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L634" i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L630" i="1"/>
  <c r="J629" i="1"/>
  <c r="I629" i="1"/>
  <c r="K629" i="1" s="1"/>
  <c r="L629" i="1" s="1"/>
  <c r="L628" i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L623" i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L619" i="1"/>
  <c r="J618" i="1"/>
  <c r="I618" i="1"/>
  <c r="K618" i="1" s="1"/>
  <c r="L618" i="1" s="1"/>
  <c r="L617" i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L612" i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L608" i="1"/>
  <c r="J607" i="1"/>
  <c r="I607" i="1"/>
  <c r="K607" i="1" s="1"/>
  <c r="L607" i="1" s="1"/>
  <c r="L606" i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L601" i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L597" i="1"/>
  <c r="J596" i="1"/>
  <c r="I596" i="1"/>
  <c r="K596" i="1" s="1"/>
  <c r="L596" i="1" s="1"/>
  <c r="L595" i="1"/>
  <c r="L594" i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L584" i="1"/>
  <c r="J583" i="1"/>
  <c r="I583" i="1"/>
  <c r="K583" i="1" s="1"/>
  <c r="L583" i="1" s="1"/>
  <c r="L582" i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L572" i="1"/>
  <c r="L571" i="1"/>
  <c r="L570" i="1"/>
  <c r="L569" i="1"/>
  <c r="L568" i="1"/>
  <c r="L567" i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L360" i="1"/>
  <c r="J359" i="1"/>
  <c r="I359" i="1"/>
  <c r="J358" i="1"/>
  <c r="I358" i="1"/>
  <c r="J357" i="1"/>
  <c r="I357" i="1"/>
  <c r="J356" i="1"/>
  <c r="I356" i="1"/>
  <c r="L355" i="1"/>
  <c r="J354" i="1"/>
  <c r="I354" i="1"/>
  <c r="J353" i="1"/>
  <c r="I353" i="1"/>
  <c r="L352" i="1"/>
  <c r="J351" i="1"/>
  <c r="I351" i="1"/>
  <c r="J350" i="1"/>
  <c r="I350" i="1"/>
  <c r="L349" i="1"/>
  <c r="L348" i="1"/>
  <c r="J347" i="1"/>
  <c r="I347" i="1"/>
  <c r="J346" i="1"/>
  <c r="I346" i="1"/>
  <c r="L345" i="1"/>
  <c r="J344" i="1"/>
  <c r="I344" i="1"/>
  <c r="J343" i="1"/>
  <c r="I343" i="1"/>
  <c r="J342" i="1"/>
  <c r="I342" i="1"/>
  <c r="J341" i="1"/>
  <c r="I341" i="1"/>
  <c r="L340" i="1"/>
  <c r="J339" i="1"/>
  <c r="I339" i="1"/>
  <c r="J338" i="1"/>
  <c r="I338" i="1"/>
  <c r="L337" i="1"/>
  <c r="J336" i="1"/>
  <c r="I336" i="1"/>
  <c r="J335" i="1"/>
  <c r="I335" i="1"/>
  <c r="L334" i="1"/>
  <c r="L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L324" i="1"/>
  <c r="J323" i="1"/>
  <c r="I323" i="1"/>
  <c r="J322" i="1"/>
  <c r="I322" i="1"/>
  <c r="L321" i="1"/>
  <c r="J320" i="1"/>
  <c r="I320" i="1"/>
  <c r="J319" i="1"/>
  <c r="I319" i="1"/>
  <c r="L318" i="1"/>
  <c r="L317" i="1"/>
  <c r="J316" i="1"/>
  <c r="I316" i="1"/>
  <c r="J315" i="1"/>
  <c r="I315" i="1"/>
  <c r="L314" i="1"/>
  <c r="J313" i="1"/>
  <c r="I313" i="1"/>
  <c r="J312" i="1"/>
  <c r="I312" i="1"/>
  <c r="J311" i="1"/>
  <c r="I311" i="1"/>
  <c r="J310" i="1"/>
  <c r="I310" i="1"/>
  <c r="L309" i="1"/>
  <c r="J308" i="1"/>
  <c r="I308" i="1"/>
  <c r="J307" i="1"/>
  <c r="I307" i="1"/>
  <c r="L306" i="1"/>
  <c r="J305" i="1"/>
  <c r="I305" i="1"/>
  <c r="J304" i="1"/>
  <c r="I304" i="1"/>
  <c r="L303" i="1"/>
  <c r="L302" i="1"/>
  <c r="J301" i="1"/>
  <c r="I301" i="1"/>
  <c r="J300" i="1"/>
  <c r="I300" i="1"/>
  <c r="L299" i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L291" i="1"/>
  <c r="J290" i="1"/>
  <c r="I290" i="1"/>
  <c r="J289" i="1"/>
  <c r="I289" i="1"/>
  <c r="L288" i="1"/>
  <c r="L287" i="1"/>
  <c r="J286" i="1"/>
  <c r="I286" i="1"/>
  <c r="J285" i="1"/>
  <c r="I285" i="1"/>
  <c r="L284" i="1"/>
  <c r="L283" i="1"/>
  <c r="J282" i="1"/>
  <c r="I282" i="1"/>
  <c r="J281" i="1"/>
  <c r="I281" i="1"/>
  <c r="J280" i="1"/>
  <c r="I280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L271" i="1"/>
  <c r="L270" i="1"/>
  <c r="L269" i="1"/>
  <c r="J268" i="1"/>
  <c r="I268" i="1"/>
  <c r="J267" i="1"/>
  <c r="I267" i="1"/>
  <c r="J266" i="1"/>
  <c r="I266" i="1"/>
  <c r="L264" i="1"/>
  <c r="L263" i="1"/>
  <c r="L262" i="1"/>
  <c r="L261" i="1"/>
  <c r="L260" i="1"/>
  <c r="L259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0" i="1"/>
  <c r="I250" i="1"/>
  <c r="J249" i="1"/>
  <c r="I249" i="1"/>
  <c r="J248" i="1"/>
  <c r="I248" i="1"/>
  <c r="J247" i="1"/>
  <c r="I247" i="1"/>
  <c r="L246" i="1"/>
  <c r="L245" i="1"/>
  <c r="J243" i="1"/>
  <c r="I243" i="1"/>
  <c r="L242" i="1"/>
  <c r="L241" i="1"/>
  <c r="L240" i="1"/>
  <c r="L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2" i="1"/>
  <c r="L91" i="1"/>
  <c r="L90" i="1"/>
  <c r="L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3455" i="1" l="1"/>
  <c r="L3455" i="1" s="1"/>
  <c r="K3456" i="1"/>
  <c r="L3456" i="1" s="1"/>
  <c r="K3457" i="1"/>
  <c r="L3457" i="1" s="1"/>
  <c r="K281" i="1"/>
  <c r="L281" i="1" s="1"/>
  <c r="K273" i="1"/>
  <c r="L273" i="1" s="1"/>
  <c r="K268" i="1"/>
  <c r="L268" i="1" s="1"/>
  <c r="K256" i="1"/>
  <c r="L256" i="1" s="1"/>
  <c r="K253" i="1"/>
  <c r="L253" i="1" s="1"/>
  <c r="K248" i="1"/>
  <c r="L248" i="1" s="1"/>
  <c r="K226" i="1"/>
  <c r="L226" i="1" s="1"/>
  <c r="K221" i="1"/>
  <c r="L221" i="1" s="1"/>
  <c r="K217" i="1"/>
  <c r="L217" i="1" s="1"/>
  <c r="K207" i="1"/>
  <c r="L207" i="1" s="1"/>
  <c r="K203" i="1"/>
  <c r="L203" i="1" s="1"/>
  <c r="K199" i="1"/>
  <c r="L199" i="1" s="1"/>
  <c r="K195" i="1"/>
  <c r="L195" i="1" s="1"/>
  <c r="K191" i="1"/>
  <c r="L191" i="1" s="1"/>
  <c r="K187" i="1"/>
  <c r="L187" i="1" s="1"/>
  <c r="K1391" i="1"/>
  <c r="L1391" i="1" s="1"/>
  <c r="K1389" i="1"/>
  <c r="L1389" i="1" s="1"/>
  <c r="K1383" i="1"/>
  <c r="L1383" i="1" s="1"/>
  <c r="K1380" i="1"/>
  <c r="L1380" i="1" s="1"/>
  <c r="K1378" i="1"/>
  <c r="L1378" i="1" s="1"/>
  <c r="K1376" i="1"/>
  <c r="L1376" i="1" s="1"/>
  <c r="K1373" i="1"/>
  <c r="L1373" i="1" s="1"/>
  <c r="K1370" i="1"/>
  <c r="L1370" i="1" s="1"/>
  <c r="K1366" i="1"/>
  <c r="L1366" i="1" s="1"/>
  <c r="K1364" i="1"/>
  <c r="L1364" i="1" s="1"/>
  <c r="K1362" i="1"/>
  <c r="L1362" i="1" s="1"/>
  <c r="K1358" i="1"/>
  <c r="L1358" i="1" s="1"/>
  <c r="K1355" i="1"/>
  <c r="L1355" i="1" s="1"/>
  <c r="K1352" i="1"/>
  <c r="L1352" i="1" s="1"/>
  <c r="K1350" i="1"/>
  <c r="L1350" i="1" s="1"/>
  <c r="K1347" i="1"/>
  <c r="L1347" i="1" s="1"/>
  <c r="K1345" i="1"/>
  <c r="L1345" i="1" s="1"/>
  <c r="K1339" i="1"/>
  <c r="L1339" i="1" s="1"/>
  <c r="K1335" i="1"/>
  <c r="L1335" i="1" s="1"/>
  <c r="K1333" i="1"/>
  <c r="L1333" i="1" s="1"/>
  <c r="K1330" i="1"/>
  <c r="L1330" i="1" s="1"/>
  <c r="K1327" i="1"/>
  <c r="L1327" i="1" s="1"/>
  <c r="K1324" i="1"/>
  <c r="L1324" i="1" s="1"/>
  <c r="K1322" i="1"/>
  <c r="L1322" i="1" s="1"/>
  <c r="K1320" i="1"/>
  <c r="L1320" i="1" s="1"/>
  <c r="K1318" i="1"/>
  <c r="L1318" i="1" s="1"/>
  <c r="K1314" i="1"/>
  <c r="L1314" i="1" s="1"/>
  <c r="K1311" i="1"/>
  <c r="L1311" i="1" s="1"/>
  <c r="K1308" i="1"/>
  <c r="L1308" i="1" s="1"/>
  <c r="K1306" i="1"/>
  <c r="L1306" i="1" s="1"/>
  <c r="K1303" i="1"/>
  <c r="L1303" i="1" s="1"/>
  <c r="K1301" i="1"/>
  <c r="L1301" i="1" s="1"/>
  <c r="K1293" i="1"/>
  <c r="L1293" i="1" s="1"/>
  <c r="K1290" i="1"/>
  <c r="L1290" i="1" s="1"/>
  <c r="K1288" i="1"/>
  <c r="L1288" i="1" s="1"/>
  <c r="K1285" i="1"/>
  <c r="L1285" i="1" s="1"/>
  <c r="K1282" i="1"/>
  <c r="L1282" i="1" s="1"/>
  <c r="K1279" i="1"/>
  <c r="L1279" i="1" s="1"/>
  <c r="K358" i="1"/>
  <c r="L358" i="1" s="1"/>
  <c r="K354" i="1"/>
  <c r="L354" i="1" s="1"/>
  <c r="K350" i="1"/>
  <c r="L350" i="1" s="1"/>
  <c r="K344" i="1"/>
  <c r="L344" i="1" s="1"/>
  <c r="K341" i="1"/>
  <c r="L341" i="1" s="1"/>
  <c r="K336" i="1"/>
  <c r="L336" i="1" s="1"/>
  <c r="K331" i="1"/>
  <c r="L331" i="1" s="1"/>
  <c r="K327" i="1"/>
  <c r="L327" i="1" s="1"/>
  <c r="K323" i="1"/>
  <c r="L323" i="1" s="1"/>
  <c r="K319" i="1"/>
  <c r="L319" i="1" s="1"/>
  <c r="K313" i="1"/>
  <c r="L313" i="1" s="1"/>
  <c r="K310" i="1"/>
  <c r="L310" i="1" s="1"/>
  <c r="K305" i="1"/>
  <c r="L305" i="1" s="1"/>
  <c r="K300" i="1"/>
  <c r="L300" i="1" s="1"/>
  <c r="K296" i="1"/>
  <c r="L296" i="1" s="1"/>
  <c r="K292" i="1"/>
  <c r="L292" i="1" s="1"/>
  <c r="K286" i="1"/>
  <c r="L286" i="1" s="1"/>
  <c r="K280" i="1"/>
  <c r="L280" i="1" s="1"/>
  <c r="K275" i="1"/>
  <c r="L275" i="1" s="1"/>
  <c r="K267" i="1"/>
  <c r="L267" i="1" s="1"/>
  <c r="K255" i="1"/>
  <c r="L255" i="1" s="1"/>
  <c r="K250" i="1"/>
  <c r="L250" i="1" s="1"/>
  <c r="K243" i="1"/>
  <c r="L243" i="1" s="1"/>
  <c r="K227" i="1"/>
  <c r="L227" i="1" s="1"/>
  <c r="K222" i="1"/>
  <c r="L222" i="1" s="1"/>
  <c r="K218" i="1"/>
  <c r="L218" i="1" s="1"/>
  <c r="K208" i="1"/>
  <c r="L208" i="1" s="1"/>
  <c r="K204" i="1"/>
  <c r="L204" i="1" s="1"/>
  <c r="K200" i="1"/>
  <c r="L200" i="1" s="1"/>
  <c r="K196" i="1"/>
  <c r="L196" i="1" s="1"/>
  <c r="K192" i="1"/>
  <c r="L192" i="1" s="1"/>
  <c r="K188" i="1"/>
  <c r="L188" i="1" s="1"/>
  <c r="K184" i="1"/>
  <c r="L184" i="1" s="1"/>
  <c r="K1390" i="1"/>
  <c r="L1390" i="1" s="1"/>
  <c r="K1388" i="1"/>
  <c r="L1388" i="1" s="1"/>
  <c r="K1381" i="1"/>
  <c r="L1381" i="1" s="1"/>
  <c r="K1379" i="1"/>
  <c r="L1379" i="1" s="1"/>
  <c r="K1377" i="1"/>
  <c r="L1377" i="1" s="1"/>
  <c r="K1374" i="1"/>
  <c r="L1374" i="1" s="1"/>
  <c r="K1371" i="1"/>
  <c r="L1371" i="1" s="1"/>
  <c r="K1367" i="1"/>
  <c r="L1367" i="1" s="1"/>
  <c r="K1365" i="1"/>
  <c r="L1365" i="1" s="1"/>
  <c r="K1363" i="1"/>
  <c r="L1363" i="1" s="1"/>
  <c r="K1361" i="1"/>
  <c r="L1361" i="1" s="1"/>
  <c r="K1356" i="1"/>
  <c r="L1356" i="1" s="1"/>
  <c r="K1353" i="1"/>
  <c r="L1353" i="1" s="1"/>
  <c r="K1351" i="1"/>
  <c r="L1351" i="1" s="1"/>
  <c r="K1349" i="1"/>
  <c r="L1349" i="1" s="1"/>
  <c r="K1346" i="1"/>
  <c r="L1346" i="1" s="1"/>
  <c r="K1344" i="1"/>
  <c r="L1344" i="1" s="1"/>
  <c r="K1336" i="1"/>
  <c r="L1336" i="1" s="1"/>
  <c r="K1334" i="1"/>
  <c r="L1334" i="1" s="1"/>
  <c r="K1332" i="1"/>
  <c r="L1332" i="1" s="1"/>
  <c r="K1329" i="1"/>
  <c r="L1329" i="1" s="1"/>
  <c r="K1326" i="1"/>
  <c r="L1326" i="1" s="1"/>
  <c r="K1323" i="1"/>
  <c r="L1323" i="1" s="1"/>
  <c r="K1321" i="1"/>
  <c r="L1321" i="1" s="1"/>
  <c r="K1319" i="1"/>
  <c r="L1319" i="1" s="1"/>
  <c r="K1317" i="1"/>
  <c r="L1317" i="1" s="1"/>
  <c r="K1312" i="1"/>
  <c r="L1312" i="1" s="1"/>
  <c r="K1309" i="1"/>
  <c r="L1309" i="1" s="1"/>
  <c r="K1307" i="1"/>
  <c r="L1307" i="1" s="1"/>
  <c r="K1305" i="1"/>
  <c r="L1305" i="1" s="1"/>
  <c r="K1302" i="1"/>
  <c r="L1302" i="1" s="1"/>
  <c r="K1295" i="1"/>
  <c r="L1295" i="1" s="1"/>
  <c r="K1291" i="1"/>
  <c r="L1291" i="1" s="1"/>
  <c r="K1289" i="1"/>
  <c r="L1289" i="1" s="1"/>
  <c r="K1286" i="1"/>
  <c r="L1286" i="1" s="1"/>
  <c r="K1283" i="1"/>
  <c r="L1283" i="1" s="1"/>
  <c r="K1280" i="1"/>
  <c r="L1280" i="1" s="1"/>
  <c r="K1278" i="1"/>
  <c r="L1278" i="1" s="1"/>
  <c r="K361" i="1"/>
  <c r="L361" i="1" s="1"/>
  <c r="K357" i="1"/>
  <c r="L357" i="1" s="1"/>
  <c r="K353" i="1"/>
  <c r="L353" i="1" s="1"/>
  <c r="K347" i="1"/>
  <c r="L347" i="1" s="1"/>
  <c r="K343" i="1"/>
  <c r="L343" i="1" s="1"/>
  <c r="K339" i="1"/>
  <c r="L339" i="1" s="1"/>
  <c r="K335" i="1"/>
  <c r="L335" i="1" s="1"/>
  <c r="K329" i="1"/>
  <c r="L329" i="1" s="1"/>
  <c r="K326" i="1"/>
  <c r="L326" i="1" s="1"/>
  <c r="K322" i="1"/>
  <c r="L322" i="1" s="1"/>
  <c r="K316" i="1"/>
  <c r="L316" i="1" s="1"/>
  <c r="K315" i="1"/>
  <c r="L315" i="1" s="1"/>
  <c r="K311" i="1"/>
  <c r="L311" i="1" s="1"/>
  <c r="K307" i="1"/>
  <c r="L307" i="1" s="1"/>
  <c r="K301" i="1"/>
  <c r="L301" i="1" s="1"/>
  <c r="K297" i="1"/>
  <c r="L297" i="1" s="1"/>
  <c r="K293" i="1"/>
  <c r="L293" i="1" s="1"/>
  <c r="K289" i="1"/>
  <c r="L289" i="1" s="1"/>
  <c r="K278" i="1"/>
  <c r="L278" i="1" s="1"/>
  <c r="K274" i="1"/>
  <c r="L274" i="1" s="1"/>
  <c r="K266" i="1"/>
  <c r="L266" i="1" s="1"/>
  <c r="K254" i="1"/>
  <c r="L254" i="1" s="1"/>
  <c r="K249" i="1"/>
  <c r="L249" i="1" s="1"/>
  <c r="K230" i="1"/>
  <c r="L230" i="1" s="1"/>
  <c r="K229" i="1"/>
  <c r="L229" i="1" s="1"/>
  <c r="K225" i="1"/>
  <c r="L225" i="1" s="1"/>
  <c r="K220" i="1"/>
  <c r="L220" i="1" s="1"/>
  <c r="K216" i="1"/>
  <c r="L216" i="1" s="1"/>
  <c r="K202" i="1"/>
  <c r="L202" i="1" s="1"/>
  <c r="K198" i="1"/>
  <c r="L198" i="1" s="1"/>
  <c r="K197" i="1"/>
  <c r="L197" i="1" s="1"/>
  <c r="K193" i="1"/>
  <c r="L193" i="1" s="1"/>
  <c r="K189" i="1"/>
  <c r="L189" i="1" s="1"/>
  <c r="K185" i="1"/>
  <c r="L185" i="1" s="1"/>
  <c r="K359" i="1"/>
  <c r="L359" i="1" s="1"/>
  <c r="K356" i="1"/>
  <c r="L356" i="1" s="1"/>
  <c r="K351" i="1"/>
  <c r="L351" i="1" s="1"/>
  <c r="K346" i="1"/>
  <c r="L346" i="1" s="1"/>
  <c r="K342" i="1"/>
  <c r="L342" i="1" s="1"/>
  <c r="K338" i="1"/>
  <c r="L338" i="1" s="1"/>
  <c r="K332" i="1"/>
  <c r="L332" i="1" s="1"/>
  <c r="K328" i="1"/>
  <c r="L328" i="1" s="1"/>
  <c r="K325" i="1"/>
  <c r="L325" i="1" s="1"/>
  <c r="K320" i="1"/>
  <c r="L320" i="1" s="1"/>
  <c r="K312" i="1"/>
  <c r="L312" i="1" s="1"/>
  <c r="K308" i="1"/>
  <c r="L308" i="1" s="1"/>
  <c r="K304" i="1"/>
  <c r="L304" i="1" s="1"/>
  <c r="K298" i="1"/>
  <c r="L298" i="1" s="1"/>
  <c r="K295" i="1"/>
  <c r="L295" i="1" s="1"/>
  <c r="K290" i="1"/>
  <c r="L290" i="1" s="1"/>
  <c r="K285" i="1"/>
  <c r="L285" i="1" s="1"/>
  <c r="K282" i="1"/>
  <c r="L282" i="1" s="1"/>
  <c r="K277" i="1"/>
  <c r="L277" i="1" s="1"/>
  <c r="K276" i="1"/>
  <c r="L276" i="1" s="1"/>
  <c r="K257" i="1"/>
  <c r="L257" i="1" s="1"/>
  <c r="K252" i="1"/>
  <c r="L252" i="1" s="1"/>
  <c r="K247" i="1"/>
  <c r="L247" i="1" s="1"/>
  <c r="K228" i="1"/>
  <c r="L228" i="1" s="1"/>
  <c r="K224" i="1"/>
  <c r="L224" i="1" s="1"/>
  <c r="K219" i="1"/>
  <c r="L219" i="1" s="1"/>
  <c r="K209" i="1"/>
  <c r="L209" i="1" s="1"/>
  <c r="K206" i="1"/>
  <c r="L206" i="1" s="1"/>
  <c r="K205" i="1"/>
  <c r="L205" i="1" s="1"/>
  <c r="K201" i="1"/>
  <c r="L201" i="1" s="1"/>
  <c r="K194" i="1"/>
  <c r="L194" i="1" s="1"/>
  <c r="K190" i="1"/>
  <c r="L190" i="1" s="1"/>
  <c r="K186" i="1"/>
  <c r="L186" i="1" s="1"/>
  <c r="K3625" i="1"/>
  <c r="L3625" i="1" s="1"/>
  <c r="K3622" i="1"/>
  <c r="L3622" i="1" s="1"/>
  <c r="K3618" i="1"/>
  <c r="L3618" i="1" s="1"/>
  <c r="K3615" i="1"/>
  <c r="L3615" i="1" s="1"/>
  <c r="K3611" i="1"/>
  <c r="L3611" i="1" s="1"/>
  <c r="K3607" i="1"/>
  <c r="L3607" i="1" s="1"/>
  <c r="K3604" i="1"/>
  <c r="L3604" i="1" s="1"/>
  <c r="K3599" i="1"/>
  <c r="L3599" i="1" s="1"/>
  <c r="K3596" i="1"/>
  <c r="L3596" i="1" s="1"/>
  <c r="K3593" i="1"/>
  <c r="L3593" i="1" s="1"/>
  <c r="K3589" i="1"/>
  <c r="L3589" i="1" s="1"/>
  <c r="K3586" i="1"/>
  <c r="L3586" i="1" s="1"/>
  <c r="K3583" i="1"/>
  <c r="L3583" i="1" s="1"/>
  <c r="K3580" i="1"/>
  <c r="L3580" i="1" s="1"/>
  <c r="K3576" i="1"/>
  <c r="L3576" i="1" s="1"/>
  <c r="K3572" i="1"/>
  <c r="L3572" i="1" s="1"/>
  <c r="K3568" i="1"/>
  <c r="L3568" i="1" s="1"/>
  <c r="K3565" i="1"/>
  <c r="L3565" i="1" s="1"/>
  <c r="K3561" i="1"/>
  <c r="L3561" i="1" s="1"/>
  <c r="K3555" i="1"/>
  <c r="L3555" i="1" s="1"/>
  <c r="K3552" i="1"/>
  <c r="L3552" i="1" s="1"/>
  <c r="K3549" i="1"/>
  <c r="L3549" i="1" s="1"/>
  <c r="K3545" i="1"/>
  <c r="L3545" i="1" s="1"/>
  <c r="K3542" i="1"/>
  <c r="L3542" i="1" s="1"/>
  <c r="K3539" i="1"/>
  <c r="L3539" i="1" s="1"/>
  <c r="K3536" i="1"/>
  <c r="L3536" i="1" s="1"/>
  <c r="K3533" i="1"/>
  <c r="L3533" i="1" s="1"/>
  <c r="K3529" i="1"/>
  <c r="L3529" i="1" s="1"/>
  <c r="K3470" i="1"/>
  <c r="L3470" i="1" s="1"/>
  <c r="K2377" i="1"/>
  <c r="L2377" i="1" s="1"/>
  <c r="K15" i="1"/>
  <c r="L15" i="1" s="1"/>
  <c r="K13" i="1"/>
  <c r="L13" i="1" s="1"/>
  <c r="K10" i="1"/>
  <c r="L10" i="1" s="1"/>
  <c r="K8" i="1"/>
  <c r="L8" i="1" s="1"/>
  <c r="K3627" i="1"/>
  <c r="L3627" i="1" s="1"/>
  <c r="K3624" i="1"/>
  <c r="L3624" i="1" s="1"/>
  <c r="K3621" i="1"/>
  <c r="L3621" i="1" s="1"/>
  <c r="K3617" i="1"/>
  <c r="L3617" i="1" s="1"/>
  <c r="K3614" i="1"/>
  <c r="L3614" i="1" s="1"/>
  <c r="K3610" i="1"/>
  <c r="L3610" i="1" s="1"/>
  <c r="K3606" i="1"/>
  <c r="L3606" i="1" s="1"/>
  <c r="K3602" i="1"/>
  <c r="L3602" i="1" s="1"/>
  <c r="K3598" i="1"/>
  <c r="L3598" i="1" s="1"/>
  <c r="K3595" i="1"/>
  <c r="L3595" i="1" s="1"/>
  <c r="K3591" i="1"/>
  <c r="L3591" i="1" s="1"/>
  <c r="K3588" i="1"/>
  <c r="L3588" i="1" s="1"/>
  <c r="K3585" i="1"/>
  <c r="L3585" i="1" s="1"/>
  <c r="K3582" i="1"/>
  <c r="L3582" i="1" s="1"/>
  <c r="K3579" i="1"/>
  <c r="L3579" i="1" s="1"/>
  <c r="K3574" i="1"/>
  <c r="L3574" i="1" s="1"/>
  <c r="K3571" i="1"/>
  <c r="L3571" i="1" s="1"/>
  <c r="K3567" i="1"/>
  <c r="L3567" i="1" s="1"/>
  <c r="K3563" i="1"/>
  <c r="L3563" i="1" s="1"/>
  <c r="K3558" i="1"/>
  <c r="L3558" i="1" s="1"/>
  <c r="K3554" i="1"/>
  <c r="L3554" i="1" s="1"/>
  <c r="K3551" i="1"/>
  <c r="L3551" i="1" s="1"/>
  <c r="K3547" i="1"/>
  <c r="L3547" i="1" s="1"/>
  <c r="K3544" i="1"/>
  <c r="L3544" i="1" s="1"/>
  <c r="K3541" i="1"/>
  <c r="L3541" i="1" s="1"/>
  <c r="K3538" i="1"/>
  <c r="L3538" i="1" s="1"/>
  <c r="K3535" i="1"/>
  <c r="L3535" i="1" s="1"/>
  <c r="K3532" i="1"/>
  <c r="L3532" i="1" s="1"/>
  <c r="K3528" i="1"/>
  <c r="L3528" i="1" s="1"/>
  <c r="K3524" i="1"/>
  <c r="L3524" i="1" s="1"/>
  <c r="K44" i="1"/>
  <c r="L44" i="1" s="1"/>
  <c r="K36" i="1"/>
  <c r="L36" i="1" s="1"/>
  <c r="K18" i="1"/>
  <c r="L18" i="1" s="1"/>
  <c r="K16" i="1"/>
  <c r="L16" i="1" s="1"/>
  <c r="K14" i="1"/>
  <c r="L14" i="1" s="1"/>
  <c r="K12" i="1"/>
  <c r="L12" i="1" s="1"/>
  <c r="K9" i="1"/>
  <c r="L9" i="1" s="1"/>
  <c r="K3626" i="1"/>
  <c r="L3626" i="1" s="1"/>
  <c r="K3623" i="1"/>
  <c r="L3623" i="1" s="1"/>
  <c r="K3620" i="1"/>
  <c r="L3620" i="1" s="1"/>
  <c r="K3616" i="1"/>
  <c r="L3616" i="1" s="1"/>
  <c r="K3612" i="1"/>
  <c r="L3612" i="1" s="1"/>
  <c r="K3609" i="1"/>
  <c r="L3609" i="1" s="1"/>
  <c r="K3605" i="1"/>
  <c r="L3605" i="1" s="1"/>
  <c r="K3600" i="1"/>
  <c r="L3600" i="1" s="1"/>
  <c r="K3597" i="1"/>
  <c r="L3597" i="1" s="1"/>
  <c r="K3594" i="1"/>
  <c r="L3594" i="1" s="1"/>
  <c r="K3590" i="1"/>
  <c r="L3590" i="1" s="1"/>
  <c r="K3587" i="1"/>
  <c r="L3587" i="1" s="1"/>
  <c r="K3584" i="1"/>
  <c r="L3584" i="1" s="1"/>
  <c r="K3581" i="1"/>
  <c r="L3581" i="1" s="1"/>
  <c r="K3577" i="1"/>
  <c r="L3577" i="1" s="1"/>
  <c r="K3573" i="1"/>
  <c r="L3573" i="1" s="1"/>
  <c r="K3570" i="1"/>
  <c r="L3570" i="1" s="1"/>
  <c r="K3566" i="1"/>
  <c r="L3566" i="1" s="1"/>
  <c r="K3562" i="1"/>
  <c r="L3562" i="1" s="1"/>
  <c r="K3556" i="1"/>
  <c r="L3556" i="1" s="1"/>
  <c r="K3553" i="1"/>
  <c r="L3553" i="1" s="1"/>
  <c r="K3550" i="1"/>
  <c r="L3550" i="1" s="1"/>
  <c r="K3546" i="1"/>
  <c r="L3546" i="1" s="1"/>
  <c r="K3543" i="1"/>
  <c r="L3543" i="1" s="1"/>
  <c r="K3540" i="1"/>
  <c r="L3540" i="1" s="1"/>
  <c r="K3537" i="1"/>
  <c r="L3537" i="1" s="1"/>
  <c r="K3534" i="1"/>
  <c r="L3534" i="1" s="1"/>
  <c r="K3530" i="1"/>
  <c r="L3530" i="1" s="1"/>
  <c r="K3527" i="1"/>
  <c r="L3527" i="1" s="1"/>
  <c r="K3526" i="1"/>
  <c r="L3526" i="1" s="1"/>
  <c r="K3521" i="1"/>
  <c r="L3521" i="1" s="1"/>
  <c r="K3517" i="1"/>
  <c r="L3517" i="1" s="1"/>
  <c r="K3512" i="1"/>
  <c r="L3512" i="1" s="1"/>
  <c r="K3509" i="1"/>
  <c r="L3509" i="1" s="1"/>
  <c r="K3506" i="1"/>
  <c r="L3506" i="1" s="1"/>
  <c r="K3502" i="1"/>
  <c r="L3502" i="1" s="1"/>
  <c r="K3499" i="1"/>
  <c r="L3499" i="1" s="1"/>
  <c r="K3496" i="1"/>
  <c r="L3496" i="1" s="1"/>
  <c r="K3494" i="1"/>
  <c r="L3494" i="1" s="1"/>
  <c r="K3491" i="1"/>
  <c r="L3491" i="1" s="1"/>
  <c r="K3486" i="1"/>
  <c r="L3486" i="1" s="1"/>
  <c r="K3483" i="1"/>
  <c r="L3483" i="1" s="1"/>
  <c r="K3478" i="1"/>
  <c r="L3478" i="1" s="1"/>
  <c r="K3473" i="1"/>
  <c r="L3473" i="1" s="1"/>
  <c r="K3467" i="1"/>
  <c r="L3467" i="1" s="1"/>
  <c r="K3465" i="1"/>
  <c r="L3465" i="1" s="1"/>
  <c r="K3463" i="1"/>
  <c r="L3463" i="1" s="1"/>
  <c r="K3461" i="1"/>
  <c r="L3461" i="1" s="1"/>
  <c r="K2424" i="1"/>
  <c r="L2424" i="1" s="1"/>
  <c r="K2409" i="1"/>
  <c r="L2409" i="1" s="1"/>
  <c r="K2405" i="1"/>
  <c r="L2405" i="1" s="1"/>
  <c r="K2403" i="1"/>
  <c r="L2403" i="1" s="1"/>
  <c r="K2390" i="1"/>
  <c r="L2390" i="1" s="1"/>
  <c r="K2389" i="1"/>
  <c r="L2389" i="1" s="1"/>
  <c r="K2382" i="1"/>
  <c r="L2382" i="1" s="1"/>
  <c r="K2426" i="1"/>
  <c r="L2426" i="1" s="1"/>
  <c r="K2421" i="1"/>
  <c r="L2421" i="1" s="1"/>
  <c r="K2420" i="1"/>
  <c r="L2420" i="1" s="1"/>
  <c r="K2417" i="1"/>
  <c r="L2417" i="1" s="1"/>
  <c r="K2416" i="1"/>
  <c r="L2416" i="1" s="1"/>
  <c r="K2408" i="1"/>
  <c r="L2408" i="1" s="1"/>
  <c r="K2400" i="1"/>
  <c r="L2400" i="1" s="1"/>
  <c r="K2393" i="1"/>
  <c r="L2393" i="1" s="1"/>
  <c r="K2383" i="1"/>
  <c r="L2383" i="1" s="1"/>
  <c r="K2378" i="1"/>
  <c r="L2378" i="1" s="1"/>
  <c r="K183" i="1"/>
  <c r="L183" i="1" s="1"/>
  <c r="K181" i="1"/>
  <c r="L181" i="1" s="1"/>
  <c r="K179" i="1"/>
  <c r="L179" i="1" s="1"/>
  <c r="K177" i="1"/>
  <c r="L177" i="1" s="1"/>
  <c r="K175" i="1"/>
  <c r="L175" i="1" s="1"/>
  <c r="K173" i="1"/>
  <c r="L173" i="1" s="1"/>
  <c r="K171" i="1"/>
  <c r="L171" i="1" s="1"/>
  <c r="K169" i="1"/>
  <c r="L169" i="1" s="1"/>
  <c r="K167" i="1"/>
  <c r="L167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120" i="1"/>
  <c r="L120" i="1" s="1"/>
  <c r="K118" i="1"/>
  <c r="L118" i="1" s="1"/>
  <c r="K116" i="1"/>
  <c r="L116" i="1" s="1"/>
  <c r="K114" i="1"/>
  <c r="L114" i="1" s="1"/>
  <c r="K112" i="1"/>
  <c r="L112" i="1" s="1"/>
  <c r="K109" i="1"/>
  <c r="L109" i="1" s="1"/>
  <c r="K107" i="1"/>
  <c r="L107" i="1" s="1"/>
  <c r="K105" i="1"/>
  <c r="L105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82" i="1"/>
  <c r="L82" i="1" s="1"/>
  <c r="K80" i="1"/>
  <c r="L80" i="1" s="1"/>
  <c r="K78" i="1"/>
  <c r="L78" i="1" s="1"/>
  <c r="K76" i="1"/>
  <c r="L76" i="1" s="1"/>
  <c r="K74" i="1"/>
  <c r="L74" i="1" s="1"/>
  <c r="K72" i="1"/>
  <c r="L72" i="1" s="1"/>
  <c r="K70" i="1"/>
  <c r="L70" i="1" s="1"/>
  <c r="K68" i="1"/>
  <c r="L68" i="1" s="1"/>
  <c r="K66" i="1"/>
  <c r="L66" i="1" s="1"/>
  <c r="K64" i="1"/>
  <c r="L64" i="1" s="1"/>
  <c r="K62" i="1"/>
  <c r="L62" i="1" s="1"/>
  <c r="K60" i="1"/>
  <c r="L60" i="1" s="1"/>
  <c r="K58" i="1"/>
  <c r="L58" i="1" s="1"/>
  <c r="K56" i="1"/>
  <c r="L56" i="1" s="1"/>
  <c r="K54" i="1"/>
  <c r="L54" i="1" s="1"/>
  <c r="K52" i="1"/>
  <c r="L52" i="1" s="1"/>
  <c r="K50" i="1"/>
  <c r="L50" i="1" s="1"/>
  <c r="K48" i="1"/>
  <c r="L48" i="1" s="1"/>
  <c r="K46" i="1"/>
  <c r="L46" i="1" s="1"/>
  <c r="K43" i="1"/>
  <c r="L43" i="1" s="1"/>
  <c r="K41" i="1"/>
  <c r="L41" i="1" s="1"/>
  <c r="K39" i="1"/>
  <c r="L39" i="1" s="1"/>
  <c r="K37" i="1"/>
  <c r="L37" i="1" s="1"/>
  <c r="K35" i="1"/>
  <c r="L35" i="1" s="1"/>
  <c r="K33" i="1"/>
  <c r="L33" i="1" s="1"/>
  <c r="K31" i="1"/>
  <c r="L31" i="1" s="1"/>
  <c r="K29" i="1"/>
  <c r="L29" i="1" s="1"/>
  <c r="K27" i="1"/>
  <c r="L27" i="1" s="1"/>
  <c r="K25" i="1"/>
  <c r="L25" i="1" s="1"/>
  <c r="K23" i="1"/>
  <c r="L23" i="1" s="1"/>
  <c r="K21" i="1"/>
  <c r="L21" i="1" s="1"/>
  <c r="K17" i="1"/>
  <c r="L17" i="1" s="1"/>
  <c r="K6" i="1"/>
  <c r="L6" i="1" s="1"/>
  <c r="K4" i="1"/>
  <c r="L4" i="1" s="1"/>
  <c r="K2" i="1"/>
  <c r="L2" i="1" s="1"/>
  <c r="K3522" i="1"/>
  <c r="L3522" i="1" s="1"/>
  <c r="K3519" i="1"/>
  <c r="L3519" i="1" s="1"/>
  <c r="K3514" i="1"/>
  <c r="L3514" i="1" s="1"/>
  <c r="K3510" i="1"/>
  <c r="L3510" i="1" s="1"/>
  <c r="K3507" i="1"/>
  <c r="L3507" i="1" s="1"/>
  <c r="K3503" i="1"/>
  <c r="L3503" i="1" s="1"/>
  <c r="K3500" i="1"/>
  <c r="L3500" i="1" s="1"/>
  <c r="K3497" i="1"/>
  <c r="L3497" i="1" s="1"/>
  <c r="K3493" i="1"/>
  <c r="L3493" i="1" s="1"/>
  <c r="K3490" i="1"/>
  <c r="L3490" i="1" s="1"/>
  <c r="K3485" i="1"/>
  <c r="L3485" i="1" s="1"/>
  <c r="K3482" i="1"/>
  <c r="L3482" i="1" s="1"/>
  <c r="K3477" i="1"/>
  <c r="L3477" i="1" s="1"/>
  <c r="K3472" i="1"/>
  <c r="L3472" i="1" s="1"/>
  <c r="K3466" i="1"/>
  <c r="L3466" i="1" s="1"/>
  <c r="K3464" i="1"/>
  <c r="L3464" i="1" s="1"/>
  <c r="K3462" i="1"/>
  <c r="L3462" i="1" s="1"/>
  <c r="K3458" i="1"/>
  <c r="L3458" i="1" s="1"/>
  <c r="K2427" i="1"/>
  <c r="L2427" i="1" s="1"/>
  <c r="K2422" i="1"/>
  <c r="L2422" i="1" s="1"/>
  <c r="K2418" i="1"/>
  <c r="L2418" i="1" s="1"/>
  <c r="K2411" i="1"/>
  <c r="L2411" i="1" s="1"/>
  <c r="K2406" i="1"/>
  <c r="L2406" i="1" s="1"/>
  <c r="K2401" i="1"/>
  <c r="L2401" i="1" s="1"/>
  <c r="K2391" i="1"/>
  <c r="L2391" i="1" s="1"/>
  <c r="K2385" i="1"/>
  <c r="L2385" i="1" s="1"/>
  <c r="K2379" i="1"/>
  <c r="L2379" i="1" s="1"/>
  <c r="K182" i="1"/>
  <c r="L182" i="1" s="1"/>
  <c r="K180" i="1"/>
  <c r="L180" i="1" s="1"/>
  <c r="K178" i="1"/>
  <c r="L178" i="1" s="1"/>
  <c r="K176" i="1"/>
  <c r="L176" i="1" s="1"/>
  <c r="K174" i="1"/>
  <c r="L174" i="1" s="1"/>
  <c r="K172" i="1"/>
  <c r="L172" i="1" s="1"/>
  <c r="K170" i="1"/>
  <c r="L170" i="1" s="1"/>
  <c r="K168" i="1"/>
  <c r="L168" i="1" s="1"/>
  <c r="K166" i="1"/>
  <c r="L166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119" i="1"/>
  <c r="L119" i="1" s="1"/>
  <c r="K117" i="1"/>
  <c r="L117" i="1" s="1"/>
  <c r="K115" i="1"/>
  <c r="L115" i="1" s="1"/>
  <c r="K113" i="1"/>
  <c r="L113" i="1" s="1"/>
  <c r="K110" i="1"/>
  <c r="L110" i="1" s="1"/>
  <c r="K108" i="1"/>
  <c r="L108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87" i="1"/>
  <c r="L87" i="1" s="1"/>
  <c r="K85" i="1"/>
  <c r="L85" i="1" s="1"/>
  <c r="K83" i="1"/>
  <c r="L83" i="1" s="1"/>
  <c r="K81" i="1"/>
  <c r="L81" i="1" s="1"/>
  <c r="K79" i="1"/>
  <c r="L79" i="1" s="1"/>
  <c r="K77" i="1"/>
  <c r="L77" i="1" s="1"/>
  <c r="K75" i="1"/>
  <c r="L75" i="1" s="1"/>
  <c r="K73" i="1"/>
  <c r="L73" i="1" s="1"/>
  <c r="K71" i="1"/>
  <c r="L71" i="1" s="1"/>
  <c r="K69" i="1"/>
  <c r="L69" i="1" s="1"/>
  <c r="K67" i="1"/>
  <c r="L67" i="1" s="1"/>
  <c r="K65" i="1"/>
  <c r="L65" i="1" s="1"/>
  <c r="K63" i="1"/>
  <c r="L63" i="1" s="1"/>
  <c r="K61" i="1"/>
  <c r="L61" i="1" s="1"/>
  <c r="K59" i="1"/>
  <c r="L59" i="1" s="1"/>
  <c r="K57" i="1"/>
  <c r="L57" i="1" s="1"/>
  <c r="K55" i="1"/>
  <c r="L55" i="1" s="1"/>
  <c r="K53" i="1"/>
  <c r="L53" i="1" s="1"/>
  <c r="K51" i="1"/>
  <c r="L51" i="1" s="1"/>
  <c r="K49" i="1"/>
  <c r="L49" i="1" s="1"/>
  <c r="K47" i="1"/>
  <c r="L47" i="1" s="1"/>
  <c r="K45" i="1"/>
  <c r="L45" i="1" s="1"/>
  <c r="K42" i="1"/>
  <c r="L42" i="1" s="1"/>
  <c r="K40" i="1"/>
  <c r="L40" i="1" s="1"/>
  <c r="K38" i="1"/>
  <c r="L38" i="1" s="1"/>
  <c r="K34" i="1"/>
  <c r="L34" i="1" s="1"/>
  <c r="K32" i="1"/>
  <c r="L32" i="1" s="1"/>
  <c r="K30" i="1"/>
  <c r="L30" i="1" s="1"/>
  <c r="K28" i="1"/>
  <c r="L28" i="1" s="1"/>
  <c r="K26" i="1"/>
  <c r="L26" i="1" s="1"/>
  <c r="K24" i="1"/>
  <c r="L24" i="1" s="1"/>
  <c r="K22" i="1"/>
  <c r="L22" i="1" s="1"/>
  <c r="K20" i="1"/>
  <c r="L20" i="1" s="1"/>
  <c r="K19" i="1"/>
  <c r="L19" i="1" s="1"/>
  <c r="K7" i="1"/>
  <c r="L7" i="1" s="1"/>
  <c r="K5" i="1"/>
  <c r="L5" i="1" s="1"/>
  <c r="K3" i="1"/>
  <c r="L3" i="1" s="1"/>
  <c r="K3520" i="1"/>
  <c r="L3520" i="1" s="1"/>
  <c r="K3516" i="1"/>
  <c r="L3516" i="1" s="1"/>
  <c r="K3511" i="1"/>
  <c r="L3511" i="1" s="1"/>
  <c r="K3508" i="1"/>
  <c r="L3508" i="1" s="1"/>
  <c r="K3505" i="1"/>
  <c r="L3505" i="1" s="1"/>
  <c r="K3501" i="1"/>
  <c r="L3501" i="1" s="1"/>
  <c r="K3498" i="1"/>
  <c r="L3498" i="1" s="1"/>
  <c r="K3495" i="1"/>
  <c r="L3495" i="1" s="1"/>
  <c r="K3492" i="1"/>
  <c r="L3492" i="1" s="1"/>
  <c r="K3489" i="1"/>
  <c r="L3489" i="1" s="1"/>
  <c r="K3484" i="1"/>
  <c r="L3484" i="1" s="1"/>
  <c r="K3479" i="1"/>
  <c r="L3479" i="1" s="1"/>
  <c r="K3459" i="1"/>
  <c r="L3459" i="1" s="1"/>
  <c r="K2423" i="1"/>
  <c r="L2423" i="1" s="1"/>
  <c r="K2419" i="1"/>
  <c r="L2419" i="1" s="1"/>
  <c r="K2414" i="1"/>
  <c r="L2414" i="1" s="1"/>
  <c r="K2407" i="1"/>
  <c r="L2407" i="1" s="1"/>
  <c r="K2402" i="1"/>
  <c r="L2402" i="1" s="1"/>
  <c r="K2392" i="1"/>
  <c r="L2392" i="1" s="1"/>
  <c r="K2386" i="1"/>
  <c r="L2386" i="1" s="1"/>
  <c r="K2380" i="1"/>
  <c r="L2380" i="1" s="1"/>
</calcChain>
</file>

<file path=xl/sharedStrings.xml><?xml version="1.0" encoding="utf-8"?>
<sst xmlns="http://schemas.openxmlformats.org/spreadsheetml/2006/main" count="9414" uniqueCount="125">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</sst>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93"/>
  <sheetViews>
    <sheetView tabSelected="1" zoomScale="85" zoomScaleNormal="85" workbookViewId="0">
      <selection activeCell="F247" sqref="F247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  <c r="P2"/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  <c r="P3"/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  <c r="P4"/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  <c r="P5"/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  <c r="P6"/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  <c r="P7"/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  <c r="P8"/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  <c r="P9"/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  <c r="P10"/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  <c r="P11"/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  <c r="P12"/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  <c r="P13"/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  <c r="P14"/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  <c r="P15"/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  <c r="P16"/>
    </row>
    <row r="17" spans="1:15" customFormat="1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customFormat="1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customFormat="1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G19" s="3"/>
      <c r="H19" s="3"/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customFormat="1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customFormat="1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customFormat="1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customFormat="1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customFormat="1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customFormat="1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customFormat="1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customFormat="1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customFormat="1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customFormat="1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customFormat="1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customFormat="1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customFormat="1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customFormat="1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customFormat="1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customFormat="1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customFormat="1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customFormat="1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customFormat="1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customFormat="1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customFormat="1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customFormat="1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customFormat="1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customFormat="1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customFormat="1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customFormat="1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customFormat="1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customFormat="1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customFormat="1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customFormat="1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customFormat="1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customFormat="1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customFormat="1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customFormat="1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customFormat="1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customFormat="1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customFormat="1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customFormat="1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customFormat="1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customFormat="1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customFormat="1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customFormat="1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customFormat="1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customFormat="1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customFormat="1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customFormat="1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customFormat="1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97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customFormat="1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customFormat="1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customFormat="1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customFormat="1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customFormat="1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customFormat="1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customFormat="1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customFormat="1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customFormat="1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customFormat="1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customFormat="1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customFormat="1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customFormat="1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customFormat="1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customFormat="1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customFormat="1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customFormat="1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customFormat="1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customFormat="1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customFormat="1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customFormat="1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customFormat="1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customFormat="1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customFormat="1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customFormat="1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customFormat="1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customFormat="1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customFormat="1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customFormat="1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customFormat="1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customFormat="1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customFormat="1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customFormat="1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customFormat="1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customFormat="1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customFormat="1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customFormat="1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customFormat="1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customFormat="1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customFormat="1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customFormat="1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customFormat="1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customFormat="1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customFormat="1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customFormat="1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customFormat="1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customFormat="1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customFormat="1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customFormat="1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customFormat="1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customFormat="1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customFormat="1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customFormat="1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customFormat="1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customFormat="1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H121" s="3"/>
      <c r="I121" s="3"/>
      <c r="J121" s="3"/>
      <c r="K121" s="3"/>
      <c r="L121" s="3"/>
      <c r="M121">
        <v>7</v>
      </c>
      <c r="N121">
        <v>97.14</v>
      </c>
      <c r="O121">
        <v>24.761904761904759</v>
      </c>
    </row>
    <row r="122" spans="1:15" customFormat="1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H122" s="3"/>
      <c r="I122" s="3"/>
      <c r="J122" s="3"/>
      <c r="K122" s="3"/>
      <c r="L122" s="3"/>
      <c r="M122">
        <v>6</v>
      </c>
      <c r="N122">
        <v>100</v>
      </c>
      <c r="O122">
        <v>31.578947368421051</v>
      </c>
    </row>
    <row r="123" spans="1:15" customFormat="1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H123" s="3"/>
      <c r="I123" s="3"/>
      <c r="J123" s="3"/>
      <c r="K123" s="3"/>
      <c r="L123" s="3"/>
      <c r="M123">
        <v>20</v>
      </c>
      <c r="N123">
        <v>100</v>
      </c>
      <c r="O123">
        <v>15.294117647058821</v>
      </c>
    </row>
    <row r="124" spans="1:15" customFormat="1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H124" s="3"/>
      <c r="I124" s="3"/>
      <c r="J124" s="3"/>
      <c r="K124" s="3"/>
      <c r="L124" s="3"/>
      <c r="M124">
        <v>10</v>
      </c>
      <c r="N124">
        <v>100</v>
      </c>
      <c r="O124">
        <v>17.96875</v>
      </c>
    </row>
    <row r="125" spans="1:15" customFormat="1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H125" s="3"/>
      <c r="I125" s="3"/>
      <c r="J125" s="3"/>
      <c r="K125" s="3"/>
      <c r="L125" s="3"/>
      <c r="M125">
        <v>12</v>
      </c>
      <c r="N125">
        <v>98.36</v>
      </c>
      <c r="O125">
        <v>24.200913242009129</v>
      </c>
    </row>
    <row r="126" spans="1:15" customFormat="1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H126" s="3"/>
      <c r="I126" s="3"/>
      <c r="J126" s="3"/>
      <c r="K126" s="3"/>
      <c r="L126" s="3"/>
      <c r="M126">
        <v>1</v>
      </c>
      <c r="N126">
        <v>100</v>
      </c>
      <c r="O126">
        <v>33.333333333333329</v>
      </c>
    </row>
    <row r="127" spans="1:15" customFormat="1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customFormat="1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customFormat="1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customFormat="1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customFormat="1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customFormat="1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customFormat="1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customFormat="1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customFormat="1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customFormat="1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customFormat="1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customFormat="1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customFormat="1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customFormat="1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customFormat="1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customFormat="1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customFormat="1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customFormat="1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customFormat="1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customFormat="1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customFormat="1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customFormat="1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customFormat="1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customFormat="1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customFormat="1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customFormat="1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customFormat="1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customFormat="1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customFormat="1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customFormat="1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customFormat="1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customFormat="1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customFormat="1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customFormat="1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customFormat="1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customFormat="1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customFormat="1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customFormat="1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customFormat="1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customFormat="1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customFormat="1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customFormat="1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customFormat="1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customFormat="1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customFormat="1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customFormat="1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customFormat="1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customFormat="1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customFormat="1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customFormat="1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customFormat="1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customFormat="1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customFormat="1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customFormat="1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customFormat="1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customFormat="1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customFormat="1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customFormat="1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customFormat="1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customFormat="1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customFormat="1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customFormat="1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customFormat="1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customFormat="1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customFormat="1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customFormat="1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customFormat="1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customFormat="1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customFormat="1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customFormat="1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customFormat="1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customFormat="1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customFormat="1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customFormat="1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customFormat="1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customFormat="1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customFormat="1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customFormat="1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customFormat="1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customFormat="1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customFormat="1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customFormat="1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customFormat="1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customFormat="1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customFormat="1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customFormat="1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customFormat="1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customFormat="1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customFormat="1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customFormat="1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customFormat="1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customFormat="1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customFormat="1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customFormat="1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customFormat="1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customFormat="1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customFormat="1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customFormat="1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6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  <c r="P225"/>
    </row>
    <row r="226" spans="1:16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  <c r="P226"/>
    </row>
    <row r="227" spans="1:16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  <c r="P227"/>
    </row>
    <row r="228" spans="1:16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  <c r="P228"/>
    </row>
    <row r="229" spans="1:16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  <c r="P229"/>
    </row>
    <row r="230" spans="1:16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  <c r="P230"/>
    </row>
    <row r="231" spans="1:16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  <c r="P231"/>
    </row>
    <row r="232" spans="1:16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  <c r="P232"/>
    </row>
    <row r="233" spans="1:16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  <c r="P233"/>
    </row>
    <row r="234" spans="1:16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  <c r="P234"/>
    </row>
    <row r="235" spans="1:16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  <c r="P235"/>
    </row>
    <row r="236" spans="1:16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  <c r="P236"/>
    </row>
    <row r="237" spans="1:16" hidden="1" x14ac:dyDescent="0.25">
      <c r="A237" s="11">
        <v>46140</v>
      </c>
      <c r="B237" t="s">
        <v>31</v>
      </c>
      <c r="C237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6" hidden="1" x14ac:dyDescent="0.25">
      <c r="A238" s="11">
        <v>46141</v>
      </c>
      <c r="B238" t="s">
        <v>31</v>
      </c>
      <c r="C238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98.66</v>
      </c>
      <c r="O238" s="3">
        <v>35.416666666666671</v>
      </c>
    </row>
    <row r="239" spans="1:16" hidden="1" x14ac:dyDescent="0.25">
      <c r="A239" s="11">
        <v>46142</v>
      </c>
      <c r="B239" t="s">
        <v>31</v>
      </c>
      <c r="C239" t="s">
        <v>32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 s="3">
        <v>0</v>
      </c>
      <c r="N239" s="3">
        <v>98.66</v>
      </c>
      <c r="O239" s="3">
        <v>35.416666666666671</v>
      </c>
    </row>
    <row r="240" spans="1:16" hidden="1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3">
        <v>0</v>
      </c>
      <c r="N240" s="3">
        <v>100</v>
      </c>
      <c r="O240" s="3">
        <v>0</v>
      </c>
    </row>
    <row r="241" spans="1:16" hidden="1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3">
        <v>0</v>
      </c>
      <c r="N241" s="3">
        <v>100</v>
      </c>
      <c r="O241" s="3">
        <v>0</v>
      </c>
    </row>
    <row r="242" spans="1:16" hidden="1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3">
        <v>0</v>
      </c>
      <c r="N242" s="3">
        <v>100</v>
      </c>
      <c r="O242" s="3">
        <v>0</v>
      </c>
    </row>
    <row r="243" spans="1:16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  <c r="P243"/>
    </row>
    <row r="244" spans="1:16" hidden="1" x14ac:dyDescent="0.25">
      <c r="A244" s="11">
        <v>46168</v>
      </c>
      <c r="B244" t="s">
        <v>31</v>
      </c>
      <c r="C244" t="s">
        <v>32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M244" s="3">
        <v>0</v>
      </c>
      <c r="N244" s="3">
        <v>100</v>
      </c>
      <c r="O244" s="3">
        <v>0</v>
      </c>
    </row>
    <row r="245" spans="1:16" hidden="1" x14ac:dyDescent="0.25">
      <c r="A245" s="11">
        <v>46140</v>
      </c>
      <c r="B245" t="s">
        <v>33</v>
      </c>
      <c r="C24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100</v>
      </c>
      <c r="O245" s="3">
        <v>27.803738317757009</v>
      </c>
    </row>
    <row r="246" spans="1:16" hidden="1" x14ac:dyDescent="0.25">
      <c r="A246" s="11">
        <v>46141</v>
      </c>
      <c r="B246" t="s">
        <v>33</v>
      </c>
      <c r="C246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0</v>
      </c>
      <c r="N246" s="3">
        <v>100</v>
      </c>
      <c r="O246" s="3">
        <v>27.803738317757009</v>
      </c>
    </row>
    <row r="247" spans="1:16" hidden="1" x14ac:dyDescent="0.25">
      <c r="A247" s="11">
        <v>46142</v>
      </c>
      <c r="B247" t="s">
        <v>33</v>
      </c>
      <c r="C247" t="s">
        <v>32</v>
      </c>
      <c r="D247" s="3">
        <v>33</v>
      </c>
      <c r="E247" s="3">
        <v>32</v>
      </c>
      <c r="F247" s="3">
        <v>13.4</v>
      </c>
      <c r="G247" s="3">
        <v>0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 s="3">
        <v>28</v>
      </c>
      <c r="N247" s="3">
        <v>100</v>
      </c>
      <c r="O247" s="3">
        <v>27.803738317757009</v>
      </c>
    </row>
    <row r="248" spans="1:16" hidden="1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3">
        <v>31</v>
      </c>
      <c r="N248" s="3">
        <v>96.94</v>
      </c>
      <c r="O248" s="3">
        <v>19.613259668508292</v>
      </c>
    </row>
    <row r="249" spans="1:16" hidden="1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6" hidden="1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3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6" hidden="1" x14ac:dyDescent="0.25">
      <c r="A251" s="11">
        <v>46168</v>
      </c>
      <c r="B251" t="s">
        <v>33</v>
      </c>
      <c r="C251" t="s">
        <v>32</v>
      </c>
      <c r="D251" s="3">
        <v>33</v>
      </c>
      <c r="E251" s="3">
        <v>27</v>
      </c>
      <c r="F251" s="3">
        <v>12.19</v>
      </c>
      <c r="G251" s="3">
        <v>3</v>
      </c>
      <c r="M251" s="3">
        <v>26</v>
      </c>
      <c r="N251" s="3">
        <v>96.94</v>
      </c>
      <c r="O251" s="3">
        <v>21.546961325966851</v>
      </c>
    </row>
    <row r="252" spans="1:16" hidden="1" x14ac:dyDescent="0.25">
      <c r="A252" s="11">
        <v>46140</v>
      </c>
      <c r="B252" t="s">
        <v>34</v>
      </c>
      <c r="C252" t="s">
        <v>32</v>
      </c>
      <c r="D252" s="3">
        <v>28</v>
      </c>
      <c r="E252" s="3">
        <v>24</v>
      </c>
      <c r="F252" s="3">
        <v>15.03</v>
      </c>
      <c r="G252" s="3">
        <v>0</v>
      </c>
      <c r="H252" s="3">
        <v>0</v>
      </c>
      <c r="I252" s="3">
        <f t="shared" ref="I252:I257" si="42">E252+G252+H252</f>
        <v>24</v>
      </c>
      <c r="J252" s="3">
        <f t="shared" ref="J252:J257" si="43"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 t="shared" ref="K252:K257" si="44">I252-J252</f>
        <v>-10</v>
      </c>
      <c r="L252" s="3" t="str">
        <f>IF(K252&lt;-5,"CRÍTICO",IF(K252&lt;0,"ATENÇÃO",IF(K252&lt;=5,"OPORTUNO","MUITO BOM")))</f>
        <v>CRÍTICO</v>
      </c>
      <c r="M252" s="3">
        <v>22</v>
      </c>
      <c r="N252" s="3">
        <v>93.75</v>
      </c>
      <c r="O252" s="3">
        <v>26.819923371647509</v>
      </c>
    </row>
    <row r="253" spans="1:16" hidden="1" x14ac:dyDescent="0.25">
      <c r="A253" s="11">
        <v>46141</v>
      </c>
      <c r="B253" t="s">
        <v>34</v>
      </c>
      <c r="C253" t="s">
        <v>32</v>
      </c>
      <c r="D253" s="3">
        <v>42</v>
      </c>
      <c r="E253" s="3">
        <v>35</v>
      </c>
      <c r="F253" s="3">
        <v>10.130000000000001</v>
      </c>
      <c r="G253" s="3">
        <v>0</v>
      </c>
      <c r="H253" s="3">
        <v>0</v>
      </c>
      <c r="I253" s="3">
        <f t="shared" si="42"/>
        <v>35</v>
      </c>
      <c r="J253" s="3">
        <f t="shared" si="43"/>
        <v>35</v>
      </c>
      <c r="K253" s="3">
        <f t="shared" si="44"/>
        <v>0</v>
      </c>
      <c r="L253" s="3" t="str">
        <f>IF(K253&lt;-5,"CRÍTICO",IF(K253&lt;0,"ATENÇÃO",IF(K253&lt;=5,"OPORTUNO","MUITO BOM")))</f>
        <v>OPORTUNO</v>
      </c>
      <c r="M253" s="3">
        <v>39</v>
      </c>
      <c r="N253" s="3">
        <v>93.75</v>
      </c>
      <c r="O253" s="3">
        <v>26.819923371647509</v>
      </c>
    </row>
    <row r="254" spans="1:16" hidden="1" x14ac:dyDescent="0.25">
      <c r="A254" s="11">
        <v>46142</v>
      </c>
      <c r="B254" t="s">
        <v>34</v>
      </c>
      <c r="C254" t="s">
        <v>32</v>
      </c>
      <c r="D254" s="3">
        <v>39</v>
      </c>
      <c r="E254" s="3">
        <v>37</v>
      </c>
      <c r="F254" s="3">
        <v>11.54</v>
      </c>
      <c r="G254" s="3">
        <v>0</v>
      </c>
      <c r="H254" s="3">
        <v>0</v>
      </c>
      <c r="I254" s="3">
        <f t="shared" si="42"/>
        <v>37</v>
      </c>
      <c r="J254" s="3">
        <f t="shared" si="43"/>
        <v>32</v>
      </c>
      <c r="K254" s="3">
        <f t="shared" si="44"/>
        <v>5</v>
      </c>
      <c r="L254" s="3" t="str">
        <f>IF(K254&lt;-5,"CRÍTICO",IF(K254&lt;0,"ATENÇÃO",IF(K254&lt;=5,"OPORTUNO","MUITO BOM")))</f>
        <v>OPORTUNO</v>
      </c>
      <c r="M254" s="3">
        <v>37</v>
      </c>
      <c r="N254" s="3">
        <v>93.75</v>
      </c>
      <c r="O254" s="3">
        <v>26.819923371647509</v>
      </c>
    </row>
    <row r="255" spans="1:16" hidden="1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42"/>
        <v>38</v>
      </c>
      <c r="J255" s="3">
        <f t="shared" si="43"/>
        <v>35</v>
      </c>
      <c r="K255" s="3">
        <f t="shared" si="44"/>
        <v>3</v>
      </c>
      <c r="L255" s="3" t="str">
        <f>IF(K255&lt;-5,"CRÍTICO",IF(K255&lt;0,"ATENÇÃO",IF(K255&lt;=5,"BOM","EXCELENTE")))</f>
        <v>BOM</v>
      </c>
      <c r="M255" s="3">
        <v>32</v>
      </c>
      <c r="N255" s="3">
        <v>92.81</v>
      </c>
      <c r="O255" s="3">
        <v>25.477707006369432</v>
      </c>
    </row>
    <row r="256" spans="1:16" hidden="1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42"/>
        <v>47</v>
      </c>
      <c r="J256" s="3">
        <f t="shared" si="43"/>
        <v>35</v>
      </c>
      <c r="K256" s="3">
        <f t="shared" si="44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hidden="1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3">
        <v>12.07</v>
      </c>
      <c r="G257" s="3">
        <v>0</v>
      </c>
      <c r="H257" s="3">
        <v>0</v>
      </c>
      <c r="I257" s="3">
        <f t="shared" si="42"/>
        <v>44</v>
      </c>
      <c r="J257" s="3">
        <f t="shared" si="43"/>
        <v>35</v>
      </c>
      <c r="K257" s="3">
        <f t="shared" si="44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hidden="1" x14ac:dyDescent="0.25">
      <c r="A258" s="11">
        <v>46168</v>
      </c>
      <c r="B258" t="s">
        <v>34</v>
      </c>
      <c r="C258" t="s">
        <v>32</v>
      </c>
      <c r="D258" s="3">
        <v>24</v>
      </c>
      <c r="E258" s="3">
        <v>22</v>
      </c>
      <c r="F258" s="3">
        <v>10.43</v>
      </c>
      <c r="G258" s="3">
        <v>0</v>
      </c>
      <c r="M258" s="3">
        <v>15</v>
      </c>
      <c r="N258" s="3">
        <v>92.81</v>
      </c>
      <c r="O258" s="3">
        <v>26.114649681528661</v>
      </c>
    </row>
    <row r="259" spans="1:15" hidden="1" x14ac:dyDescent="0.25">
      <c r="A259" s="11">
        <v>46140</v>
      </c>
      <c r="B259" t="s">
        <v>35</v>
      </c>
      <c r="C259" t="s">
        <v>32</v>
      </c>
      <c r="D259" s="3">
        <v>30</v>
      </c>
      <c r="E259" s="3">
        <v>28</v>
      </c>
      <c r="F259" s="3">
        <v>22.11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 s="3">
        <v>29</v>
      </c>
      <c r="N259" s="3">
        <v>100</v>
      </c>
      <c r="O259" s="3">
        <v>38.653846153846153</v>
      </c>
    </row>
    <row r="260" spans="1:15" hidden="1" x14ac:dyDescent="0.25">
      <c r="A260" s="11">
        <v>46141</v>
      </c>
      <c r="B260" t="s">
        <v>35</v>
      </c>
      <c r="C260" t="s">
        <v>32</v>
      </c>
      <c r="D260" s="3">
        <v>33</v>
      </c>
      <c r="E260" s="3">
        <v>31</v>
      </c>
      <c r="F260" s="3">
        <v>20.43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 s="3">
        <v>33</v>
      </c>
      <c r="N260" s="3">
        <v>100</v>
      </c>
      <c r="O260" s="3">
        <v>38.653846153846153</v>
      </c>
    </row>
    <row r="261" spans="1:15" hidden="1" x14ac:dyDescent="0.25">
      <c r="A261" s="11">
        <v>46142</v>
      </c>
      <c r="B261" t="s">
        <v>35</v>
      </c>
      <c r="C261" t="s">
        <v>32</v>
      </c>
      <c r="D261" s="3">
        <v>33</v>
      </c>
      <c r="E261" s="3">
        <v>30</v>
      </c>
      <c r="F261" s="3">
        <v>20.329999999999998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 s="3">
        <v>31</v>
      </c>
      <c r="N261" s="3">
        <v>100</v>
      </c>
      <c r="O261" s="3">
        <v>38.653846153846153</v>
      </c>
    </row>
    <row r="262" spans="1:15" hidden="1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3">
        <v>25</v>
      </c>
      <c r="N262" s="3">
        <v>99.19</v>
      </c>
      <c r="O262" s="3">
        <v>28.404669260700391</v>
      </c>
    </row>
    <row r="263" spans="1:15" hidden="1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hidden="1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3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hidden="1" x14ac:dyDescent="0.25">
      <c r="A265" s="11">
        <v>46168</v>
      </c>
      <c r="B265" t="s">
        <v>35</v>
      </c>
      <c r="C265" t="s">
        <v>32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M265" s="3">
        <v>0</v>
      </c>
      <c r="N265" s="3">
        <v>99.19</v>
      </c>
      <c r="O265" s="3">
        <v>29.57198443579767</v>
      </c>
    </row>
    <row r="266" spans="1:15" hidden="1" x14ac:dyDescent="0.25">
      <c r="A266" s="11">
        <v>46140</v>
      </c>
      <c r="B266" t="s">
        <v>36</v>
      </c>
      <c r="C266" t="s">
        <v>32</v>
      </c>
      <c r="D266" s="3">
        <v>32</v>
      </c>
      <c r="E266" s="3">
        <v>31</v>
      </c>
      <c r="F266" s="3">
        <v>18.489999999999998</v>
      </c>
      <c r="G266" s="3">
        <v>0</v>
      </c>
      <c r="H266" s="3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 s="3">
        <v>30</v>
      </c>
      <c r="N266" s="3">
        <v>99.26</v>
      </c>
      <c r="O266" s="3">
        <v>29.766536964980549</v>
      </c>
    </row>
    <row r="267" spans="1:15" hidden="1" x14ac:dyDescent="0.25">
      <c r="A267" s="11">
        <v>46141</v>
      </c>
      <c r="B267" t="s">
        <v>36</v>
      </c>
      <c r="C267" t="s">
        <v>32</v>
      </c>
      <c r="D267" s="3">
        <v>31</v>
      </c>
      <c r="E267" s="3">
        <v>29</v>
      </c>
      <c r="F267" s="3">
        <v>16.579999999999998</v>
      </c>
      <c r="G267" s="3">
        <v>0</v>
      </c>
      <c r="H267" s="3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 s="3">
        <v>28</v>
      </c>
      <c r="N267" s="3">
        <v>99.26</v>
      </c>
      <c r="O267" s="3">
        <v>29.766536964980549</v>
      </c>
    </row>
    <row r="268" spans="1:15" hidden="1" x14ac:dyDescent="0.25">
      <c r="A268" s="11">
        <v>46142</v>
      </c>
      <c r="B268" t="s">
        <v>36</v>
      </c>
      <c r="C268" t="s">
        <v>32</v>
      </c>
      <c r="D268" s="3">
        <v>29</v>
      </c>
      <c r="E268" s="3">
        <v>26</v>
      </c>
      <c r="F268" s="3">
        <v>15.07</v>
      </c>
      <c r="G268" s="3">
        <v>0</v>
      </c>
      <c r="H268" s="3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 s="3">
        <v>27</v>
      </c>
      <c r="N268" s="3">
        <v>99.26</v>
      </c>
      <c r="O268" s="3">
        <v>29.766536964980549</v>
      </c>
    </row>
    <row r="269" spans="1:15" hidden="1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3">
        <v>0</v>
      </c>
      <c r="N269" s="3">
        <v>100</v>
      </c>
      <c r="O269" s="3">
        <v>13.51351351351351</v>
      </c>
    </row>
    <row r="270" spans="1:15" hidden="1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hidden="1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hidden="1" x14ac:dyDescent="0.25">
      <c r="A272" s="11">
        <v>46168</v>
      </c>
      <c r="B272" t="s">
        <v>36</v>
      </c>
      <c r="C272" t="s">
        <v>32</v>
      </c>
      <c r="D272" s="3">
        <v>38</v>
      </c>
      <c r="E272" s="3">
        <v>35</v>
      </c>
      <c r="F272" s="3">
        <v>12</v>
      </c>
      <c r="G272" s="3">
        <v>3</v>
      </c>
      <c r="M272" s="3">
        <v>34</v>
      </c>
      <c r="N272" s="3">
        <v>100</v>
      </c>
      <c r="O272" s="3">
        <v>15.06849315068493</v>
      </c>
    </row>
    <row r="273" spans="1:16" hidden="1" x14ac:dyDescent="0.25">
      <c r="A273" s="11">
        <v>46140</v>
      </c>
      <c r="B273" t="s">
        <v>37</v>
      </c>
      <c r="C273" t="s">
        <v>32</v>
      </c>
      <c r="D273" s="3">
        <v>38</v>
      </c>
      <c r="E273" s="3">
        <v>35</v>
      </c>
      <c r="F273" s="3">
        <v>16.57</v>
      </c>
      <c r="G273" s="3">
        <v>0</v>
      </c>
      <c r="H273" s="3">
        <v>0</v>
      </c>
      <c r="I273" s="3">
        <f t="shared" ref="I273:I278" si="45">E273+G273+H273</f>
        <v>35</v>
      </c>
      <c r="J273" s="3">
        <f t="shared" ref="J273:J278" si="46"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 t="shared" ref="K273:K278" si="47">I273-J273</f>
        <v>1</v>
      </c>
      <c r="L273" s="3" t="str">
        <f>IF(K273&lt;-5,"CRÍTICO",IF(K273&lt;0,"ATENÇÃO",IF(K273&lt;=5,"OPORTUNO","MUITO BOM")))</f>
        <v>OPORTUNO</v>
      </c>
      <c r="M273" s="3">
        <v>32</v>
      </c>
      <c r="N273" s="3">
        <v>99.57</v>
      </c>
      <c r="O273" s="3">
        <v>30.635838150289018</v>
      </c>
    </row>
    <row r="274" spans="1:16" hidden="1" x14ac:dyDescent="0.25">
      <c r="A274" s="11">
        <v>46141</v>
      </c>
      <c r="B274" t="s">
        <v>37</v>
      </c>
      <c r="C274" t="s">
        <v>32</v>
      </c>
      <c r="D274" s="3">
        <v>44</v>
      </c>
      <c r="E274" s="3">
        <v>40</v>
      </c>
      <c r="F274" s="3">
        <v>12.14</v>
      </c>
      <c r="G274" s="3">
        <v>0</v>
      </c>
      <c r="H274" s="3">
        <v>0</v>
      </c>
      <c r="I274" s="3">
        <f t="shared" si="45"/>
        <v>40</v>
      </c>
      <c r="J274" s="3">
        <f t="shared" si="46"/>
        <v>35</v>
      </c>
      <c r="K274" s="3">
        <f t="shared" si="47"/>
        <v>5</v>
      </c>
      <c r="L274" s="3" t="str">
        <f>IF(K274&lt;-5,"CRÍTICO",IF(K274&lt;0,"ATENÇÃO",IF(K274&lt;=5,"OPORTUNO","MUITO BOM")))</f>
        <v>OPORTUNO</v>
      </c>
      <c r="M274" s="3">
        <v>45</v>
      </c>
      <c r="N274" s="3">
        <v>99.57</v>
      </c>
      <c r="O274" s="3">
        <v>30.635838150289018</v>
      </c>
    </row>
    <row r="275" spans="1:16" hidden="1" x14ac:dyDescent="0.25">
      <c r="A275" s="11">
        <v>46142</v>
      </c>
      <c r="B275" t="s">
        <v>37</v>
      </c>
      <c r="C275" t="s">
        <v>32</v>
      </c>
      <c r="D275" s="3">
        <v>47</v>
      </c>
      <c r="E275" s="3">
        <v>42</v>
      </c>
      <c r="F275" s="3">
        <v>12.14</v>
      </c>
      <c r="G275" s="3">
        <v>0</v>
      </c>
      <c r="H275" s="3">
        <v>0</v>
      </c>
      <c r="I275" s="3">
        <f t="shared" si="45"/>
        <v>42</v>
      </c>
      <c r="J275" s="3">
        <f t="shared" si="46"/>
        <v>32</v>
      </c>
      <c r="K275" s="3">
        <f t="shared" si="47"/>
        <v>10</v>
      </c>
      <c r="L275" s="3" t="str">
        <f>IF(K275&lt;-5,"CRÍTICO",IF(K275&lt;0,"ATENÇÃO",IF(K275&lt;=5,"OPORTUNO","MUITO BOM")))</f>
        <v>MUITO BOM</v>
      </c>
      <c r="M275" s="3">
        <v>45</v>
      </c>
      <c r="N275" s="3">
        <v>99.57</v>
      </c>
      <c r="O275" s="3">
        <v>30.635838150289018</v>
      </c>
    </row>
    <row r="276" spans="1:16" hidden="1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45"/>
        <v>49</v>
      </c>
      <c r="J276" s="3">
        <f t="shared" si="46"/>
        <v>35</v>
      </c>
      <c r="K276" s="3">
        <f t="shared" si="47"/>
        <v>14</v>
      </c>
      <c r="L276" s="3" t="str">
        <f>IF(K276&lt;-5,"CRÍTICO",IF(K276&lt;0,"ATENÇÃO",IF(K276&lt;=5,"BOM","EXCELENTE")))</f>
        <v>EXCELENTE</v>
      </c>
      <c r="M276" s="3">
        <v>46</v>
      </c>
      <c r="N276" s="3">
        <v>99</v>
      </c>
      <c r="O276" s="3">
        <v>22.27414330218069</v>
      </c>
    </row>
    <row r="277" spans="1:16" hidden="1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3">
        <v>15.42</v>
      </c>
      <c r="G277" s="3">
        <v>2</v>
      </c>
      <c r="H277" s="3">
        <v>0</v>
      </c>
      <c r="I277" s="3">
        <f t="shared" si="45"/>
        <v>42</v>
      </c>
      <c r="J277" s="3">
        <f t="shared" si="46"/>
        <v>35</v>
      </c>
      <c r="K277" s="3">
        <f t="shared" si="47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6" hidden="1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3">
        <v>13.59</v>
      </c>
      <c r="G278" s="3">
        <v>23</v>
      </c>
      <c r="H278" s="3">
        <v>0</v>
      </c>
      <c r="I278" s="3">
        <f t="shared" si="45"/>
        <v>68</v>
      </c>
      <c r="J278" s="3">
        <f t="shared" si="46"/>
        <v>35</v>
      </c>
      <c r="K278" s="3">
        <f t="shared" si="47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6" hidden="1" x14ac:dyDescent="0.25">
      <c r="A279" s="11">
        <v>46168</v>
      </c>
      <c r="B279" t="s">
        <v>37</v>
      </c>
      <c r="C279" t="s">
        <v>32</v>
      </c>
      <c r="D279" s="3">
        <v>38</v>
      </c>
      <c r="E279" s="3">
        <v>35</v>
      </c>
      <c r="F279" s="3">
        <v>13.38</v>
      </c>
      <c r="G279" s="3">
        <v>5</v>
      </c>
      <c r="M279" s="3">
        <v>34</v>
      </c>
      <c r="N279" s="3">
        <v>99</v>
      </c>
      <c r="O279" s="3">
        <v>23.052959501557631</v>
      </c>
    </row>
    <row r="280" spans="1:16" hidden="1" x14ac:dyDescent="0.25">
      <c r="A280" s="11">
        <v>46140</v>
      </c>
      <c r="B280" t="s">
        <v>38</v>
      </c>
      <c r="C280" t="s">
        <v>32</v>
      </c>
      <c r="D280" s="3">
        <v>28</v>
      </c>
      <c r="E280" s="3">
        <v>28</v>
      </c>
      <c r="F280" s="3">
        <v>14.08</v>
      </c>
      <c r="G280" s="3">
        <v>0</v>
      </c>
      <c r="H280" s="3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 s="3">
        <v>24</v>
      </c>
      <c r="N280" s="3">
        <v>95.65</v>
      </c>
      <c r="O280" s="3">
        <v>32.432432432432442</v>
      </c>
    </row>
    <row r="281" spans="1:16" hidden="1" x14ac:dyDescent="0.25">
      <c r="A281" s="11">
        <v>46141</v>
      </c>
      <c r="B281" t="s">
        <v>38</v>
      </c>
      <c r="C281" t="s">
        <v>32</v>
      </c>
      <c r="D281" s="3">
        <v>22</v>
      </c>
      <c r="E281" s="3">
        <v>20</v>
      </c>
      <c r="F281" s="3">
        <v>15.05</v>
      </c>
      <c r="G281" s="3">
        <v>0</v>
      </c>
      <c r="H281" s="3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 s="3">
        <v>19</v>
      </c>
      <c r="N281" s="3">
        <v>95.65</v>
      </c>
      <c r="O281" s="3">
        <v>32.432432432432442</v>
      </c>
    </row>
    <row r="282" spans="1:16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  <c r="P282"/>
    </row>
    <row r="283" spans="1:16" hidden="1" x14ac:dyDescent="0.25">
      <c r="A283" s="11">
        <v>46142</v>
      </c>
      <c r="B283" t="s">
        <v>38</v>
      </c>
      <c r="C283" t="s">
        <v>32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 s="3">
        <v>9</v>
      </c>
      <c r="N283" s="3">
        <v>95.65</v>
      </c>
      <c r="O283" s="3">
        <v>32.432432432432442</v>
      </c>
    </row>
    <row r="284" spans="1:16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48">IF(K284&lt;-5,"CRÍTICO",IF(K284&lt;0,"ATENÇÃO",IF(K284&lt;=5,"BOM","EXCELENTE")))</f>
        <v>BOM</v>
      </c>
      <c r="M284" s="3">
        <v>0</v>
      </c>
      <c r="N284" s="3">
        <v>100</v>
      </c>
      <c r="O284" s="3">
        <v>0</v>
      </c>
    </row>
    <row r="285" spans="1:16" hidden="1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 s="3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48"/>
        <v>ATENÇÃO</v>
      </c>
      <c r="M285" s="3">
        <v>33</v>
      </c>
      <c r="N285" s="3">
        <v>96.94</v>
      </c>
      <c r="O285" s="3">
        <v>19.613259668508292</v>
      </c>
    </row>
    <row r="286" spans="1:16" hidden="1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 s="3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48"/>
        <v>EXCELENTE</v>
      </c>
      <c r="M286" s="3">
        <v>38</v>
      </c>
      <c r="N286" s="3">
        <v>92.81</v>
      </c>
      <c r="O286" s="3">
        <v>25.477707006369432</v>
      </c>
    </row>
    <row r="287" spans="1:16" hidden="1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 s="3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48"/>
        <v>BOM</v>
      </c>
      <c r="M287" s="3">
        <v>29</v>
      </c>
      <c r="N287" s="3">
        <v>99.19</v>
      </c>
      <c r="O287" s="3">
        <v>28.404669260700391</v>
      </c>
    </row>
    <row r="288" spans="1:16" hidden="1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48"/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 s="3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48"/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 s="3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48"/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48"/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 s="3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48"/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 s="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48"/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48"/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 s="3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48"/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 s="3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48"/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 s="3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48"/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 s="3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48"/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48"/>
        <v>BOM</v>
      </c>
      <c r="M299" s="3">
        <v>0</v>
      </c>
      <c r="N299" s="3">
        <v>100</v>
      </c>
      <c r="O299" s="3">
        <v>0</v>
      </c>
    </row>
    <row r="300" spans="1:15" hidden="1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 s="3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48"/>
        <v>ATENÇÃO</v>
      </c>
      <c r="M300" s="3">
        <v>20</v>
      </c>
      <c r="N300" s="3">
        <v>96.94</v>
      </c>
      <c r="O300" s="3">
        <v>19.613259668508292</v>
      </c>
    </row>
    <row r="301" spans="1:15" hidden="1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 s="3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48"/>
        <v>ATENÇÃO</v>
      </c>
      <c r="M301" s="3">
        <v>25</v>
      </c>
      <c r="N301" s="3">
        <v>92.81</v>
      </c>
      <c r="O301" s="3">
        <v>25.477707006369432</v>
      </c>
    </row>
    <row r="302" spans="1:15" hidden="1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 s="3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48"/>
        <v>BOM</v>
      </c>
      <c r="M302" s="3">
        <v>22</v>
      </c>
      <c r="N302" s="3">
        <v>99.19</v>
      </c>
      <c r="O302" s="3">
        <v>28.404669260700391</v>
      </c>
    </row>
    <row r="303" spans="1:15" hidden="1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48"/>
        <v>BOM</v>
      </c>
      <c r="M303" s="3">
        <v>0</v>
      </c>
      <c r="N303" s="3">
        <v>100</v>
      </c>
      <c r="O303" s="3">
        <v>13.51351351351351</v>
      </c>
    </row>
    <row r="304" spans="1:15" hidden="1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 s="3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48"/>
        <v>EXCELENTE</v>
      </c>
      <c r="M304" s="3">
        <v>41</v>
      </c>
      <c r="N304" s="3">
        <v>99</v>
      </c>
      <c r="O304" s="3">
        <v>22.27414330218069</v>
      </c>
    </row>
    <row r="305" spans="1:15" hidden="1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 s="3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48"/>
        <v>ATENÇÃO</v>
      </c>
      <c r="M305" s="3">
        <v>21</v>
      </c>
      <c r="N305" s="3">
        <v>97.04</v>
      </c>
      <c r="O305" s="3">
        <v>29.828850855745721</v>
      </c>
    </row>
    <row r="306" spans="1:15" hidden="1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48"/>
        <v>BOM</v>
      </c>
      <c r="M306" s="3">
        <v>0</v>
      </c>
      <c r="N306" s="3">
        <v>0</v>
      </c>
      <c r="O306" s="3">
        <v>0</v>
      </c>
    </row>
    <row r="307" spans="1:15" hidden="1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 s="3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48"/>
        <v>CRÍTICO</v>
      </c>
      <c r="M307" s="3">
        <v>4</v>
      </c>
      <c r="N307" s="3">
        <v>96.84</v>
      </c>
      <c r="O307" s="3">
        <v>16.338028169014081</v>
      </c>
    </row>
    <row r="308" spans="1:15" hidden="1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 s="3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48"/>
        <v>ATENÇÃO</v>
      </c>
      <c r="M308" s="3">
        <v>24</v>
      </c>
      <c r="N308" s="3">
        <v>100</v>
      </c>
      <c r="O308" s="3">
        <v>18.244803695150122</v>
      </c>
    </row>
    <row r="309" spans="1:15" hidden="1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48"/>
        <v>BOM</v>
      </c>
      <c r="M309" s="3">
        <v>0</v>
      </c>
      <c r="N309" s="3">
        <v>100</v>
      </c>
      <c r="O309" s="3">
        <v>15.789473684210529</v>
      </c>
    </row>
    <row r="310" spans="1:15" hidden="1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 s="3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48"/>
        <v>BOM</v>
      </c>
      <c r="M310" s="3">
        <v>21</v>
      </c>
      <c r="N310" s="3">
        <v>98.39</v>
      </c>
      <c r="O310" s="3">
        <v>8.7999999999999989</v>
      </c>
    </row>
    <row r="311" spans="1:15" hidden="1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 s="3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48"/>
        <v>BOM</v>
      </c>
      <c r="M311" s="3">
        <v>23</v>
      </c>
      <c r="N311" s="3">
        <v>96.38</v>
      </c>
      <c r="O311" s="3">
        <v>23.198198198198199</v>
      </c>
    </row>
    <row r="312" spans="1:15" hidden="1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 s="3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48"/>
        <v>EXCELENTE</v>
      </c>
      <c r="M312" s="3">
        <v>26</v>
      </c>
      <c r="N312" s="3">
        <v>99.39</v>
      </c>
      <c r="O312" s="3">
        <v>25.203252032520329</v>
      </c>
    </row>
    <row r="313" spans="1:15" hidden="1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 s="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48"/>
        <v>ATENÇÃO</v>
      </c>
      <c r="M313" s="3">
        <v>25</v>
      </c>
      <c r="N313" s="3">
        <v>97</v>
      </c>
      <c r="O313" s="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48"/>
        <v>BOM</v>
      </c>
      <c r="M314" s="3">
        <v>0</v>
      </c>
      <c r="N314" s="3">
        <v>100</v>
      </c>
      <c r="O314" s="3">
        <v>0</v>
      </c>
    </row>
    <row r="315" spans="1:15" hidden="1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 s="3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48"/>
        <v>CRÍTICO</v>
      </c>
      <c r="M315" s="3">
        <v>13</v>
      </c>
      <c r="N315" s="3">
        <v>96.94</v>
      </c>
      <c r="O315" s="3">
        <v>19.613259668508292</v>
      </c>
    </row>
    <row r="316" spans="1:15" hidden="1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 s="3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49">IF(K316&lt;-5,"CRÍTICO",IF(K316&lt;0,"ATENÇÃO",IF(K316&lt;=5,"BOM","EXCELENTE")))</f>
        <v>BOM</v>
      </c>
      <c r="M316" s="3">
        <v>31</v>
      </c>
      <c r="N316" s="3">
        <v>92.81</v>
      </c>
      <c r="O316" s="3">
        <v>25.477707006369432</v>
      </c>
    </row>
    <row r="317" spans="1:15" hidden="1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 s="3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49"/>
        <v>BOM</v>
      </c>
      <c r="M317" s="3">
        <v>25</v>
      </c>
      <c r="N317" s="3">
        <v>99.19</v>
      </c>
      <c r="O317" s="3">
        <v>28.404669260700391</v>
      </c>
    </row>
    <row r="318" spans="1:15" hidden="1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49"/>
        <v>BOM</v>
      </c>
      <c r="M318" s="3">
        <v>0</v>
      </c>
      <c r="N318" s="3">
        <v>100</v>
      </c>
      <c r="O318" s="3">
        <v>13.51351351351351</v>
      </c>
    </row>
    <row r="319" spans="1:15" hidden="1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 s="3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49"/>
        <v>EXCELENTE</v>
      </c>
      <c r="M319" s="3">
        <v>44</v>
      </c>
      <c r="N319" s="3">
        <v>99</v>
      </c>
      <c r="O319" s="3">
        <v>22.27414330218069</v>
      </c>
    </row>
    <row r="320" spans="1:15" hidden="1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 s="3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49"/>
        <v>CRÍTICO</v>
      </c>
      <c r="M320" s="3">
        <v>17</v>
      </c>
      <c r="N320" s="3">
        <v>97.04</v>
      </c>
      <c r="O320" s="3">
        <v>29.828850855745721</v>
      </c>
    </row>
    <row r="321" spans="1:16" hidden="1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49"/>
        <v>BOM</v>
      </c>
      <c r="M321" s="3">
        <v>0</v>
      </c>
      <c r="N321" s="3">
        <v>0</v>
      </c>
      <c r="O321" s="3">
        <v>0</v>
      </c>
    </row>
    <row r="322" spans="1:16" hidden="1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 s="3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49"/>
        <v>CRÍTICO</v>
      </c>
      <c r="M322" s="3">
        <v>23</v>
      </c>
      <c r="N322" s="3">
        <v>96.84</v>
      </c>
      <c r="O322" s="3">
        <v>16.338028169014081</v>
      </c>
    </row>
    <row r="323" spans="1:16" hidden="1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 s="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49"/>
        <v>ATENÇÃO</v>
      </c>
      <c r="M323" s="3">
        <v>29</v>
      </c>
      <c r="N323" s="3">
        <v>100</v>
      </c>
      <c r="O323" s="3">
        <v>18.244803695150122</v>
      </c>
    </row>
    <row r="324" spans="1:16" hidden="1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49"/>
        <v>BOM</v>
      </c>
      <c r="M324" s="3">
        <v>0</v>
      </c>
      <c r="N324" s="3">
        <v>100</v>
      </c>
      <c r="O324" s="3">
        <v>15.789473684210529</v>
      </c>
    </row>
    <row r="325" spans="1:16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 t="shared" si="49"/>
        <v>BOM</v>
      </c>
      <c r="M325">
        <v>16</v>
      </c>
      <c r="N325">
        <v>98.91</v>
      </c>
      <c r="O325">
        <v>31.367292225201069</v>
      </c>
      <c r="P325"/>
    </row>
    <row r="326" spans="1:16" hidden="1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 s="3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49"/>
        <v>EXCELENTE</v>
      </c>
      <c r="M326" s="3">
        <v>27</v>
      </c>
      <c r="N326" s="3">
        <v>98.39</v>
      </c>
      <c r="O326" s="3">
        <v>8.7999999999999989</v>
      </c>
    </row>
    <row r="327" spans="1:16" hidden="1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 s="3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49"/>
        <v>ATENÇÃO</v>
      </c>
      <c r="M327" s="3">
        <v>26</v>
      </c>
      <c r="N327" s="3">
        <v>96.38</v>
      </c>
      <c r="O327" s="3">
        <v>23.198198198198199</v>
      </c>
    </row>
    <row r="328" spans="1:16" hidden="1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 s="3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49"/>
        <v>CRÍTICO</v>
      </c>
      <c r="M328" s="3">
        <v>17</v>
      </c>
      <c r="N328" s="3">
        <v>99.39</v>
      </c>
      <c r="O328" s="3">
        <v>25.203252032520329</v>
      </c>
    </row>
    <row r="329" spans="1:16" hidden="1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 s="3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49"/>
        <v>CRÍTICO</v>
      </c>
      <c r="M329" s="3">
        <v>16</v>
      </c>
      <c r="N329" s="3">
        <v>97</v>
      </c>
      <c r="O329" s="3">
        <v>20.325203252032519</v>
      </c>
    </row>
    <row r="330" spans="1:16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BOM</v>
      </c>
      <c r="M330" s="3">
        <v>0</v>
      </c>
      <c r="N330" s="3">
        <v>100</v>
      </c>
      <c r="O330" s="3">
        <v>0</v>
      </c>
    </row>
    <row r="331" spans="1:16" hidden="1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 s="3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49"/>
        <v>ATENÇÃO</v>
      </c>
      <c r="M331" s="3">
        <v>25</v>
      </c>
      <c r="N331" s="3">
        <v>96.94</v>
      </c>
      <c r="O331" s="3">
        <v>19.613259668508292</v>
      </c>
    </row>
    <row r="332" spans="1:16" hidden="1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 s="3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49"/>
        <v>EXCELENTE</v>
      </c>
      <c r="M332" s="3">
        <v>33</v>
      </c>
      <c r="N332" s="3">
        <v>92.81</v>
      </c>
      <c r="O332" s="3">
        <v>25.477707006369432</v>
      </c>
    </row>
    <row r="333" spans="1:16" hidden="1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 s="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49"/>
        <v>BOM</v>
      </c>
      <c r="M333" s="3">
        <v>27</v>
      </c>
      <c r="N333" s="3">
        <v>99.19</v>
      </c>
      <c r="O333" s="3">
        <v>28.404669260700391</v>
      </c>
    </row>
    <row r="334" spans="1:16" hidden="1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49"/>
        <v>BOM</v>
      </c>
      <c r="M334" s="3">
        <v>0</v>
      </c>
      <c r="N334" s="3">
        <v>100</v>
      </c>
      <c r="O334" s="3">
        <v>13.51351351351351</v>
      </c>
    </row>
    <row r="335" spans="1:16" hidden="1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 s="3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49"/>
        <v>EXCELENTE</v>
      </c>
      <c r="M335" s="3">
        <v>45</v>
      </c>
      <c r="N335" s="3">
        <v>99</v>
      </c>
      <c r="O335" s="3">
        <v>22.27414330218069</v>
      </c>
    </row>
    <row r="336" spans="1:16" hidden="1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 s="3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49"/>
        <v>EXCELENTE</v>
      </c>
      <c r="M336" s="3">
        <v>37</v>
      </c>
      <c r="N336" s="3">
        <v>97.04</v>
      </c>
      <c r="O336" s="3">
        <v>29.828850855745721</v>
      </c>
    </row>
    <row r="337" spans="1:15" hidden="1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49"/>
        <v>BOM</v>
      </c>
      <c r="M337" s="3">
        <v>0</v>
      </c>
      <c r="N337" s="3">
        <v>0</v>
      </c>
      <c r="O337" s="3">
        <v>0</v>
      </c>
    </row>
    <row r="338" spans="1:15" hidden="1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 s="3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49"/>
        <v>CRÍTICO</v>
      </c>
      <c r="M338" s="3">
        <v>18</v>
      </c>
      <c r="N338" s="3">
        <v>96.84</v>
      </c>
      <c r="O338" s="3">
        <v>16.338028169014081</v>
      </c>
    </row>
    <row r="339" spans="1:15" hidden="1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 s="3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49"/>
        <v>CRÍTICO</v>
      </c>
      <c r="M339" s="3">
        <v>28</v>
      </c>
      <c r="N339" s="3">
        <v>100</v>
      </c>
      <c r="O339" s="3">
        <v>18.244803695150122</v>
      </c>
    </row>
    <row r="340" spans="1:15" hidden="1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49"/>
        <v>BOM</v>
      </c>
      <c r="M340" s="3">
        <v>0</v>
      </c>
      <c r="N340" s="3">
        <v>100</v>
      </c>
      <c r="O340" s="3">
        <v>15.789473684210529</v>
      </c>
    </row>
    <row r="341" spans="1:15" hidden="1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 s="3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49"/>
        <v>EXCELENTE</v>
      </c>
      <c r="M341" s="3">
        <v>25</v>
      </c>
      <c r="N341" s="3">
        <v>98.39</v>
      </c>
      <c r="O341" s="3">
        <v>8.7999999999999989</v>
      </c>
    </row>
    <row r="342" spans="1:15" hidden="1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 s="3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49"/>
        <v>BOM</v>
      </c>
      <c r="M342" s="3">
        <v>28</v>
      </c>
      <c r="N342" s="3">
        <v>96.38</v>
      </c>
      <c r="O342" s="3">
        <v>23.198198198198199</v>
      </c>
    </row>
    <row r="343" spans="1:15" hidden="1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 s="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49"/>
        <v>ATENÇÃO</v>
      </c>
      <c r="M343" s="3">
        <v>22</v>
      </c>
      <c r="N343" s="3">
        <v>99.39</v>
      </c>
      <c r="O343" s="3">
        <v>25.203252032520329</v>
      </c>
    </row>
    <row r="344" spans="1:15" hidden="1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 s="3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49"/>
        <v>BOM</v>
      </c>
      <c r="M344" s="3">
        <v>25</v>
      </c>
      <c r="N344" s="3">
        <v>97</v>
      </c>
      <c r="O344" s="3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49"/>
        <v>BOM</v>
      </c>
      <c r="M345" s="3">
        <v>0</v>
      </c>
      <c r="N345" s="3">
        <v>100</v>
      </c>
      <c r="O345" s="3">
        <v>0</v>
      </c>
    </row>
    <row r="346" spans="1:15" hidden="1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 s="3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49"/>
        <v>CRÍTICO</v>
      </c>
      <c r="M346" s="3">
        <v>21</v>
      </c>
      <c r="N346" s="3">
        <v>96.94</v>
      </c>
      <c r="O346" s="3">
        <v>19.613259668508292</v>
      </c>
    </row>
    <row r="347" spans="1:15" hidden="1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 s="3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49"/>
        <v>BOM</v>
      </c>
      <c r="M347" s="3">
        <v>31</v>
      </c>
      <c r="N347" s="3">
        <v>92.81</v>
      </c>
      <c r="O347" s="3">
        <v>25.477707006369432</v>
      </c>
    </row>
    <row r="348" spans="1:15" hidden="1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 s="3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50">IF(K348&lt;-5,"CRÍTICO",IF(K348&lt;0,"ATENÇÃO",IF(K348&lt;=5,"BOM","EXCELENTE")))</f>
        <v>BOM</v>
      </c>
      <c r="M348" s="3">
        <v>21</v>
      </c>
      <c r="N348" s="3">
        <v>99.19</v>
      </c>
      <c r="O348" s="3">
        <v>28.404669260700391</v>
      </c>
    </row>
    <row r="349" spans="1:15" hidden="1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0"/>
        <v>BOM</v>
      </c>
      <c r="M349" s="3">
        <v>0</v>
      </c>
      <c r="N349" s="3">
        <v>100</v>
      </c>
      <c r="O349" s="3">
        <v>13.51351351351351</v>
      </c>
    </row>
    <row r="350" spans="1:15" hidden="1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 s="3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50"/>
        <v>EXCELENTE</v>
      </c>
      <c r="M350" s="3">
        <v>37</v>
      </c>
      <c r="N350" s="3">
        <v>99</v>
      </c>
      <c r="O350" s="3">
        <v>22.27414330218069</v>
      </c>
    </row>
    <row r="351" spans="1:15" hidden="1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 s="3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50"/>
        <v>BOM</v>
      </c>
      <c r="M351" s="3">
        <v>31</v>
      </c>
      <c r="N351" s="3">
        <v>97.04</v>
      </c>
      <c r="O351" s="3">
        <v>29.828850855745721</v>
      </c>
    </row>
    <row r="352" spans="1:15" hidden="1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50"/>
        <v>BOM</v>
      </c>
      <c r="M352" s="3">
        <v>0</v>
      </c>
      <c r="N352" s="3">
        <v>0</v>
      </c>
      <c r="O352" s="3">
        <v>0</v>
      </c>
    </row>
    <row r="353" spans="1:15" hidden="1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 s="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50"/>
        <v>ATENÇÃO</v>
      </c>
      <c r="M353" s="3">
        <v>20</v>
      </c>
      <c r="N353" s="3">
        <v>96.84</v>
      </c>
      <c r="O353" s="3">
        <v>16.338028169014081</v>
      </c>
    </row>
    <row r="354" spans="1:15" hidden="1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 s="3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50"/>
        <v>ATENÇÃO</v>
      </c>
      <c r="M354" s="3">
        <v>26</v>
      </c>
      <c r="N354" s="3">
        <v>100</v>
      </c>
      <c r="O354" s="3">
        <v>18.244803695150122</v>
      </c>
    </row>
    <row r="355" spans="1:15" hidden="1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50"/>
        <v>BOM</v>
      </c>
      <c r="M355" s="3">
        <v>0</v>
      </c>
      <c r="N355" s="3">
        <v>100</v>
      </c>
      <c r="O355" s="3">
        <v>15.789473684210529</v>
      </c>
    </row>
    <row r="356" spans="1:15" hidden="1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 s="3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50"/>
        <v>EXCELENTE</v>
      </c>
      <c r="M356" s="3">
        <v>28</v>
      </c>
      <c r="N356" s="3">
        <v>98.39</v>
      </c>
      <c r="O356" s="3">
        <v>8.7999999999999989</v>
      </c>
    </row>
    <row r="357" spans="1:15" hidden="1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 s="3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50"/>
        <v>BOM</v>
      </c>
      <c r="M357" s="3">
        <v>29</v>
      </c>
      <c r="N357" s="3">
        <v>96.38</v>
      </c>
      <c r="O357" s="3">
        <v>23.198198198198199</v>
      </c>
    </row>
    <row r="358" spans="1:15" hidden="1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 s="3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50"/>
        <v>EXCELENTE</v>
      </c>
      <c r="M358" s="3">
        <v>32</v>
      </c>
      <c r="N358" s="3">
        <v>99.39</v>
      </c>
      <c r="O358" s="3">
        <v>25.203252032520329</v>
      </c>
    </row>
    <row r="359" spans="1:15" hidden="1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 s="3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50"/>
        <v>CRÍTICO</v>
      </c>
      <c r="M359" s="3">
        <v>21</v>
      </c>
      <c r="N359" s="3">
        <v>97</v>
      </c>
      <c r="O359" s="3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50"/>
        <v>BOM</v>
      </c>
      <c r="M360" s="3">
        <v>0</v>
      </c>
      <c r="N360" s="3">
        <v>100</v>
      </c>
      <c r="O360" s="3">
        <v>0</v>
      </c>
    </row>
    <row r="361" spans="1:15" hidden="1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 s="3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50"/>
        <v>BOM</v>
      </c>
      <c r="M361" s="3">
        <v>27</v>
      </c>
      <c r="N361" s="3">
        <v>96.94</v>
      </c>
      <c r="O361" s="3">
        <v>19.613259668508292</v>
      </c>
    </row>
    <row r="362" spans="1:15" hidden="1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 s="3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50"/>
        <v>CRÍTICO</v>
      </c>
      <c r="M362" s="3">
        <v>14</v>
      </c>
      <c r="N362" s="3">
        <v>92.81</v>
      </c>
      <c r="O362" s="3">
        <v>25.477707006369432</v>
      </c>
    </row>
    <row r="363" spans="1:15" hidden="1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 s="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50"/>
        <v>BOM</v>
      </c>
      <c r="M363" s="3">
        <v>26</v>
      </c>
      <c r="N363" s="3">
        <v>99.19</v>
      </c>
      <c r="O363" s="3">
        <v>28.404669260700391</v>
      </c>
    </row>
    <row r="364" spans="1:15" hidden="1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50"/>
        <v>BOM</v>
      </c>
      <c r="M364" s="3">
        <v>0</v>
      </c>
      <c r="N364" s="3">
        <v>100</v>
      </c>
      <c r="O364" s="3">
        <v>13.51351351351351</v>
      </c>
    </row>
    <row r="365" spans="1:15" hidden="1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 s="3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50"/>
        <v>EXCELENTE</v>
      </c>
      <c r="M365" s="3">
        <v>38</v>
      </c>
      <c r="N365" s="3">
        <v>99</v>
      </c>
      <c r="O365" s="3">
        <v>22.27414330218069</v>
      </c>
    </row>
    <row r="366" spans="1:15" hidden="1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 s="3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50"/>
        <v>EXCELENTE</v>
      </c>
      <c r="M366" s="3">
        <v>44</v>
      </c>
      <c r="N366" s="3">
        <v>97.04</v>
      </c>
      <c r="O366" s="3">
        <v>29.828850855745721</v>
      </c>
    </row>
    <row r="367" spans="1:15" hidden="1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50"/>
        <v>BOM</v>
      </c>
      <c r="M367" s="3">
        <v>0</v>
      </c>
      <c r="N367" s="3">
        <v>0</v>
      </c>
      <c r="O367" s="3">
        <v>0</v>
      </c>
    </row>
    <row r="368" spans="1:15" hidden="1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 s="3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50"/>
        <v>BOM</v>
      </c>
      <c r="M368" s="3">
        <v>28</v>
      </c>
      <c r="N368" s="3">
        <v>96.84</v>
      </c>
      <c r="O368" s="3">
        <v>16.338028169014081</v>
      </c>
    </row>
    <row r="369" spans="1:16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 t="shared" si="50"/>
        <v>EXCELENTE</v>
      </c>
      <c r="M369">
        <v>24</v>
      </c>
      <c r="N369">
        <v>98.91</v>
      </c>
      <c r="O369">
        <v>31.367292225201069</v>
      </c>
      <c r="P369"/>
    </row>
    <row r="370" spans="1:16" hidden="1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 s="3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50"/>
        <v>ATENÇÃO</v>
      </c>
      <c r="M370" s="3">
        <v>23</v>
      </c>
      <c r="N370" s="3">
        <v>100</v>
      </c>
      <c r="O370" s="3">
        <v>18.244803695150122</v>
      </c>
    </row>
    <row r="371" spans="1:16" hidden="1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50"/>
        <v>BOM</v>
      </c>
      <c r="M371" s="3">
        <v>0</v>
      </c>
      <c r="N371" s="3">
        <v>100</v>
      </c>
      <c r="O371" s="3">
        <v>15.789473684210529</v>
      </c>
    </row>
    <row r="372" spans="1:16" hidden="1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 s="3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50"/>
        <v>EXCELENTE</v>
      </c>
      <c r="M372" s="3">
        <v>30</v>
      </c>
      <c r="N372" s="3">
        <v>98.39</v>
      </c>
      <c r="O372" s="3">
        <v>8.7999999999999989</v>
      </c>
    </row>
    <row r="373" spans="1:16" hidden="1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 s="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50"/>
        <v>EXCELENTE</v>
      </c>
      <c r="M373" s="3">
        <v>29</v>
      </c>
      <c r="N373" s="3">
        <v>96.38</v>
      </c>
      <c r="O373" s="3">
        <v>23.198198198198199</v>
      </c>
    </row>
    <row r="374" spans="1:16" hidden="1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 s="3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50"/>
        <v>EXCELENTE</v>
      </c>
      <c r="M374" s="3">
        <v>40</v>
      </c>
      <c r="N374" s="3">
        <v>99.39</v>
      </c>
      <c r="O374" s="3">
        <v>25.203252032520329</v>
      </c>
    </row>
    <row r="375" spans="1:16" hidden="1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 s="3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50"/>
        <v>ATENÇÃO</v>
      </c>
      <c r="M375" s="3">
        <v>21</v>
      </c>
      <c r="N375" s="3">
        <v>97</v>
      </c>
      <c r="O375" s="3">
        <v>20.325203252032519</v>
      </c>
    </row>
    <row r="376" spans="1:16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50"/>
        <v>BOM</v>
      </c>
      <c r="M376" s="3">
        <v>0</v>
      </c>
      <c r="N376" s="3">
        <v>100</v>
      </c>
      <c r="O376" s="3">
        <v>0</v>
      </c>
    </row>
    <row r="377" spans="1:16" hidden="1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 s="3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50"/>
        <v>BOM</v>
      </c>
      <c r="M377" s="3">
        <v>25</v>
      </c>
      <c r="N377" s="3">
        <v>96.94</v>
      </c>
      <c r="O377" s="3">
        <v>19.613259668508292</v>
      </c>
    </row>
    <row r="378" spans="1:16" hidden="1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 s="3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50"/>
        <v>BOM</v>
      </c>
      <c r="M378" s="3">
        <v>29</v>
      </c>
      <c r="N378" s="3">
        <v>92.81</v>
      </c>
      <c r="O378" s="3">
        <v>25.477707006369432</v>
      </c>
    </row>
    <row r="379" spans="1:16" hidden="1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 s="3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50"/>
        <v>BOM</v>
      </c>
      <c r="M379" s="3">
        <v>23</v>
      </c>
      <c r="N379" s="3">
        <v>99.19</v>
      </c>
      <c r="O379" s="3">
        <v>28.404669260700391</v>
      </c>
    </row>
    <row r="380" spans="1:16" hidden="1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 s="3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51">IF(K380&lt;-5,"CRÍTICO",IF(K380&lt;0,"ATENÇÃO",IF(K380&lt;=5,"BOM","EXCELENTE")))</f>
        <v>EXCELENTE</v>
      </c>
      <c r="M380" s="3">
        <v>39</v>
      </c>
      <c r="N380" s="3">
        <v>99</v>
      </c>
      <c r="O380" s="3">
        <v>22.27414330218069</v>
      </c>
    </row>
    <row r="381" spans="1:16" hidden="1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 s="3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51"/>
        <v>BOM</v>
      </c>
      <c r="M381" s="3">
        <v>23</v>
      </c>
      <c r="N381" s="3">
        <v>97.04</v>
      </c>
      <c r="O381" s="3">
        <v>29.828850855745721</v>
      </c>
    </row>
    <row r="382" spans="1:16" hidden="1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51"/>
        <v>BOM</v>
      </c>
      <c r="M382" s="3">
        <v>0</v>
      </c>
      <c r="N382" s="3">
        <v>0</v>
      </c>
      <c r="O382" s="3">
        <v>0</v>
      </c>
    </row>
    <row r="383" spans="1:16" hidden="1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 s="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51"/>
        <v>CRÍTICO</v>
      </c>
      <c r="M383" s="3">
        <v>19</v>
      </c>
      <c r="N383" s="3">
        <v>100</v>
      </c>
      <c r="O383" s="3">
        <v>18.244803695150122</v>
      </c>
    </row>
    <row r="384" spans="1:16" hidden="1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51"/>
        <v>BOM</v>
      </c>
      <c r="M384" s="3">
        <v>0</v>
      </c>
      <c r="N384" s="3">
        <v>100</v>
      </c>
      <c r="O384" s="3">
        <v>15.789473684210529</v>
      </c>
    </row>
    <row r="385" spans="1:15" hidden="1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 s="3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51"/>
        <v>BOM</v>
      </c>
      <c r="M385" s="3">
        <v>19</v>
      </c>
      <c r="N385" s="3">
        <v>98.39</v>
      </c>
      <c r="O385" s="3">
        <v>8.7999999999999989</v>
      </c>
    </row>
    <row r="386" spans="1:15" hidden="1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 s="3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51"/>
        <v>ATENÇÃO</v>
      </c>
      <c r="M386" s="3">
        <v>22</v>
      </c>
      <c r="N386" s="3">
        <v>96.38</v>
      </c>
      <c r="O386" s="3">
        <v>23.198198198198199</v>
      </c>
    </row>
    <row r="387" spans="1:15" hidden="1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 s="3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51"/>
        <v>BOM</v>
      </c>
      <c r="M387" s="3">
        <v>29</v>
      </c>
      <c r="N387" s="3">
        <v>99.39</v>
      </c>
      <c r="O387" s="3">
        <v>25.203252032520329</v>
      </c>
    </row>
    <row r="388" spans="1:15" hidden="1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 s="3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51"/>
        <v>CRÍTICO</v>
      </c>
      <c r="M388" s="3">
        <v>17</v>
      </c>
      <c r="N388" s="3">
        <v>97</v>
      </c>
      <c r="O388" s="3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51"/>
        <v>BOM</v>
      </c>
      <c r="M389" s="3">
        <v>0</v>
      </c>
      <c r="N389" s="3">
        <v>100</v>
      </c>
      <c r="O389" s="3">
        <v>0</v>
      </c>
    </row>
    <row r="390" spans="1:15" hidden="1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51"/>
        <v>BOM</v>
      </c>
      <c r="M390" s="3">
        <v>0</v>
      </c>
      <c r="N390" s="3">
        <v>96.94</v>
      </c>
      <c r="O390" s="3">
        <v>19.613259668508292</v>
      </c>
    </row>
    <row r="391" spans="1:15" hidden="1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 s="3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51"/>
        <v>BOM</v>
      </c>
      <c r="M391" s="3">
        <v>25</v>
      </c>
      <c r="N391" s="3">
        <v>92.81</v>
      </c>
      <c r="O391" s="3">
        <v>25.477707006369432</v>
      </c>
    </row>
    <row r="392" spans="1:15" hidden="1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51"/>
        <v>BOM</v>
      </c>
      <c r="M392" s="3">
        <v>0</v>
      </c>
      <c r="N392" s="3">
        <v>99.19</v>
      </c>
      <c r="O392" s="3">
        <v>28.404669260700391</v>
      </c>
    </row>
    <row r="393" spans="1:15" hidden="1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 s="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51"/>
        <v>EXCELENTE</v>
      </c>
      <c r="M393" s="3">
        <v>34</v>
      </c>
      <c r="N393" s="3">
        <v>99</v>
      </c>
      <c r="O393" s="3">
        <v>22.27414330218069</v>
      </c>
    </row>
    <row r="394" spans="1:15" hidden="1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 s="3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51"/>
        <v>BOM</v>
      </c>
      <c r="M394" s="3">
        <v>23</v>
      </c>
      <c r="N394" s="3">
        <v>97.04</v>
      </c>
      <c r="O394" s="3">
        <v>29.828850855745721</v>
      </c>
    </row>
    <row r="395" spans="1:15" hidden="1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51"/>
        <v>BOM</v>
      </c>
      <c r="M395" s="3">
        <v>0</v>
      </c>
      <c r="N395" s="3">
        <v>0</v>
      </c>
      <c r="O395" s="3">
        <v>0</v>
      </c>
    </row>
    <row r="396" spans="1:15" hidden="1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 s="3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51"/>
        <v>ATENÇÃO</v>
      </c>
      <c r="M396" s="3">
        <v>21</v>
      </c>
      <c r="N396" s="3">
        <v>96.84</v>
      </c>
      <c r="O396" s="3">
        <v>16.338028169014081</v>
      </c>
    </row>
    <row r="397" spans="1:15" hidden="1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 s="3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51"/>
        <v>ATENÇÃO</v>
      </c>
      <c r="M397" s="3">
        <v>25</v>
      </c>
      <c r="N397" s="3">
        <v>100</v>
      </c>
      <c r="O397" s="3">
        <v>18.244803695150122</v>
      </c>
    </row>
    <row r="398" spans="1:15" hidden="1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51"/>
        <v>BOM</v>
      </c>
      <c r="M398" s="3">
        <v>0</v>
      </c>
      <c r="N398" s="3">
        <v>100</v>
      </c>
      <c r="O398" s="3">
        <v>15.789473684210529</v>
      </c>
    </row>
    <row r="399" spans="1:15" hidden="1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 s="3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51"/>
        <v>EXCELENTE</v>
      </c>
      <c r="M399" s="3">
        <v>16</v>
      </c>
      <c r="N399" s="3">
        <v>98.39</v>
      </c>
      <c r="O399" s="3">
        <v>8.7999999999999989</v>
      </c>
    </row>
    <row r="400" spans="1:15" hidden="1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 s="3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51"/>
        <v>BOM</v>
      </c>
      <c r="M400" s="3">
        <v>27</v>
      </c>
      <c r="N400" s="3">
        <v>96.38</v>
      </c>
      <c r="O400" s="3">
        <v>23.198198198198199</v>
      </c>
    </row>
    <row r="401" spans="1:16" hidden="1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 s="3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51"/>
        <v>BOM</v>
      </c>
      <c r="M401" s="3">
        <v>26</v>
      </c>
      <c r="N401" s="3">
        <v>99.39</v>
      </c>
      <c r="O401" s="3">
        <v>25.203252032520329</v>
      </c>
    </row>
    <row r="402" spans="1:16" hidden="1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 s="3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51"/>
        <v>BOM</v>
      </c>
      <c r="M402" s="3">
        <v>21</v>
      </c>
      <c r="N402" s="3">
        <v>97</v>
      </c>
      <c r="O402" s="3">
        <v>20.325203252032519</v>
      </c>
    </row>
    <row r="403" spans="1:16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51"/>
        <v>BOM</v>
      </c>
      <c r="M403" s="3">
        <v>0</v>
      </c>
      <c r="N403" s="3">
        <v>100</v>
      </c>
      <c r="O403" s="3">
        <v>0</v>
      </c>
    </row>
    <row r="404" spans="1:16" hidden="1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 s="3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51"/>
        <v>CRÍTICO</v>
      </c>
      <c r="M404" s="3">
        <v>16</v>
      </c>
      <c r="N404" s="3">
        <v>96.94</v>
      </c>
      <c r="O404" s="3">
        <v>19.613259668508292</v>
      </c>
    </row>
    <row r="405" spans="1:16" hidden="1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 s="3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51"/>
        <v>BOM</v>
      </c>
      <c r="M405" s="3">
        <v>30</v>
      </c>
      <c r="N405" s="3">
        <v>92.81</v>
      </c>
      <c r="O405" s="3">
        <v>25.477707006369432</v>
      </c>
    </row>
    <row r="406" spans="1:16" hidden="1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51"/>
        <v>BOM</v>
      </c>
      <c r="M406" s="3">
        <v>0</v>
      </c>
      <c r="N406" s="3">
        <v>99.19</v>
      </c>
      <c r="O406" s="3">
        <v>28.404669260700391</v>
      </c>
    </row>
    <row r="407" spans="1:16" hidden="1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51"/>
        <v>CRÍTICO</v>
      </c>
      <c r="M407" s="3">
        <v>11</v>
      </c>
      <c r="N407" s="3">
        <v>100</v>
      </c>
      <c r="O407" s="3">
        <v>13.51351351351351</v>
      </c>
    </row>
    <row r="408" spans="1:16" hidden="1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 s="3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51"/>
        <v>EXCELENTE</v>
      </c>
      <c r="M408" s="3">
        <v>40</v>
      </c>
      <c r="N408" s="3">
        <v>99</v>
      </c>
      <c r="O408" s="3">
        <v>22.27414330218069</v>
      </c>
    </row>
    <row r="409" spans="1:16" hidden="1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 s="3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51"/>
        <v>CRÍTICO</v>
      </c>
      <c r="M409" s="3">
        <v>12</v>
      </c>
      <c r="N409" s="3">
        <v>97.04</v>
      </c>
      <c r="O409" s="3">
        <v>29.828850855745721</v>
      </c>
    </row>
    <row r="410" spans="1:16" hidden="1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51"/>
        <v>BOM</v>
      </c>
      <c r="M410" s="3">
        <v>0</v>
      </c>
      <c r="N410" s="3">
        <v>0</v>
      </c>
      <c r="O410" s="3">
        <v>0</v>
      </c>
    </row>
    <row r="411" spans="1:16" hidden="1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 s="3">
        <v>17.18</v>
      </c>
      <c r="G411" s="3">
        <v>0</v>
      </c>
      <c r="H411" s="3">
        <v>0</v>
      </c>
      <c r="I411" s="3">
        <f t="shared" ref="I411:I418" si="52">E411+G411+H411</f>
        <v>32</v>
      </c>
      <c r="J411" s="3">
        <f t="shared" ref="J411:J418" si="53"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54">I411-J411</f>
        <v>3</v>
      </c>
      <c r="L411" s="3" t="str">
        <f t="shared" si="51"/>
        <v>BOM</v>
      </c>
      <c r="M411" s="3">
        <v>28</v>
      </c>
      <c r="N411" s="3">
        <v>96.84</v>
      </c>
      <c r="O411" s="3">
        <v>16.338028169014081</v>
      </c>
    </row>
    <row r="412" spans="1:16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52"/>
        <v>19</v>
      </c>
      <c r="J412" s="3">
        <f t="shared" si="53"/>
        <v>14</v>
      </c>
      <c r="K412" s="3">
        <f t="shared" si="54"/>
        <v>5</v>
      </c>
      <c r="L412" s="3" t="str">
        <f t="shared" ref="L412:L443" si="55"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  <c r="P412"/>
    </row>
    <row r="413" spans="1:16" hidden="1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 s="3">
        <v>15.39</v>
      </c>
      <c r="G413" s="3">
        <v>0</v>
      </c>
      <c r="H413" s="3">
        <v>0</v>
      </c>
      <c r="I413" s="3">
        <f t="shared" si="52"/>
        <v>26</v>
      </c>
      <c r="J413" s="3">
        <f t="shared" si="53"/>
        <v>29</v>
      </c>
      <c r="K413" s="3">
        <f t="shared" si="54"/>
        <v>-3</v>
      </c>
      <c r="L413" s="3" t="str">
        <f t="shared" si="55"/>
        <v>ATENÇÃO</v>
      </c>
      <c r="M413" s="3">
        <v>24</v>
      </c>
      <c r="N413" s="3">
        <v>100</v>
      </c>
      <c r="O413" s="3">
        <v>18.244803695150122</v>
      </c>
    </row>
    <row r="414" spans="1:16" hidden="1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 s="3">
        <v>21.49</v>
      </c>
      <c r="G414" s="3">
        <v>0</v>
      </c>
      <c r="H414" s="3">
        <v>0</v>
      </c>
      <c r="I414" s="3">
        <f t="shared" si="52"/>
        <v>20</v>
      </c>
      <c r="J414" s="3">
        <f t="shared" si="53"/>
        <v>29</v>
      </c>
      <c r="K414" s="3">
        <f t="shared" si="54"/>
        <v>-9</v>
      </c>
      <c r="L414" s="3" t="str">
        <f t="shared" si="55"/>
        <v>CRÍTICO</v>
      </c>
      <c r="M414" s="3">
        <v>18</v>
      </c>
      <c r="N414" s="3">
        <v>100</v>
      </c>
      <c r="O414" s="3">
        <v>15.789473684210529</v>
      </c>
    </row>
    <row r="415" spans="1:16" hidden="1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 s="3">
        <v>0</v>
      </c>
      <c r="G415" s="3">
        <v>0</v>
      </c>
      <c r="H415" s="3">
        <v>33</v>
      </c>
      <c r="I415" s="3">
        <f t="shared" si="52"/>
        <v>33</v>
      </c>
      <c r="J415" s="3">
        <f t="shared" si="53"/>
        <v>29</v>
      </c>
      <c r="K415" s="3">
        <f t="shared" si="54"/>
        <v>4</v>
      </c>
      <c r="L415" s="3" t="str">
        <f t="shared" si="55"/>
        <v>BOM</v>
      </c>
      <c r="M415" s="3">
        <v>14</v>
      </c>
      <c r="N415" s="3">
        <v>98.39</v>
      </c>
      <c r="O415" s="3">
        <v>8.7999999999999989</v>
      </c>
    </row>
    <row r="416" spans="1:16" hidden="1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 s="3">
        <v>10.43</v>
      </c>
      <c r="G416" s="3">
        <v>4</v>
      </c>
      <c r="H416" s="3">
        <v>0</v>
      </c>
      <c r="I416" s="3">
        <f t="shared" si="52"/>
        <v>35</v>
      </c>
      <c r="J416" s="3">
        <f t="shared" si="53"/>
        <v>29</v>
      </c>
      <c r="K416" s="3">
        <f t="shared" si="54"/>
        <v>6</v>
      </c>
      <c r="L416" s="3" t="str">
        <f t="shared" si="55"/>
        <v>EXCELENTE</v>
      </c>
      <c r="M416" s="3">
        <v>30</v>
      </c>
      <c r="N416" s="3">
        <v>96.38</v>
      </c>
      <c r="O416" s="3">
        <v>23.198198198198199</v>
      </c>
    </row>
    <row r="417" spans="1:16" hidden="1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 s="3">
        <v>10.55</v>
      </c>
      <c r="G417" s="3">
        <v>3</v>
      </c>
      <c r="H417" s="3">
        <v>0</v>
      </c>
      <c r="I417" s="3">
        <f t="shared" si="52"/>
        <v>38</v>
      </c>
      <c r="J417" s="3">
        <f t="shared" si="53"/>
        <v>29</v>
      </c>
      <c r="K417" s="3">
        <f t="shared" si="54"/>
        <v>9</v>
      </c>
      <c r="L417" s="3" t="str">
        <f t="shared" si="55"/>
        <v>EXCELENTE</v>
      </c>
      <c r="M417" s="3">
        <v>34</v>
      </c>
      <c r="N417" s="3">
        <v>99.39</v>
      </c>
      <c r="O417" s="3">
        <v>25.203252032520329</v>
      </c>
    </row>
    <row r="418" spans="1:16" hidden="1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 s="3">
        <v>18.25</v>
      </c>
      <c r="G418" s="3">
        <v>3</v>
      </c>
      <c r="H418" s="3">
        <v>0</v>
      </c>
      <c r="I418" s="3">
        <f t="shared" si="52"/>
        <v>27</v>
      </c>
      <c r="J418" s="3">
        <f t="shared" si="53"/>
        <v>29</v>
      </c>
      <c r="K418" s="3">
        <f t="shared" si="54"/>
        <v>-2</v>
      </c>
      <c r="L418" s="3" t="str">
        <f t="shared" si="55"/>
        <v>ATENÇÃO</v>
      </c>
      <c r="M418" s="3">
        <v>21</v>
      </c>
      <c r="N418" s="3">
        <v>97</v>
      </c>
      <c r="O418" s="3">
        <v>20.325203252032519</v>
      </c>
    </row>
    <row r="419" spans="1:16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56">IF(K419&lt;-5,"CRÍTICO",IF(K419&lt;0,"ATENÇÃO",IF(K419&lt;=5,"OPORTUNO","MUITO BOM")))</f>
        <v>OPORTUNO</v>
      </c>
      <c r="M419" s="3">
        <v>0</v>
      </c>
      <c r="N419" s="3">
        <v>100</v>
      </c>
      <c r="O419" s="3">
        <v>0</v>
      </c>
    </row>
    <row r="420" spans="1:16" hidden="1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56"/>
        <v>ATENÇÃO</v>
      </c>
      <c r="M420" s="3">
        <v>18</v>
      </c>
      <c r="N420" s="3">
        <v>96.94</v>
      </c>
      <c r="O420" s="3">
        <v>19.613259668508292</v>
      </c>
    </row>
    <row r="421" spans="1:16" hidden="1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56"/>
        <v>OPORTUNO</v>
      </c>
      <c r="M421" s="3">
        <v>21</v>
      </c>
      <c r="N421" s="3">
        <v>92.81</v>
      </c>
      <c r="O421" s="3">
        <v>25.477707006369432</v>
      </c>
    </row>
    <row r="422" spans="1:16" hidden="1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56"/>
        <v>OPORTUNO</v>
      </c>
      <c r="M422" s="3">
        <v>0</v>
      </c>
      <c r="N422" s="3">
        <v>99.19</v>
      </c>
      <c r="O422" s="3">
        <v>28.404669260700391</v>
      </c>
    </row>
    <row r="423" spans="1:16" hidden="1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56"/>
        <v>OPORTUNO</v>
      </c>
      <c r="M423" s="3">
        <v>0</v>
      </c>
      <c r="N423" s="3">
        <v>100</v>
      </c>
      <c r="O423" s="3">
        <v>13.51351351351351</v>
      </c>
    </row>
    <row r="424" spans="1:16" hidden="1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56"/>
        <v>MUITO BOM</v>
      </c>
      <c r="M424" s="3">
        <v>34</v>
      </c>
      <c r="N424" s="3">
        <v>99</v>
      </c>
      <c r="O424" s="3">
        <v>22.27414330218069</v>
      </c>
    </row>
    <row r="425" spans="1:16" hidden="1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56"/>
        <v>ATENÇÃO</v>
      </c>
      <c r="M425" s="3">
        <v>19</v>
      </c>
      <c r="N425" s="3">
        <v>97.04</v>
      </c>
      <c r="O425" s="3">
        <v>29.828850855745721</v>
      </c>
    </row>
    <row r="426" spans="1:16" hidden="1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6"/>
        <v>OPORTUNO</v>
      </c>
      <c r="M426" s="3">
        <v>0</v>
      </c>
      <c r="N426" s="3">
        <v>0</v>
      </c>
      <c r="O426" s="3">
        <v>0</v>
      </c>
    </row>
    <row r="427" spans="1:16" hidden="1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57">E427+G427+H427</f>
        <v>17</v>
      </c>
      <c r="J427" s="3">
        <f t="shared" ref="J427:J434" si="58"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59">I427-J427</f>
        <v>-9</v>
      </c>
      <c r="L427" s="3" t="str">
        <f t="shared" si="56"/>
        <v>CRÍTICO</v>
      </c>
      <c r="M427" s="3">
        <v>18</v>
      </c>
      <c r="N427" s="3">
        <v>96.84</v>
      </c>
      <c r="O427" s="3">
        <v>16.338028169014081</v>
      </c>
    </row>
    <row r="428" spans="1:16" hidden="1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57"/>
        <v>29</v>
      </c>
      <c r="J428" s="3">
        <f t="shared" si="58"/>
        <v>26</v>
      </c>
      <c r="K428" s="3">
        <f t="shared" si="59"/>
        <v>3</v>
      </c>
      <c r="L428" s="3" t="str">
        <f t="shared" si="56"/>
        <v>OPORTUNO</v>
      </c>
      <c r="M428" s="3">
        <v>28</v>
      </c>
      <c r="N428" s="3">
        <v>100</v>
      </c>
      <c r="O428" s="3">
        <v>18.244803695150122</v>
      </c>
    </row>
    <row r="429" spans="1:16" hidden="1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57"/>
        <v>21</v>
      </c>
      <c r="J429" s="3">
        <f t="shared" si="58"/>
        <v>26</v>
      </c>
      <c r="K429" s="3">
        <f t="shared" si="59"/>
        <v>-5</v>
      </c>
      <c r="L429" s="3" t="str">
        <f t="shared" si="56"/>
        <v>ATENÇÃO</v>
      </c>
      <c r="M429" s="3">
        <v>18</v>
      </c>
      <c r="N429" s="3">
        <v>100</v>
      </c>
      <c r="O429" s="3">
        <v>15.789473684210529</v>
      </c>
    </row>
    <row r="430" spans="1:16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57"/>
        <v>13</v>
      </c>
      <c r="J430" s="3">
        <f t="shared" si="58"/>
        <v>14</v>
      </c>
      <c r="K430" s="3">
        <f t="shared" si="59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  <c r="P430"/>
    </row>
    <row r="431" spans="1:16" hidden="1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57"/>
        <v>25</v>
      </c>
      <c r="J431" s="3">
        <f t="shared" si="58"/>
        <v>26</v>
      </c>
      <c r="K431" s="3">
        <f t="shared" si="59"/>
        <v>-1</v>
      </c>
      <c r="L431" s="3" t="str">
        <f t="shared" ref="L431:L455" si="60">IF(K431&lt;-5,"CRÍTICO",IF(K431&lt;0,"ATENÇÃO",IF(K431&lt;=5,"OPORTUNO","MUITO BOM")))</f>
        <v>ATENÇÃO</v>
      </c>
      <c r="M431" s="3">
        <v>16</v>
      </c>
      <c r="N431" s="3">
        <v>98.39</v>
      </c>
      <c r="O431" s="3">
        <v>8.7999999999999989</v>
      </c>
    </row>
    <row r="432" spans="1:16" hidden="1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57"/>
        <v>27</v>
      </c>
      <c r="J432" s="3">
        <f t="shared" si="58"/>
        <v>26</v>
      </c>
      <c r="K432" s="3">
        <f t="shared" si="59"/>
        <v>1</v>
      </c>
      <c r="L432" s="3" t="str">
        <f t="shared" si="60"/>
        <v>OPORTUNO</v>
      </c>
      <c r="M432" s="3">
        <v>23</v>
      </c>
      <c r="N432" s="3">
        <v>96.38</v>
      </c>
      <c r="O432" s="3">
        <v>23.198198198198199</v>
      </c>
    </row>
    <row r="433" spans="1:15" hidden="1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57"/>
        <v>33</v>
      </c>
      <c r="J433" s="3">
        <f t="shared" si="58"/>
        <v>26</v>
      </c>
      <c r="K433" s="3">
        <f t="shared" si="59"/>
        <v>7</v>
      </c>
      <c r="L433" s="3" t="str">
        <f t="shared" si="60"/>
        <v>MUITO BOM</v>
      </c>
      <c r="M433" s="3">
        <v>28</v>
      </c>
      <c r="N433" s="3">
        <v>99.39</v>
      </c>
      <c r="O433" s="3">
        <v>25.203252032520329</v>
      </c>
    </row>
    <row r="434" spans="1:15" hidden="1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57"/>
        <v>24</v>
      </c>
      <c r="J434" s="3">
        <f t="shared" si="58"/>
        <v>26</v>
      </c>
      <c r="K434" s="3">
        <f t="shared" si="59"/>
        <v>-2</v>
      </c>
      <c r="L434" s="3" t="str">
        <f t="shared" si="60"/>
        <v>ATENÇÃO</v>
      </c>
      <c r="M434" s="3">
        <v>21</v>
      </c>
      <c r="N434" s="3">
        <v>97</v>
      </c>
      <c r="O434" s="3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60"/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60"/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60"/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60"/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60"/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60"/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60"/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60"/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61">E443+G443+H443</f>
        <v>21</v>
      </c>
      <c r="J443" s="3">
        <f t="shared" ref="J443:J449" si="6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63">I443-J443</f>
        <v>-1</v>
      </c>
      <c r="L443" s="3" t="str">
        <f t="shared" si="60"/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61"/>
        <v>21</v>
      </c>
      <c r="J444" s="3">
        <f t="shared" si="62"/>
        <v>22</v>
      </c>
      <c r="K444" s="3">
        <f t="shared" si="63"/>
        <v>-1</v>
      </c>
      <c r="L444" s="3" t="str">
        <f t="shared" si="60"/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61"/>
        <v>27</v>
      </c>
      <c r="J445" s="3">
        <f t="shared" si="62"/>
        <v>22</v>
      </c>
      <c r="K445" s="3">
        <f t="shared" si="63"/>
        <v>5</v>
      </c>
      <c r="L445" s="3" t="str">
        <f t="shared" si="60"/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61"/>
        <v>30</v>
      </c>
      <c r="J446" s="3">
        <f t="shared" si="62"/>
        <v>22</v>
      </c>
      <c r="K446" s="3">
        <f t="shared" si="63"/>
        <v>8</v>
      </c>
      <c r="L446" s="3" t="str">
        <f t="shared" si="60"/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61"/>
        <v>25</v>
      </c>
      <c r="J447" s="3">
        <f t="shared" si="62"/>
        <v>22</v>
      </c>
      <c r="K447" s="3">
        <f t="shared" si="63"/>
        <v>3</v>
      </c>
      <c r="L447" s="3" t="str">
        <f t="shared" si="60"/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61"/>
        <v>33</v>
      </c>
      <c r="J448" s="3">
        <f t="shared" si="62"/>
        <v>22</v>
      </c>
      <c r="K448" s="3">
        <f t="shared" si="63"/>
        <v>11</v>
      </c>
      <c r="L448" s="3" t="str">
        <f t="shared" si="60"/>
        <v>MUITO BOM</v>
      </c>
      <c r="M448" s="3">
        <v>22</v>
      </c>
      <c r="N448" s="3">
        <v>99.39</v>
      </c>
      <c r="O448" s="3">
        <v>25.203252032520329</v>
      </c>
    </row>
    <row r="449" spans="1:16" hidden="1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61"/>
        <v>23</v>
      </c>
      <c r="J449" s="3">
        <f t="shared" si="62"/>
        <v>22</v>
      </c>
      <c r="K449" s="3">
        <f t="shared" si="63"/>
        <v>1</v>
      </c>
      <c r="L449" s="3" t="str">
        <f t="shared" si="60"/>
        <v>OPORTUNO</v>
      </c>
      <c r="M449" s="3">
        <v>21</v>
      </c>
      <c r="N449" s="3">
        <v>97</v>
      </c>
      <c r="O449" s="3">
        <v>20.325203252032519</v>
      </c>
    </row>
    <row r="450" spans="1:16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60"/>
        <v>OPORTUNO</v>
      </c>
      <c r="M450" s="3">
        <v>0</v>
      </c>
      <c r="N450" s="3">
        <v>100</v>
      </c>
      <c r="O450" s="3">
        <v>0</v>
      </c>
    </row>
    <row r="451" spans="1:16" hidden="1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60"/>
        <v>OPORTUNO</v>
      </c>
      <c r="M451" s="3">
        <v>16</v>
      </c>
      <c r="N451" s="3">
        <v>96.94</v>
      </c>
      <c r="O451" s="3">
        <v>19.613259668508292</v>
      </c>
    </row>
    <row r="452" spans="1:16" hidden="1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60"/>
        <v>OPORTUNO</v>
      </c>
      <c r="M452" s="3">
        <v>22</v>
      </c>
      <c r="N452" s="3">
        <v>92.81</v>
      </c>
      <c r="O452" s="3">
        <v>25.477707006369432</v>
      </c>
    </row>
    <row r="453" spans="1:16" hidden="1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60"/>
        <v>OPORTUNO</v>
      </c>
      <c r="M453" s="3">
        <v>0</v>
      </c>
      <c r="N453" s="3">
        <v>99.19</v>
      </c>
      <c r="O453" s="3">
        <v>28.404669260700391</v>
      </c>
    </row>
    <row r="454" spans="1:16" hidden="1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60"/>
        <v>CRÍTICO</v>
      </c>
      <c r="M454" s="3">
        <v>10</v>
      </c>
      <c r="N454" s="3">
        <v>100</v>
      </c>
      <c r="O454" s="3">
        <v>13.51351351351351</v>
      </c>
    </row>
    <row r="455" spans="1:16" hidden="1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60"/>
        <v>MUITO BOM</v>
      </c>
      <c r="M455" s="3">
        <v>23</v>
      </c>
      <c r="N455" s="3">
        <v>99</v>
      </c>
      <c r="O455" s="3">
        <v>22.27414330218069</v>
      </c>
    </row>
    <row r="456" spans="1:16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  <c r="P456"/>
    </row>
    <row r="457" spans="1:16" hidden="1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64"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6" hidden="1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64"/>
        <v>OPORTUNO</v>
      </c>
      <c r="M458" s="3">
        <v>0</v>
      </c>
      <c r="N458" s="3">
        <v>0</v>
      </c>
      <c r="O458" s="3">
        <v>0</v>
      </c>
    </row>
    <row r="459" spans="1:16" hidden="1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64"/>
        <v>OPORTUNO</v>
      </c>
      <c r="M459" s="3">
        <v>21</v>
      </c>
      <c r="N459" s="3">
        <v>96.84</v>
      </c>
      <c r="O459" s="3">
        <v>16.338028169014081</v>
      </c>
    </row>
    <row r="460" spans="1:16" hidden="1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64"/>
        <v>OPORTUNO</v>
      </c>
      <c r="M460" s="3">
        <v>20</v>
      </c>
      <c r="N460" s="3">
        <v>100</v>
      </c>
      <c r="O460" s="3">
        <v>18.244803695150122</v>
      </c>
    </row>
    <row r="461" spans="1:16" hidden="1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64"/>
        <v>OPORTUNO</v>
      </c>
      <c r="M461" s="3">
        <v>15</v>
      </c>
      <c r="N461" s="3">
        <v>100</v>
      </c>
      <c r="O461" s="3">
        <v>15.789473684210529</v>
      </c>
    </row>
    <row r="462" spans="1:16" hidden="1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64"/>
        <v>OPORTUNO</v>
      </c>
      <c r="M462" s="3">
        <v>3</v>
      </c>
      <c r="N462" s="3">
        <v>98.39</v>
      </c>
      <c r="O462" s="3">
        <v>8.7999999999999989</v>
      </c>
    </row>
    <row r="463" spans="1:16" hidden="1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64"/>
        <v>MUITO BOM</v>
      </c>
      <c r="M463" s="3">
        <v>16</v>
      </c>
      <c r="N463" s="3">
        <v>96.38</v>
      </c>
      <c r="O463" s="3">
        <v>23.198198198198199</v>
      </c>
    </row>
    <row r="464" spans="1:16" hidden="1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64"/>
        <v>OPORTUNO</v>
      </c>
      <c r="M464" s="3">
        <v>18</v>
      </c>
      <c r="N464" s="3">
        <v>99.39</v>
      </c>
      <c r="O464" s="3">
        <v>25.203252032520329</v>
      </c>
    </row>
    <row r="465" spans="1:16" hidden="1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64"/>
        <v>OPORTUNO</v>
      </c>
      <c r="M465" s="3">
        <v>17</v>
      </c>
      <c r="N465" s="3">
        <v>97</v>
      </c>
      <c r="O465" s="3">
        <v>20.325203252032519</v>
      </c>
    </row>
    <row r="466" spans="1:16" hidden="1" x14ac:dyDescent="0.25">
      <c r="A466" s="11">
        <v>46167</v>
      </c>
      <c r="B466" t="s">
        <v>31</v>
      </c>
      <c r="C466" t="s">
        <v>32</v>
      </c>
      <c r="D466" s="3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 t="str">
        <f t="shared" si="64"/>
        <v>OPORTUNO</v>
      </c>
      <c r="M466" s="3">
        <v>0</v>
      </c>
      <c r="N466" s="3">
        <v>100</v>
      </c>
      <c r="O466" s="3">
        <v>0</v>
      </c>
    </row>
    <row r="467" spans="1:16" hidden="1" x14ac:dyDescent="0.25">
      <c r="A467" s="11">
        <v>46167</v>
      </c>
      <c r="B467" t="s">
        <v>33</v>
      </c>
      <c r="C467" t="s">
        <v>32</v>
      </c>
      <c r="D467" s="3">
        <v>27</v>
      </c>
      <c r="E467" s="3">
        <v>23</v>
      </c>
      <c r="F467" s="3">
        <v>13.5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 t="str">
        <f t="shared" si="64"/>
        <v>OPORTUNO</v>
      </c>
      <c r="M467" s="3">
        <v>23</v>
      </c>
      <c r="N467" s="3">
        <v>96.94</v>
      </c>
      <c r="O467" s="3">
        <v>19.613259668508292</v>
      </c>
    </row>
    <row r="468" spans="1:16" hidden="1" x14ac:dyDescent="0.25">
      <c r="A468" s="11">
        <v>46167</v>
      </c>
      <c r="B468" t="s">
        <v>34</v>
      </c>
      <c r="C468" t="s">
        <v>32</v>
      </c>
      <c r="D468" s="3">
        <v>25</v>
      </c>
      <c r="E468" s="3">
        <v>22</v>
      </c>
      <c r="F468" s="3">
        <v>12.25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64"/>
        <v>OPORTUNO</v>
      </c>
      <c r="M468" s="3">
        <v>20</v>
      </c>
      <c r="N468" s="3">
        <v>92.81</v>
      </c>
      <c r="O468" s="3">
        <v>25.477707006369432</v>
      </c>
    </row>
    <row r="469" spans="1:16" hidden="1" x14ac:dyDescent="0.25">
      <c r="A469" s="11">
        <v>46167</v>
      </c>
      <c r="B469" t="s">
        <v>35</v>
      </c>
      <c r="C469" t="s">
        <v>32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64"/>
        <v>OPORTUNO</v>
      </c>
      <c r="M469" s="3">
        <v>0</v>
      </c>
      <c r="N469" s="3">
        <v>99.19</v>
      </c>
      <c r="O469" s="3">
        <v>28.404669260700391</v>
      </c>
    </row>
    <row r="470" spans="1:16" hidden="1" x14ac:dyDescent="0.25">
      <c r="A470" s="11">
        <v>46167</v>
      </c>
      <c r="B470" t="s">
        <v>36</v>
      </c>
      <c r="C470" t="s">
        <v>32</v>
      </c>
      <c r="D470" s="3">
        <v>20</v>
      </c>
      <c r="E470" s="3">
        <v>19</v>
      </c>
      <c r="F470" s="3">
        <v>17.3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 t="str">
        <f t="shared" si="64"/>
        <v>OPORTUNO</v>
      </c>
      <c r="M470" s="3">
        <v>19</v>
      </c>
      <c r="N470" s="3">
        <v>100</v>
      </c>
      <c r="O470" s="3">
        <v>13.51351351351351</v>
      </c>
    </row>
    <row r="471" spans="1:16" hidden="1" x14ac:dyDescent="0.25">
      <c r="A471" s="11">
        <v>46167</v>
      </c>
      <c r="B471" t="s">
        <v>37</v>
      </c>
      <c r="C471" t="s">
        <v>32</v>
      </c>
      <c r="D471" s="3">
        <v>22</v>
      </c>
      <c r="E471" s="3">
        <v>21</v>
      </c>
      <c r="F471" s="3">
        <v>17.100000000000001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 t="str">
        <f t="shared" si="64"/>
        <v>OPORTUNO</v>
      </c>
      <c r="M471" s="3">
        <v>20</v>
      </c>
      <c r="N471" s="3">
        <v>99</v>
      </c>
      <c r="O471" s="3">
        <v>22.27414330218069</v>
      </c>
    </row>
    <row r="472" spans="1:16" hidden="1" x14ac:dyDescent="0.25">
      <c r="A472" s="11">
        <v>46167</v>
      </c>
      <c r="B472" t="s">
        <v>38</v>
      </c>
      <c r="C472" t="s">
        <v>32</v>
      </c>
      <c r="D472" s="3">
        <v>17</v>
      </c>
      <c r="E472" s="3">
        <v>16</v>
      </c>
      <c r="F472" s="3">
        <v>18.3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 t="str">
        <f t="shared" si="64"/>
        <v>OPORTUNO</v>
      </c>
      <c r="M472" s="3">
        <v>19</v>
      </c>
      <c r="N472" s="3">
        <v>97.04</v>
      </c>
      <c r="O472" s="3">
        <v>29.828850855745721</v>
      </c>
    </row>
    <row r="473" spans="1:16" hidden="1" x14ac:dyDescent="0.25">
      <c r="A473" s="11">
        <v>46167</v>
      </c>
      <c r="B473" t="s">
        <v>39</v>
      </c>
      <c r="C473" t="s">
        <v>32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64"/>
        <v>OPORTUNO</v>
      </c>
      <c r="M473" s="3">
        <v>0</v>
      </c>
      <c r="N473" s="3">
        <v>0</v>
      </c>
      <c r="O473" s="3">
        <v>0</v>
      </c>
    </row>
    <row r="474" spans="1:16" hidden="1" x14ac:dyDescent="0.25">
      <c r="A474" s="11">
        <v>46167</v>
      </c>
      <c r="B474" t="s">
        <v>40</v>
      </c>
      <c r="C474" t="s">
        <v>32</v>
      </c>
      <c r="D474" s="3">
        <v>27</v>
      </c>
      <c r="E474" s="3">
        <v>27</v>
      </c>
      <c r="F474" s="3">
        <v>13.4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 t="str">
        <f t="shared" si="64"/>
        <v>OPORTUNO</v>
      </c>
      <c r="M474" s="3">
        <v>28</v>
      </c>
      <c r="N474" s="3">
        <v>96.84</v>
      </c>
      <c r="O474" s="3">
        <v>16.338028169014081</v>
      </c>
    </row>
    <row r="475" spans="1:16" hidden="1" x14ac:dyDescent="0.25">
      <c r="A475" s="11">
        <v>46167</v>
      </c>
      <c r="B475" t="s">
        <v>41</v>
      </c>
      <c r="C475" t="s">
        <v>32</v>
      </c>
      <c r="D475" s="3">
        <v>26</v>
      </c>
      <c r="E475" s="3">
        <v>24</v>
      </c>
      <c r="F475" s="3">
        <v>16.440000000000001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64"/>
        <v>OPORTUNO</v>
      </c>
      <c r="M475" s="3">
        <v>25</v>
      </c>
      <c r="N475" s="3">
        <v>100</v>
      </c>
      <c r="O475" s="3">
        <v>18.244803695150122</v>
      </c>
    </row>
    <row r="476" spans="1:16" hidden="1" x14ac:dyDescent="0.25">
      <c r="A476" s="11">
        <v>46167</v>
      </c>
      <c r="B476" t="s">
        <v>42</v>
      </c>
      <c r="C476" t="s">
        <v>32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64"/>
        <v>OPORTUNO</v>
      </c>
      <c r="M476" s="3">
        <v>9</v>
      </c>
      <c r="N476" s="3">
        <v>100</v>
      </c>
      <c r="O476" s="3">
        <v>15.789473684210529</v>
      </c>
    </row>
    <row r="477" spans="1:16" hidden="1" x14ac:dyDescent="0.25">
      <c r="A477" s="11">
        <v>46167</v>
      </c>
      <c r="B477" t="s">
        <v>43</v>
      </c>
      <c r="C477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 t="str">
        <f t="shared" si="64"/>
        <v>OPORTUNO</v>
      </c>
      <c r="M477" s="3">
        <v>14</v>
      </c>
      <c r="N477" s="3">
        <v>98.39</v>
      </c>
      <c r="O477" s="3">
        <v>8.7999999999999989</v>
      </c>
    </row>
    <row r="478" spans="1:16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  <c r="P478"/>
    </row>
    <row r="479" spans="1:16" hidden="1" x14ac:dyDescent="0.25">
      <c r="A479" s="11">
        <v>46167</v>
      </c>
      <c r="B479" t="s">
        <v>44</v>
      </c>
      <c r="C479" t="s">
        <v>32</v>
      </c>
      <c r="D479" s="3">
        <v>25</v>
      </c>
      <c r="E479" s="3">
        <v>24</v>
      </c>
      <c r="F479" s="3">
        <v>17.350000000000001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 s="3">
        <v>22</v>
      </c>
      <c r="N479" s="3">
        <v>96.38</v>
      </c>
      <c r="O479" s="3">
        <v>23.198198198198199</v>
      </c>
    </row>
    <row r="480" spans="1:16" hidden="1" x14ac:dyDescent="0.25">
      <c r="A480" s="11">
        <v>46167</v>
      </c>
      <c r="B480" t="s">
        <v>45</v>
      </c>
      <c r="C480" t="s">
        <v>32</v>
      </c>
      <c r="D480" s="3">
        <v>27</v>
      </c>
      <c r="E480" s="3">
        <v>24</v>
      </c>
      <c r="F480" s="3">
        <v>13.43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 s="3">
        <v>19</v>
      </c>
      <c r="N480" s="3">
        <v>99.39</v>
      </c>
      <c r="O480" s="3">
        <v>25.203252032520329</v>
      </c>
    </row>
    <row r="481" spans="1:15" hidden="1" x14ac:dyDescent="0.25">
      <c r="A481" s="11">
        <v>46167</v>
      </c>
      <c r="B481" t="s">
        <v>46</v>
      </c>
      <c r="C481" t="s">
        <v>32</v>
      </c>
      <c r="D481" s="3">
        <v>27</v>
      </c>
      <c r="E481" s="3">
        <v>25</v>
      </c>
      <c r="F481" s="3">
        <v>10.34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 s="3">
        <v>23</v>
      </c>
      <c r="N481" s="3">
        <v>97</v>
      </c>
      <c r="O481" s="3">
        <v>20.325203252032519</v>
      </c>
    </row>
    <row r="482" spans="1:15" hidden="1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3">
        <v>18</v>
      </c>
      <c r="N482" s="3">
        <v>97.04</v>
      </c>
      <c r="O482" s="3">
        <v>29.828850855745721</v>
      </c>
    </row>
    <row r="483" spans="1:15" hidden="1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hidden="1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3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hidden="1" x14ac:dyDescent="0.25">
      <c r="A485" s="11">
        <v>46168</v>
      </c>
      <c r="B485" t="s">
        <v>38</v>
      </c>
      <c r="C485" t="s">
        <v>32</v>
      </c>
      <c r="D485" s="3">
        <v>18</v>
      </c>
      <c r="E485" s="3">
        <v>16</v>
      </c>
      <c r="F485" s="3">
        <v>10.14</v>
      </c>
      <c r="G485" s="3">
        <v>4</v>
      </c>
      <c r="M485" s="3">
        <v>15</v>
      </c>
      <c r="N485" s="3">
        <v>97.04</v>
      </c>
      <c r="O485" s="3">
        <v>34.718826405867972</v>
      </c>
    </row>
    <row r="486" spans="1:15" hidden="1" x14ac:dyDescent="0.25">
      <c r="A486" s="11">
        <v>46140</v>
      </c>
      <c r="B486" t="s">
        <v>39</v>
      </c>
      <c r="C486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3">
        <v>0</v>
      </c>
      <c r="N486" s="3">
        <v>0</v>
      </c>
      <c r="O486" s="3">
        <v>0</v>
      </c>
    </row>
    <row r="487" spans="1:15" hidden="1" x14ac:dyDescent="0.25">
      <c r="A487" s="11">
        <v>46141</v>
      </c>
      <c r="B487" t="s">
        <v>39</v>
      </c>
      <c r="C487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 s="3">
        <v>0</v>
      </c>
      <c r="N487" s="3">
        <v>0</v>
      </c>
      <c r="O487" s="3">
        <v>0</v>
      </c>
    </row>
    <row r="488" spans="1:15" hidden="1" x14ac:dyDescent="0.25">
      <c r="A488" s="11">
        <v>46142</v>
      </c>
      <c r="B488" t="s">
        <v>39</v>
      </c>
      <c r="C488" t="s">
        <v>32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 s="3">
        <v>0</v>
      </c>
      <c r="N488" s="3">
        <v>0</v>
      </c>
      <c r="O488" s="3">
        <v>0</v>
      </c>
    </row>
    <row r="489" spans="1:15" hidden="1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3">
        <v>0</v>
      </c>
      <c r="N489" s="3">
        <v>0</v>
      </c>
      <c r="O489" s="3">
        <v>0</v>
      </c>
    </row>
    <row r="490" spans="1:15" hidden="1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hidden="1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hidden="1" x14ac:dyDescent="0.25">
      <c r="A492" s="11">
        <v>46168</v>
      </c>
      <c r="B492" t="s">
        <v>39</v>
      </c>
      <c r="C492" t="s">
        <v>32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M492" s="3">
        <v>0</v>
      </c>
      <c r="N492" s="3">
        <v>0</v>
      </c>
      <c r="O492" s="3">
        <v>0</v>
      </c>
    </row>
    <row r="493" spans="1:15" hidden="1" x14ac:dyDescent="0.25">
      <c r="A493" s="11">
        <v>46140</v>
      </c>
      <c r="B493" t="s">
        <v>40</v>
      </c>
      <c r="C493" t="s">
        <v>32</v>
      </c>
      <c r="D493" s="3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 s="3">
        <v>26</v>
      </c>
      <c r="N493" s="3">
        <v>96.81</v>
      </c>
      <c r="O493" s="3">
        <v>48.018648018648022</v>
      </c>
    </row>
    <row r="494" spans="1:15" hidden="1" x14ac:dyDescent="0.25">
      <c r="A494" s="11">
        <v>46141</v>
      </c>
      <c r="B494" t="s">
        <v>40</v>
      </c>
      <c r="C494" t="s">
        <v>32</v>
      </c>
      <c r="D494" s="3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 s="3">
        <v>34</v>
      </c>
      <c r="N494" s="3">
        <v>96.81</v>
      </c>
      <c r="O494" s="3">
        <v>48.018648018648022</v>
      </c>
    </row>
    <row r="495" spans="1:15" hidden="1" x14ac:dyDescent="0.25">
      <c r="A495" s="11">
        <v>46142</v>
      </c>
      <c r="B495" t="s">
        <v>40</v>
      </c>
      <c r="C495" t="s">
        <v>32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 s="3">
        <v>16</v>
      </c>
      <c r="N495" s="3">
        <v>96.81</v>
      </c>
      <c r="O495" s="3">
        <v>48.018648018648022</v>
      </c>
    </row>
    <row r="496" spans="1:15" hidden="1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3">
        <v>20</v>
      </c>
      <c r="N496" s="3">
        <v>96.84</v>
      </c>
      <c r="O496" s="3">
        <v>16.338028169014081</v>
      </c>
    </row>
    <row r="497" spans="1:16" hidden="1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6" hidden="1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3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6" hidden="1" x14ac:dyDescent="0.25">
      <c r="A499" s="11">
        <v>46168</v>
      </c>
      <c r="B499" t="s">
        <v>40</v>
      </c>
      <c r="C499" t="s">
        <v>32</v>
      </c>
      <c r="D499" s="3">
        <v>30</v>
      </c>
      <c r="E499" s="3">
        <v>29</v>
      </c>
      <c r="F499" s="3">
        <v>15.33</v>
      </c>
      <c r="G499" s="3">
        <v>2</v>
      </c>
      <c r="M499" s="3">
        <v>25</v>
      </c>
      <c r="N499" s="3">
        <v>96.84</v>
      </c>
      <c r="O499" s="3">
        <v>17.74647887323944</v>
      </c>
    </row>
    <row r="500" spans="1:16" hidden="1" x14ac:dyDescent="0.25">
      <c r="A500" s="11">
        <v>46140</v>
      </c>
      <c r="B500" t="s">
        <v>41</v>
      </c>
      <c r="C500" t="s">
        <v>32</v>
      </c>
      <c r="D500" s="3">
        <v>29</v>
      </c>
      <c r="E500" s="3">
        <v>28</v>
      </c>
      <c r="F500" s="3">
        <v>17.309999999999999</v>
      </c>
      <c r="G500" s="3">
        <v>0</v>
      </c>
      <c r="H500" s="3">
        <v>0</v>
      </c>
      <c r="I500" s="3">
        <f t="shared" ref="I500:I507" si="65">E500+G500+H500</f>
        <v>28</v>
      </c>
      <c r="J500" s="3">
        <f t="shared" ref="J500:J507" si="66"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 t="shared" ref="K500:K507" si="67">I500-J500</f>
        <v>-6</v>
      </c>
      <c r="L500" s="3" t="str">
        <f>IF(K500&lt;-5,"CRÍTICO",IF(K500&lt;0,"ATENÇÃO",IF(K500&lt;=5,"OPORTUNO","MUITO BOM")))</f>
        <v>CRÍTICO</v>
      </c>
      <c r="M500" s="3">
        <v>27</v>
      </c>
      <c r="N500" s="3">
        <v>99.15</v>
      </c>
      <c r="O500" s="3">
        <v>27.586206896551719</v>
      </c>
    </row>
    <row r="501" spans="1:16" hidden="1" x14ac:dyDescent="0.25">
      <c r="A501" s="11">
        <v>46141</v>
      </c>
      <c r="B501" t="s">
        <v>41</v>
      </c>
      <c r="C501" t="s">
        <v>32</v>
      </c>
      <c r="D501" s="3">
        <v>32</v>
      </c>
      <c r="E501" s="3">
        <v>26</v>
      </c>
      <c r="F501" s="3">
        <v>12.16</v>
      </c>
      <c r="G501" s="3">
        <v>0</v>
      </c>
      <c r="H501" s="3">
        <v>0</v>
      </c>
      <c r="I501" s="3">
        <f t="shared" si="65"/>
        <v>26</v>
      </c>
      <c r="J501" s="3">
        <f t="shared" si="66"/>
        <v>35</v>
      </c>
      <c r="K501" s="3">
        <f t="shared" si="67"/>
        <v>-9</v>
      </c>
      <c r="L501" s="3" t="str">
        <f>IF(K501&lt;-5,"CRÍTICO",IF(K501&lt;0,"ATENÇÃO",IF(K501&lt;=5,"OPORTUNO","MUITO BOM")))</f>
        <v>CRÍTICO</v>
      </c>
      <c r="M501" s="3">
        <v>27</v>
      </c>
      <c r="N501" s="3">
        <v>99.15</v>
      </c>
      <c r="O501" s="3">
        <v>27.586206896551719</v>
      </c>
    </row>
    <row r="502" spans="1:16" hidden="1" x14ac:dyDescent="0.25">
      <c r="A502" s="11">
        <v>46142</v>
      </c>
      <c r="B502" t="s">
        <v>41</v>
      </c>
      <c r="C502" t="s">
        <v>32</v>
      </c>
      <c r="D502" s="3">
        <v>31</v>
      </c>
      <c r="E502" s="3">
        <v>29</v>
      </c>
      <c r="F502" s="3">
        <v>13.5</v>
      </c>
      <c r="G502" s="3">
        <v>0</v>
      </c>
      <c r="H502" s="3">
        <v>0</v>
      </c>
      <c r="I502" s="3">
        <f t="shared" si="65"/>
        <v>29</v>
      </c>
      <c r="J502" s="3">
        <f t="shared" si="66"/>
        <v>32</v>
      </c>
      <c r="K502" s="3">
        <f t="shared" si="67"/>
        <v>-3</v>
      </c>
      <c r="L502" s="3" t="str">
        <f>IF(K502&lt;-5,"CRÍTICO",IF(K502&lt;0,"ATENÇÃO",IF(K502&lt;=5,"OPORTUNO","MUITO BOM")))</f>
        <v>ATENÇÃO</v>
      </c>
      <c r="M502" s="3">
        <v>30</v>
      </c>
      <c r="N502" s="3">
        <v>99.15</v>
      </c>
      <c r="O502" s="3">
        <v>27.586206896551719</v>
      </c>
    </row>
    <row r="503" spans="1:16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65"/>
        <v>22</v>
      </c>
      <c r="J503" s="3">
        <f t="shared" si="66"/>
        <v>14</v>
      </c>
      <c r="K503" s="3">
        <f t="shared" si="67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  <c r="P503"/>
    </row>
    <row r="504" spans="1:16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65"/>
        <v>17</v>
      </c>
      <c r="J504" s="3">
        <f t="shared" si="66"/>
        <v>14</v>
      </c>
      <c r="K504" s="3">
        <f t="shared" si="67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  <c r="P504"/>
    </row>
    <row r="505" spans="1:16" hidden="1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65"/>
        <v>29</v>
      </c>
      <c r="J505" s="3">
        <f t="shared" si="66"/>
        <v>35</v>
      </c>
      <c r="K505" s="3">
        <f t="shared" si="67"/>
        <v>-6</v>
      </c>
      <c r="L505" s="3" t="str">
        <f>IF(K505&lt;-5,"CRÍTICO",IF(K505&lt;0,"ATENÇÃO",IF(K505&lt;=5,"BOM","EXCELENTE")))</f>
        <v>CRÍTICO</v>
      </c>
      <c r="M505" s="3">
        <v>27</v>
      </c>
      <c r="N505" s="3">
        <v>100</v>
      </c>
      <c r="O505" s="3">
        <v>18.244803695150122</v>
      </c>
    </row>
    <row r="506" spans="1:16" hidden="1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65"/>
        <v>25</v>
      </c>
      <c r="J506" s="3">
        <f t="shared" si="66"/>
        <v>35</v>
      </c>
      <c r="K506" s="3">
        <f t="shared" si="67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6" hidden="1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3">
        <v>16.420000000000002</v>
      </c>
      <c r="G507" s="3">
        <v>0</v>
      </c>
      <c r="H507" s="3">
        <v>0</v>
      </c>
      <c r="I507" s="3">
        <f t="shared" si="65"/>
        <v>38</v>
      </c>
      <c r="J507" s="3">
        <f t="shared" si="66"/>
        <v>35</v>
      </c>
      <c r="K507" s="3">
        <f t="shared" si="67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6" hidden="1" x14ac:dyDescent="0.25">
      <c r="A508" s="11">
        <v>46168</v>
      </c>
      <c r="B508" t="s">
        <v>41</v>
      </c>
      <c r="C508" t="s">
        <v>32</v>
      </c>
      <c r="D508" s="3">
        <v>29</v>
      </c>
      <c r="E508" s="3">
        <v>26</v>
      </c>
      <c r="F508" s="3">
        <v>15.05</v>
      </c>
      <c r="G508" s="3">
        <v>0</v>
      </c>
      <c r="M508" s="3">
        <v>25</v>
      </c>
      <c r="N508" s="3">
        <v>100</v>
      </c>
      <c r="O508" s="3">
        <v>19.399538106235571</v>
      </c>
    </row>
    <row r="509" spans="1:16" hidden="1" x14ac:dyDescent="0.25">
      <c r="A509" s="11">
        <v>46140</v>
      </c>
      <c r="B509" t="s">
        <v>42</v>
      </c>
      <c r="C509" t="s">
        <v>32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3">
        <v>0</v>
      </c>
      <c r="N509" s="3">
        <v>88.68</v>
      </c>
      <c r="O509" s="3">
        <v>22.03389830508474</v>
      </c>
    </row>
    <row r="510" spans="1:16" hidden="1" x14ac:dyDescent="0.25">
      <c r="A510" s="11">
        <v>46141</v>
      </c>
      <c r="B510" t="s">
        <v>42</v>
      </c>
      <c r="C510" t="s">
        <v>32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3">
        <v>0</v>
      </c>
      <c r="N510" s="3">
        <v>88.68</v>
      </c>
      <c r="O510" s="3">
        <v>22.03389830508474</v>
      </c>
    </row>
    <row r="511" spans="1:16" hidden="1" x14ac:dyDescent="0.25">
      <c r="A511" s="11">
        <v>46142</v>
      </c>
      <c r="B511" t="s">
        <v>42</v>
      </c>
      <c r="C51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3">
        <v>0</v>
      </c>
      <c r="N511" s="3">
        <v>88.68</v>
      </c>
      <c r="O511" s="3">
        <v>22.03389830508474</v>
      </c>
    </row>
    <row r="512" spans="1:16" hidden="1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3">
        <v>0</v>
      </c>
      <c r="N512" s="3">
        <v>100</v>
      </c>
      <c r="O512" s="3">
        <v>15.789473684210529</v>
      </c>
    </row>
    <row r="513" spans="1:15" hidden="1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hidden="1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hidden="1" x14ac:dyDescent="0.25">
      <c r="A515" s="11">
        <v>46168</v>
      </c>
      <c r="B515" t="s">
        <v>42</v>
      </c>
      <c r="C515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M515" s="3">
        <v>16</v>
      </c>
      <c r="N515" s="3">
        <v>100</v>
      </c>
      <c r="O515" s="3">
        <v>21.276595744680851</v>
      </c>
    </row>
    <row r="516" spans="1:15" hidden="1" x14ac:dyDescent="0.25">
      <c r="A516" s="11">
        <v>46140</v>
      </c>
      <c r="B516" t="s">
        <v>43</v>
      </c>
      <c r="C516" t="s">
        <v>32</v>
      </c>
      <c r="D516" s="3">
        <v>35</v>
      </c>
      <c r="E516" s="3">
        <v>34</v>
      </c>
      <c r="F516" s="3">
        <v>15.13</v>
      </c>
      <c r="G516" s="3">
        <v>0</v>
      </c>
      <c r="H516" s="3">
        <v>0</v>
      </c>
      <c r="I516" s="3">
        <f t="shared" ref="I516:I521" si="68">E516+G516+H516</f>
        <v>34</v>
      </c>
      <c r="J516" s="3">
        <f t="shared" ref="J516:J521" si="69"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 t="shared" ref="K516:K521" si="70">I516-J516</f>
        <v>0</v>
      </c>
      <c r="L516" s="3" t="str">
        <f>IF(K516&lt;-5,"CRÍTICO",IF(K516&lt;0,"ATENÇÃO",IF(K516&lt;=5,"OPORTUNO","MUITO BOM")))</f>
        <v>OPORTUNO</v>
      </c>
      <c r="M516" s="3">
        <v>45</v>
      </c>
      <c r="N516" s="3">
        <v>100</v>
      </c>
      <c r="O516" s="3">
        <v>23.9870340356564</v>
      </c>
    </row>
    <row r="517" spans="1:15" hidden="1" x14ac:dyDescent="0.25">
      <c r="A517" s="11">
        <v>46141</v>
      </c>
      <c r="B517" t="s">
        <v>43</v>
      </c>
      <c r="C517" t="s">
        <v>32</v>
      </c>
      <c r="D517" s="3">
        <v>26</v>
      </c>
      <c r="E517" s="3">
        <v>23</v>
      </c>
      <c r="F517" s="3">
        <v>11.5</v>
      </c>
      <c r="G517" s="3">
        <v>0</v>
      </c>
      <c r="H517" s="3">
        <v>0</v>
      </c>
      <c r="I517" s="3">
        <f t="shared" si="68"/>
        <v>23</v>
      </c>
      <c r="J517" s="3">
        <f t="shared" si="69"/>
        <v>35</v>
      </c>
      <c r="K517" s="3">
        <f t="shared" si="70"/>
        <v>-12</v>
      </c>
      <c r="L517" s="3" t="str">
        <f>IF(K517&lt;-5,"CRÍTICO",IF(K517&lt;0,"ATENÇÃO",IF(K517&lt;=5,"OPORTUNO","MUITO BOM")))</f>
        <v>CRÍTICO</v>
      </c>
      <c r="M517" s="3">
        <v>33</v>
      </c>
      <c r="N517" s="3">
        <v>100</v>
      </c>
      <c r="O517" s="3">
        <v>23.9870340356564</v>
      </c>
    </row>
    <row r="518" spans="1:15" hidden="1" x14ac:dyDescent="0.25">
      <c r="A518" s="11">
        <v>46142</v>
      </c>
      <c r="B518" t="s">
        <v>43</v>
      </c>
      <c r="C518" t="s">
        <v>32</v>
      </c>
      <c r="D518" s="3">
        <v>15</v>
      </c>
      <c r="E518" s="3">
        <v>13</v>
      </c>
      <c r="F518" s="3">
        <v>11.57</v>
      </c>
      <c r="G518" s="3">
        <v>0</v>
      </c>
      <c r="H518" s="3">
        <v>0</v>
      </c>
      <c r="I518" s="3">
        <f t="shared" si="68"/>
        <v>13</v>
      </c>
      <c r="J518" s="3">
        <f t="shared" si="69"/>
        <v>32</v>
      </c>
      <c r="K518" s="3">
        <f t="shared" si="70"/>
        <v>-19</v>
      </c>
      <c r="L518" s="3" t="str">
        <f>IF(K518&lt;-5,"CRÍTICO",IF(K518&lt;0,"ATENÇÃO",IF(K518&lt;=5,"OPORTUNO","MUITO BOM")))</f>
        <v>CRÍTICO</v>
      </c>
      <c r="M518" s="3">
        <v>33</v>
      </c>
      <c r="N518" s="3">
        <v>100</v>
      </c>
      <c r="O518" s="3">
        <v>23.9870340356564</v>
      </c>
    </row>
    <row r="519" spans="1:15" hidden="1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68"/>
        <v>57</v>
      </c>
      <c r="J519" s="3">
        <f t="shared" si="69"/>
        <v>35</v>
      </c>
      <c r="K519" s="3">
        <f t="shared" si="70"/>
        <v>22</v>
      </c>
      <c r="L519" s="3" t="str">
        <f>IF(K519&lt;-5,"CRÍTICO",IF(K519&lt;0,"ATENÇÃO",IF(K519&lt;=5,"BOM","EXCELENTE")))</f>
        <v>EXCELENTE</v>
      </c>
      <c r="M519" s="3">
        <v>36</v>
      </c>
      <c r="N519" s="3">
        <v>98.39</v>
      </c>
      <c r="O519" s="3">
        <v>8.7999999999999989</v>
      </c>
    </row>
    <row r="520" spans="1:15" hidden="1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68"/>
        <v>35</v>
      </c>
      <c r="J520" s="3">
        <f t="shared" si="69"/>
        <v>35</v>
      </c>
      <c r="K520" s="3">
        <f t="shared" si="70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hidden="1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3">
        <v>18.39</v>
      </c>
      <c r="G521" s="3">
        <v>0</v>
      </c>
      <c r="H521" s="3">
        <v>17</v>
      </c>
      <c r="I521" s="3">
        <f t="shared" si="68"/>
        <v>41</v>
      </c>
      <c r="J521" s="3">
        <f t="shared" si="69"/>
        <v>35</v>
      </c>
      <c r="K521" s="3">
        <f t="shared" si="70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hidden="1" x14ac:dyDescent="0.25">
      <c r="A522" s="11">
        <v>46168</v>
      </c>
      <c r="B522" t="s">
        <v>43</v>
      </c>
      <c r="C522" t="s">
        <v>32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M522" s="3">
        <v>18</v>
      </c>
      <c r="N522" s="3">
        <v>98.39</v>
      </c>
      <c r="O522" s="3">
        <v>9.0666666666666664</v>
      </c>
    </row>
    <row r="523" spans="1:15" hidden="1" x14ac:dyDescent="0.25">
      <c r="A523" s="11">
        <v>46140</v>
      </c>
      <c r="B523" t="s">
        <v>44</v>
      </c>
      <c r="C523" t="s">
        <v>32</v>
      </c>
      <c r="D523" s="3">
        <v>38</v>
      </c>
      <c r="E523" s="3">
        <v>32</v>
      </c>
      <c r="F523" s="3">
        <v>12.32</v>
      </c>
      <c r="G523" s="3">
        <v>0</v>
      </c>
      <c r="H523" s="3">
        <v>0</v>
      </c>
      <c r="I523" s="3">
        <f t="shared" ref="I523:I528" si="71">E523+G523+H523</f>
        <v>32</v>
      </c>
      <c r="J523" s="3">
        <f t="shared" ref="J523:J528" si="72"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 t="shared" ref="K523:K528" si="73">I523-J523</f>
        <v>-2</v>
      </c>
      <c r="L523" s="3" t="str">
        <f>IF(K523&lt;-5,"CRÍTICO",IF(K523&lt;0,"ATENÇÃO",IF(K523&lt;=5,"OPORTUNO","MUITO BOM")))</f>
        <v>ATENÇÃO</v>
      </c>
      <c r="M523" s="3">
        <v>31</v>
      </c>
      <c r="N523" s="3">
        <v>95.49</v>
      </c>
      <c r="O523" s="3">
        <v>28.370221327967808</v>
      </c>
    </row>
    <row r="524" spans="1:15" hidden="1" x14ac:dyDescent="0.25">
      <c r="A524" s="11">
        <v>46141</v>
      </c>
      <c r="B524" t="s">
        <v>44</v>
      </c>
      <c r="C524" t="s">
        <v>32</v>
      </c>
      <c r="D524" s="3">
        <v>32</v>
      </c>
      <c r="E524" s="3">
        <v>29</v>
      </c>
      <c r="F524" s="3">
        <v>12.35</v>
      </c>
      <c r="G524" s="3">
        <v>0</v>
      </c>
      <c r="H524" s="3">
        <v>0</v>
      </c>
      <c r="I524" s="3">
        <f t="shared" si="71"/>
        <v>29</v>
      </c>
      <c r="J524" s="3">
        <f t="shared" si="72"/>
        <v>35</v>
      </c>
      <c r="K524" s="3">
        <f t="shared" si="73"/>
        <v>-6</v>
      </c>
      <c r="L524" s="3" t="str">
        <f>IF(K524&lt;-5,"CRÍTICO",IF(K524&lt;0,"ATENÇÃO",IF(K524&lt;=5,"OPORTUNO","MUITO BOM")))</f>
        <v>CRÍTICO</v>
      </c>
      <c r="M524" s="3">
        <v>27</v>
      </c>
      <c r="N524" s="3">
        <v>95.49</v>
      </c>
      <c r="O524" s="3">
        <v>28.370221327967808</v>
      </c>
    </row>
    <row r="525" spans="1:15" hidden="1" x14ac:dyDescent="0.25">
      <c r="A525" s="11">
        <v>46142</v>
      </c>
      <c r="B525" t="s">
        <v>44</v>
      </c>
      <c r="C525" t="s">
        <v>32</v>
      </c>
      <c r="D525" s="3">
        <v>35</v>
      </c>
      <c r="E525" s="3">
        <v>34</v>
      </c>
      <c r="F525" s="3">
        <v>14.14</v>
      </c>
      <c r="G525" s="3">
        <v>0</v>
      </c>
      <c r="H525" s="3">
        <v>0</v>
      </c>
      <c r="I525" s="3">
        <f t="shared" si="71"/>
        <v>34</v>
      </c>
      <c r="J525" s="3">
        <f t="shared" si="72"/>
        <v>32</v>
      </c>
      <c r="K525" s="3">
        <f t="shared" si="73"/>
        <v>2</v>
      </c>
      <c r="L525" s="3" t="str">
        <f>IF(K525&lt;-5,"CRÍTICO",IF(K525&lt;0,"ATENÇÃO",IF(K525&lt;=5,"OPORTUNO","MUITO BOM")))</f>
        <v>OPORTUNO</v>
      </c>
      <c r="M525" s="3">
        <v>27</v>
      </c>
      <c r="N525" s="3">
        <v>95.49</v>
      </c>
      <c r="O525" s="3">
        <v>28.370221327967808</v>
      </c>
    </row>
    <row r="526" spans="1:15" hidden="1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71"/>
        <v>38</v>
      </c>
      <c r="J526" s="3">
        <f t="shared" si="72"/>
        <v>35</v>
      </c>
      <c r="K526" s="3">
        <f t="shared" si="73"/>
        <v>3</v>
      </c>
      <c r="L526" s="3" t="str">
        <f>IF(K526&lt;-5,"CRÍTICO",IF(K526&lt;0,"ATENÇÃO",IF(K526&lt;=5,"BOM","EXCELENTE")))</f>
        <v>BOM</v>
      </c>
      <c r="M526" s="3">
        <v>33</v>
      </c>
      <c r="N526" s="3">
        <v>96.38</v>
      </c>
      <c r="O526" s="3">
        <v>23.198198198198199</v>
      </c>
    </row>
    <row r="527" spans="1:15" hidden="1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71"/>
        <v>40</v>
      </c>
      <c r="J527" s="3">
        <f t="shared" si="72"/>
        <v>35</v>
      </c>
      <c r="K527" s="3">
        <f t="shared" si="73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hidden="1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3">
        <v>19.04</v>
      </c>
      <c r="G528" s="3">
        <v>1</v>
      </c>
      <c r="H528" s="3">
        <v>0</v>
      </c>
      <c r="I528" s="3">
        <f t="shared" si="71"/>
        <v>31</v>
      </c>
      <c r="J528" s="3">
        <f t="shared" si="72"/>
        <v>35</v>
      </c>
      <c r="K528" s="3">
        <f t="shared" si="73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hidden="1" x14ac:dyDescent="0.25">
      <c r="A529" s="11">
        <v>46168</v>
      </c>
      <c r="B529" t="s">
        <v>44</v>
      </c>
      <c r="C529" t="s">
        <v>32</v>
      </c>
      <c r="D529" s="3">
        <v>33</v>
      </c>
      <c r="E529" s="3">
        <v>30</v>
      </c>
      <c r="F529" s="3">
        <v>10.1</v>
      </c>
      <c r="G529" s="3">
        <v>2</v>
      </c>
      <c r="M529" s="3">
        <v>26</v>
      </c>
      <c r="N529" s="3">
        <v>96.38</v>
      </c>
      <c r="O529" s="3">
        <v>25.22522522522522</v>
      </c>
    </row>
    <row r="530" spans="1:15" hidden="1" x14ac:dyDescent="0.25">
      <c r="A530" s="11">
        <v>46140</v>
      </c>
      <c r="B530" t="s">
        <v>45</v>
      </c>
      <c r="C530" t="s">
        <v>32</v>
      </c>
      <c r="D530" s="3">
        <v>43</v>
      </c>
      <c r="E530" s="3">
        <v>39</v>
      </c>
      <c r="F530" s="3">
        <v>12.1</v>
      </c>
      <c r="G530" s="3">
        <v>0</v>
      </c>
      <c r="H530" s="3">
        <v>0</v>
      </c>
      <c r="I530" s="3">
        <f t="shared" ref="I530:I535" si="74">E530+G530+H530</f>
        <v>39</v>
      </c>
      <c r="J530" s="3">
        <f t="shared" ref="J530:J535" si="75"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 t="shared" ref="K530:K535" si="76">I530-J530</f>
        <v>5</v>
      </c>
      <c r="L530" s="3" t="str">
        <f>IF(K530&lt;-5,"CRÍTICO",IF(K530&lt;0,"ATENÇÃO",IF(K530&lt;=5,"OPORTUNO","MUITO BOM")))</f>
        <v>OPORTUNO</v>
      </c>
      <c r="M530" s="3">
        <v>31</v>
      </c>
      <c r="N530" s="3">
        <v>100</v>
      </c>
      <c r="O530" s="3">
        <v>31.135531135531139</v>
      </c>
    </row>
    <row r="531" spans="1:15" hidden="1" x14ac:dyDescent="0.25">
      <c r="A531" s="11">
        <v>46141</v>
      </c>
      <c r="B531" t="s">
        <v>45</v>
      </c>
      <c r="C531" t="s">
        <v>32</v>
      </c>
      <c r="D531" s="3">
        <v>52</v>
      </c>
      <c r="E531" s="3">
        <v>48</v>
      </c>
      <c r="F531" s="3">
        <v>10.56</v>
      </c>
      <c r="G531" s="3">
        <v>0</v>
      </c>
      <c r="H531" s="3">
        <v>0</v>
      </c>
      <c r="I531" s="3">
        <f t="shared" si="74"/>
        <v>48</v>
      </c>
      <c r="J531" s="3">
        <f t="shared" si="75"/>
        <v>35</v>
      </c>
      <c r="K531" s="3">
        <f t="shared" si="76"/>
        <v>13</v>
      </c>
      <c r="L531" s="3" t="str">
        <f>IF(K531&lt;-5,"CRÍTICO",IF(K531&lt;0,"ATENÇÃO",IF(K531&lt;=5,"OPORTUNO","MUITO BOM")))</f>
        <v>MUITO BOM</v>
      </c>
      <c r="M531" s="3">
        <v>40</v>
      </c>
      <c r="N531" s="3">
        <v>100</v>
      </c>
      <c r="O531" s="3">
        <v>31.135531135531139</v>
      </c>
    </row>
    <row r="532" spans="1:15" hidden="1" x14ac:dyDescent="0.25">
      <c r="A532" s="11">
        <v>46142</v>
      </c>
      <c r="B532" t="s">
        <v>45</v>
      </c>
      <c r="C532" t="s">
        <v>32</v>
      </c>
      <c r="D532" s="3">
        <v>36</v>
      </c>
      <c r="E532" s="3">
        <v>33</v>
      </c>
      <c r="F532" s="3">
        <v>18.2</v>
      </c>
      <c r="G532" s="3">
        <v>0</v>
      </c>
      <c r="H532" s="3">
        <v>0</v>
      </c>
      <c r="I532" s="3">
        <f t="shared" si="74"/>
        <v>33</v>
      </c>
      <c r="J532" s="3">
        <f t="shared" si="75"/>
        <v>32</v>
      </c>
      <c r="K532" s="3">
        <f t="shared" si="76"/>
        <v>1</v>
      </c>
      <c r="L532" s="3" t="str">
        <f>IF(K532&lt;-5,"CRÍTICO",IF(K532&lt;0,"ATENÇÃO",IF(K532&lt;=5,"OPORTUNO","MUITO BOM")))</f>
        <v>OPORTUNO</v>
      </c>
      <c r="M532" s="3">
        <v>30</v>
      </c>
      <c r="N532" s="3">
        <v>100</v>
      </c>
      <c r="O532" s="3">
        <v>31.135531135531139</v>
      </c>
    </row>
    <row r="533" spans="1:15" hidden="1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74"/>
        <v>47</v>
      </c>
      <c r="J533" s="3">
        <f t="shared" si="75"/>
        <v>35</v>
      </c>
      <c r="K533" s="3">
        <f t="shared" si="76"/>
        <v>12</v>
      </c>
      <c r="L533" s="3" t="str">
        <f>IF(K533&lt;-5,"CRÍTICO",IF(K533&lt;0,"ATENÇÃO",IF(K533&lt;=5,"BOM","EXCELENTE")))</f>
        <v>EXCELENTE</v>
      </c>
      <c r="M533" s="3">
        <v>32</v>
      </c>
      <c r="N533" s="3">
        <v>99.39</v>
      </c>
      <c r="O533" s="3">
        <v>25.203252032520329</v>
      </c>
    </row>
    <row r="534" spans="1:15" hidden="1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74"/>
        <v>54</v>
      </c>
      <c r="J534" s="3">
        <f t="shared" si="75"/>
        <v>35</v>
      </c>
      <c r="K534" s="3">
        <f t="shared" si="7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hidden="1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3">
        <v>10.53</v>
      </c>
      <c r="G535" s="3">
        <v>1</v>
      </c>
      <c r="H535" s="3">
        <v>0</v>
      </c>
      <c r="I535" s="3">
        <f t="shared" si="74"/>
        <v>52</v>
      </c>
      <c r="J535" s="3">
        <f t="shared" si="75"/>
        <v>35</v>
      </c>
      <c r="K535" s="3">
        <f t="shared" si="7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hidden="1" x14ac:dyDescent="0.25">
      <c r="A536" s="11">
        <v>46168</v>
      </c>
      <c r="B536" t="s">
        <v>45</v>
      </c>
      <c r="C536" t="s">
        <v>32</v>
      </c>
      <c r="D536" s="3">
        <v>37</v>
      </c>
      <c r="E536" s="3">
        <v>33</v>
      </c>
      <c r="F536" s="3">
        <v>11.48</v>
      </c>
      <c r="G536" s="3">
        <v>0</v>
      </c>
      <c r="M536" s="3">
        <v>24</v>
      </c>
      <c r="N536" s="3">
        <v>99.39</v>
      </c>
      <c r="O536" s="3">
        <v>26.626016260162601</v>
      </c>
    </row>
    <row r="537" spans="1:15" hidden="1" x14ac:dyDescent="0.25">
      <c r="A537" s="11">
        <v>46140</v>
      </c>
      <c r="B537" t="s">
        <v>46</v>
      </c>
      <c r="C537" t="s">
        <v>32</v>
      </c>
      <c r="D537" s="3">
        <v>30</v>
      </c>
      <c r="E537" s="3">
        <v>28</v>
      </c>
      <c r="F537" s="3">
        <v>17.329999999999998</v>
      </c>
      <c r="G537" s="3">
        <v>0</v>
      </c>
      <c r="H537" s="3">
        <v>0</v>
      </c>
      <c r="I537" s="3">
        <f t="shared" ref="I537:I542" si="77">E537+G537+H537</f>
        <v>28</v>
      </c>
      <c r="J537" s="3">
        <f t="shared" ref="J537:J542" si="78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 t="shared" ref="K537:K542" si="79">I537-J537</f>
        <v>-6</v>
      </c>
      <c r="L537" s="3" t="str">
        <f>IF(K537&lt;-5,"CRÍTICO",IF(K537&lt;0,"ATENÇÃO",IF(K537&lt;=5,"OPORTUNO","MUITO BOM")))</f>
        <v>CRÍTICO</v>
      </c>
      <c r="M537" s="3">
        <v>24</v>
      </c>
      <c r="N537" s="3">
        <v>99.21</v>
      </c>
      <c r="O537" s="3">
        <v>25.188916876574311</v>
      </c>
    </row>
    <row r="538" spans="1:15" hidden="1" x14ac:dyDescent="0.25">
      <c r="A538" s="11">
        <v>46141</v>
      </c>
      <c r="B538" t="s">
        <v>46</v>
      </c>
      <c r="C538" t="s">
        <v>32</v>
      </c>
      <c r="D538" s="3">
        <v>30</v>
      </c>
      <c r="E538" s="3">
        <v>30</v>
      </c>
      <c r="F538" s="3">
        <v>15</v>
      </c>
      <c r="G538" s="3">
        <v>0</v>
      </c>
      <c r="H538" s="3">
        <v>0</v>
      </c>
      <c r="I538" s="3">
        <f t="shared" si="77"/>
        <v>30</v>
      </c>
      <c r="J538" s="3">
        <f t="shared" si="78"/>
        <v>35</v>
      </c>
      <c r="K538" s="3">
        <f t="shared" si="79"/>
        <v>-5</v>
      </c>
      <c r="L538" s="3" t="str">
        <f>IF(K538&lt;-5,"CRÍTICO",IF(K538&lt;0,"ATENÇÃO",IF(K538&lt;=5,"OPORTUNO","MUITO BOM")))</f>
        <v>ATENÇÃO</v>
      </c>
      <c r="M538" s="3">
        <v>28</v>
      </c>
      <c r="N538" s="3">
        <v>99.21</v>
      </c>
      <c r="O538" s="3">
        <v>25.188916876574311</v>
      </c>
    </row>
    <row r="539" spans="1:15" hidden="1" x14ac:dyDescent="0.25">
      <c r="A539" s="11">
        <v>46142</v>
      </c>
      <c r="B539" t="s">
        <v>46</v>
      </c>
      <c r="C539" t="s">
        <v>32</v>
      </c>
      <c r="D539" s="3">
        <v>10</v>
      </c>
      <c r="E539" s="3">
        <v>10</v>
      </c>
      <c r="F539" s="3">
        <v>20.23</v>
      </c>
      <c r="G539" s="3">
        <v>0</v>
      </c>
      <c r="H539" s="3">
        <v>0</v>
      </c>
      <c r="I539" s="3">
        <f t="shared" si="77"/>
        <v>10</v>
      </c>
      <c r="J539" s="3">
        <f t="shared" si="78"/>
        <v>32</v>
      </c>
      <c r="K539" s="3">
        <f t="shared" si="79"/>
        <v>-22</v>
      </c>
      <c r="L539" s="3" t="str">
        <f>IF(K539&lt;-5,"CRÍTICO",IF(K539&lt;0,"ATENÇÃO",IF(K539&lt;=5,"OPORTUNO","MUITO BOM")))</f>
        <v>CRÍTICO</v>
      </c>
      <c r="M539" s="3">
        <v>10</v>
      </c>
      <c r="N539" s="3">
        <v>99.21</v>
      </c>
      <c r="O539" s="3">
        <v>25.188916876574311</v>
      </c>
    </row>
    <row r="540" spans="1:15" hidden="1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77"/>
        <v>29</v>
      </c>
      <c r="J540" s="3">
        <f t="shared" si="78"/>
        <v>35</v>
      </c>
      <c r="K540" s="3">
        <f t="shared" si="79"/>
        <v>-6</v>
      </c>
      <c r="L540" s="3" t="str">
        <f>IF(K540&lt;-5,"CRÍTICO",IF(K540&lt;0,"ATENÇÃO",IF(K540&lt;=5,"BOM","EXCELENTE")))</f>
        <v>CRÍTICO</v>
      </c>
      <c r="M540" s="3">
        <v>26</v>
      </c>
      <c r="N540" s="3">
        <v>97</v>
      </c>
      <c r="O540" s="3">
        <v>20.325203252032519</v>
      </c>
    </row>
    <row r="541" spans="1:15" hidden="1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77"/>
        <v>32</v>
      </c>
      <c r="J541" s="3">
        <f t="shared" si="78"/>
        <v>35</v>
      </c>
      <c r="K541" s="3">
        <f t="shared" si="79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hidden="1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3">
        <v>18.47</v>
      </c>
      <c r="G542" s="3">
        <v>8</v>
      </c>
      <c r="H542" s="3">
        <v>0</v>
      </c>
      <c r="I542" s="3">
        <f t="shared" si="77"/>
        <v>28</v>
      </c>
      <c r="J542" s="3">
        <f t="shared" si="78"/>
        <v>35</v>
      </c>
      <c r="K542" s="3">
        <f t="shared" si="79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hidden="1" x14ac:dyDescent="0.25">
      <c r="A543" s="11">
        <v>46168</v>
      </c>
      <c r="B543" t="s">
        <v>46</v>
      </c>
      <c r="C543" t="s">
        <v>32</v>
      </c>
      <c r="D543" s="3">
        <v>24</v>
      </c>
      <c r="E543" s="3">
        <v>22</v>
      </c>
      <c r="F543" s="3">
        <v>15.22</v>
      </c>
      <c r="G543" s="3">
        <v>0</v>
      </c>
      <c r="M543" s="3">
        <v>17</v>
      </c>
      <c r="N543" s="3">
        <v>97</v>
      </c>
      <c r="O543" s="3">
        <v>21.95121951219512</v>
      </c>
    </row>
    <row r="544" spans="1:15" x14ac:dyDescent="0.25">
      <c r="A544" s="11">
        <v>46140</v>
      </c>
      <c r="B544" t="s">
        <v>47</v>
      </c>
      <c r="C544" t="s">
        <v>48</v>
      </c>
      <c r="D544" s="3">
        <v>53</v>
      </c>
      <c r="E544" s="3">
        <v>46</v>
      </c>
      <c r="F544" s="3">
        <v>10.58</v>
      </c>
      <c r="G544" s="3">
        <v>0</v>
      </c>
      <c r="H544" s="3">
        <v>0</v>
      </c>
      <c r="I544" s="3">
        <f t="shared" ref="I544:I551" si="80">E544+G544+H544</f>
        <v>46</v>
      </c>
      <c r="J544" s="3">
        <f t="shared" ref="J544:J551" si="81"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27</v>
      </c>
      <c r="K544" s="3">
        <f t="shared" ref="K544:K551" si="82">I544-J544</f>
        <v>19</v>
      </c>
      <c r="L544" s="3" t="str">
        <f>IF(K544&lt;-5,"CRÍTICO",IF(K544&lt;0,"ATENÇÃO",IF(K544&lt;=5,"OPORTUNO","MUITO BOM")))</f>
        <v>MUITO BOM</v>
      </c>
      <c r="M544" s="3">
        <v>43</v>
      </c>
      <c r="N544" s="3">
        <v>100</v>
      </c>
      <c r="O544" s="3">
        <v>32.764505119453922</v>
      </c>
    </row>
    <row r="545" spans="1:16" x14ac:dyDescent="0.25">
      <c r="A545" s="11">
        <v>46141</v>
      </c>
      <c r="B545" t="s">
        <v>47</v>
      </c>
      <c r="C545" t="s">
        <v>48</v>
      </c>
      <c r="D545" s="3">
        <v>43</v>
      </c>
      <c r="E545" s="3">
        <v>35</v>
      </c>
      <c r="F545" s="3">
        <v>10.15</v>
      </c>
      <c r="G545" s="3">
        <v>0</v>
      </c>
      <c r="H545" s="3">
        <v>0</v>
      </c>
      <c r="I545" s="3">
        <f t="shared" si="80"/>
        <v>35</v>
      </c>
      <c r="J545" s="3">
        <f t="shared" si="81"/>
        <v>28</v>
      </c>
      <c r="K545" s="3">
        <f t="shared" si="82"/>
        <v>7</v>
      </c>
      <c r="L545" s="3" t="str">
        <f>IF(K545&lt;-5,"CRÍTICO",IF(K545&lt;0,"ATENÇÃO",IF(K545&lt;=5,"OPORTUNO","MUITO BOM")))</f>
        <v>MUITO BOM</v>
      </c>
      <c r="M545" s="3">
        <v>28</v>
      </c>
      <c r="N545" s="3">
        <v>100</v>
      </c>
      <c r="O545" s="3">
        <v>32.764505119453922</v>
      </c>
    </row>
    <row r="546" spans="1:16" x14ac:dyDescent="0.25">
      <c r="A546" s="11">
        <v>46142</v>
      </c>
      <c r="B546" t="s">
        <v>47</v>
      </c>
      <c r="C546" t="s">
        <v>48</v>
      </c>
      <c r="D546" s="3">
        <v>12</v>
      </c>
      <c r="E546" s="3">
        <v>10</v>
      </c>
      <c r="F546" s="3">
        <v>9.1199999999999992</v>
      </c>
      <c r="G546" s="3">
        <v>0</v>
      </c>
      <c r="H546" s="3">
        <v>0</v>
      </c>
      <c r="I546" s="3">
        <f t="shared" si="80"/>
        <v>10</v>
      </c>
      <c r="J546" s="3">
        <f t="shared" si="81"/>
        <v>26</v>
      </c>
      <c r="K546" s="3">
        <f t="shared" si="82"/>
        <v>-16</v>
      </c>
      <c r="L546" s="3" t="str">
        <f>IF(K546&lt;-5,"CRÍTICO",IF(K546&lt;0,"ATENÇÃO",IF(K546&lt;=5,"OPORTUNO","MUITO BOM")))</f>
        <v>CRÍTICO</v>
      </c>
      <c r="M546" s="3">
        <v>8</v>
      </c>
      <c r="N546" s="3">
        <v>100</v>
      </c>
      <c r="O546" s="3">
        <v>32.764505119453922</v>
      </c>
    </row>
    <row r="547" spans="1:16" x14ac:dyDescent="0.25">
      <c r="A547" s="5">
        <v>46146</v>
      </c>
      <c r="B547" s="6" t="s">
        <v>47</v>
      </c>
      <c r="C547" s="3" t="s">
        <v>48</v>
      </c>
      <c r="D547" s="3">
        <v>40</v>
      </c>
      <c r="E547" s="3">
        <v>38</v>
      </c>
      <c r="F547" s="3">
        <v>13.5</v>
      </c>
      <c r="G547" s="3">
        <v>4</v>
      </c>
      <c r="H547" s="3">
        <v>0</v>
      </c>
      <c r="I547" s="3">
        <f t="shared" si="80"/>
        <v>42</v>
      </c>
      <c r="J547" s="3">
        <f t="shared" si="81"/>
        <v>28</v>
      </c>
      <c r="K547" s="3">
        <f t="shared" si="82"/>
        <v>14</v>
      </c>
      <c r="L547" s="3" t="str">
        <f>IF(K547&lt;-5,"CRÍTICO",IF(K547&lt;0,"ATENÇÃO",IF(K547&lt;=5,"BOM","EXCELENTE")))</f>
        <v>EXCELENTE</v>
      </c>
      <c r="M547" s="3">
        <v>36</v>
      </c>
      <c r="N547" s="3">
        <v>99.18</v>
      </c>
      <c r="O547" s="3">
        <v>24.501424501424498</v>
      </c>
    </row>
    <row r="548" spans="1:16" hidden="1" x14ac:dyDescent="0.25">
      <c r="A548" s="11">
        <v>46048</v>
      </c>
      <c r="B548" t="s">
        <v>22</v>
      </c>
      <c r="C548" t="s">
        <v>23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si="80"/>
        <v>17</v>
      </c>
      <c r="J548" s="3">
        <f t="shared" si="81"/>
        <v>15</v>
      </c>
      <c r="K548" s="3">
        <f t="shared" si="82"/>
        <v>2</v>
      </c>
      <c r="L548" s="3" t="str">
        <f>IF(K548&lt;-5,"CRÍTICO",IF(K548&lt;0,"ATENÇÃO",IF(K548&lt;=5,"BOM","EXCELENTE")))</f>
        <v>BOM</v>
      </c>
      <c r="M548">
        <v>17</v>
      </c>
      <c r="N548">
        <v>98.91</v>
      </c>
      <c r="O548">
        <v>31.367292225201069</v>
      </c>
      <c r="P548"/>
    </row>
    <row r="549" spans="1:16" hidden="1" x14ac:dyDescent="0.25">
      <c r="A549" s="11">
        <v>46049</v>
      </c>
      <c r="B549" t="s">
        <v>22</v>
      </c>
      <c r="C549" t="s">
        <v>23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80"/>
        <v>20</v>
      </c>
      <c r="J549" s="3">
        <f t="shared" si="81"/>
        <v>17</v>
      </c>
      <c r="K549" s="3">
        <f t="shared" si="82"/>
        <v>3</v>
      </c>
      <c r="L549" s="3" t="str">
        <f>IF(K549&lt;-5,"CRÍTICO",IF(K549&lt;0,"ATENÇÃO",IF(K549&lt;=5,"BOM","EXCELENTE")))</f>
        <v>BOM</v>
      </c>
      <c r="M549">
        <v>20</v>
      </c>
      <c r="N549">
        <v>98.91</v>
      </c>
      <c r="O549">
        <v>31.367292225201069</v>
      </c>
      <c r="P549"/>
    </row>
    <row r="550" spans="1:16" x14ac:dyDescent="0.25">
      <c r="A550" s="5">
        <v>46147</v>
      </c>
      <c r="B550" s="6" t="s">
        <v>47</v>
      </c>
      <c r="C550" s="3" t="s">
        <v>48</v>
      </c>
      <c r="D550" s="3">
        <v>42</v>
      </c>
      <c r="E550" s="3">
        <v>37</v>
      </c>
      <c r="F550" s="3">
        <v>12.29</v>
      </c>
      <c r="G550" s="3">
        <v>4</v>
      </c>
      <c r="H550" s="3">
        <v>0</v>
      </c>
      <c r="I550" s="3">
        <f t="shared" si="80"/>
        <v>41</v>
      </c>
      <c r="J550" s="3">
        <f t="shared" si="81"/>
        <v>28</v>
      </c>
      <c r="K550" s="3">
        <f t="shared" si="82"/>
        <v>13</v>
      </c>
      <c r="L550" s="3" t="str">
        <f>IF(K550&lt;-5,"CRÍTICO",IF(K550&lt;0,"ATENÇÃO",IF(K550&lt;=5,"BOM","EXCELENTE")))</f>
        <v>EXCELENTE</v>
      </c>
      <c r="M550" s="3">
        <v>32</v>
      </c>
      <c r="N550" s="3">
        <v>99.18</v>
      </c>
      <c r="O550" s="3">
        <v>24.501424501424498</v>
      </c>
    </row>
    <row r="551" spans="1:16" x14ac:dyDescent="0.25">
      <c r="A551" s="5">
        <v>46148</v>
      </c>
      <c r="B551" s="6" t="s">
        <v>47</v>
      </c>
      <c r="C551" s="3" t="s">
        <v>48</v>
      </c>
      <c r="D551" s="3">
        <v>35</v>
      </c>
      <c r="E551" s="3">
        <v>29</v>
      </c>
      <c r="F551" s="3">
        <v>12.32</v>
      </c>
      <c r="G551" s="3">
        <v>11</v>
      </c>
      <c r="H551" s="3">
        <v>0</v>
      </c>
      <c r="I551" s="3">
        <f t="shared" si="80"/>
        <v>40</v>
      </c>
      <c r="J551" s="3">
        <f t="shared" si="81"/>
        <v>28</v>
      </c>
      <c r="K551" s="3">
        <f t="shared" si="82"/>
        <v>12</v>
      </c>
      <c r="L551" s="3" t="str">
        <f>IF(K551&lt;-5,"CRÍTICO",IF(K551&lt;0,"ATENÇÃO",IF(K551&lt;=5,"BOM","EXCELENTE")))</f>
        <v>EXCELENTE</v>
      </c>
      <c r="M551" s="3">
        <v>32</v>
      </c>
      <c r="N551" s="3">
        <v>99.18</v>
      </c>
      <c r="O551" s="3">
        <v>24.501424501424498</v>
      </c>
    </row>
    <row r="552" spans="1:16" x14ac:dyDescent="0.25">
      <c r="A552" s="11">
        <v>46168</v>
      </c>
      <c r="B552" t="s">
        <v>47</v>
      </c>
      <c r="C552" t="s">
        <v>48</v>
      </c>
      <c r="D552" s="3">
        <v>28</v>
      </c>
      <c r="E552" s="3">
        <v>21</v>
      </c>
      <c r="F552" s="3">
        <v>15.57</v>
      </c>
      <c r="G552" s="3">
        <v>2</v>
      </c>
      <c r="M552" s="3">
        <v>17</v>
      </c>
      <c r="N552" s="3">
        <v>99.18</v>
      </c>
      <c r="O552" s="3">
        <v>25.641025641025639</v>
      </c>
    </row>
    <row r="553" spans="1:16" hidden="1" x14ac:dyDescent="0.25">
      <c r="A553" s="11">
        <v>46140</v>
      </c>
      <c r="B553" t="s">
        <v>49</v>
      </c>
      <c r="C553" t="s">
        <v>48</v>
      </c>
      <c r="D553" s="3">
        <v>34</v>
      </c>
      <c r="E553" s="3">
        <v>34</v>
      </c>
      <c r="F553" s="3">
        <v>13.45</v>
      </c>
      <c r="G553" s="3">
        <v>0</v>
      </c>
      <c r="H553" s="3">
        <v>0</v>
      </c>
      <c r="I553" s="3">
        <f t="shared" ref="I553:I558" si="83">E553+G553+H553</f>
        <v>34</v>
      </c>
      <c r="J553" s="3">
        <f t="shared" ref="J553:J558" si="84"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27</v>
      </c>
      <c r="K553" s="3">
        <f t="shared" ref="K553:K558" si="85">I553-J553</f>
        <v>7</v>
      </c>
      <c r="L553" s="3" t="str">
        <f>IF(K553&lt;-5,"CRÍTICO",IF(K553&lt;0,"ATENÇÃO",IF(K553&lt;=5,"OPORTUNO","MUITO BOM")))</f>
        <v>MUITO BOM</v>
      </c>
      <c r="M553" s="3">
        <v>31</v>
      </c>
      <c r="N553" s="3">
        <v>98.82</v>
      </c>
      <c r="O553" s="3">
        <v>30.741410488245929</v>
      </c>
    </row>
    <row r="554" spans="1:16" hidden="1" x14ac:dyDescent="0.25">
      <c r="A554" s="11">
        <v>46141</v>
      </c>
      <c r="B554" t="s">
        <v>49</v>
      </c>
      <c r="C554" t="s">
        <v>48</v>
      </c>
      <c r="D554" s="3">
        <v>38</v>
      </c>
      <c r="E554" s="3">
        <v>31</v>
      </c>
      <c r="F554" s="3">
        <v>11.5</v>
      </c>
      <c r="G554" s="3">
        <v>0</v>
      </c>
      <c r="H554" s="3">
        <v>0</v>
      </c>
      <c r="I554" s="3">
        <f t="shared" si="83"/>
        <v>31</v>
      </c>
      <c r="J554" s="3">
        <f t="shared" si="84"/>
        <v>28</v>
      </c>
      <c r="K554" s="3">
        <f t="shared" si="85"/>
        <v>3</v>
      </c>
      <c r="L554" s="3" t="str">
        <f>IF(K554&lt;-5,"CRÍTICO",IF(K554&lt;0,"ATENÇÃO",IF(K554&lt;=5,"OPORTUNO","MUITO BOM")))</f>
        <v>OPORTUNO</v>
      </c>
      <c r="M554" s="3">
        <v>39</v>
      </c>
      <c r="N554" s="3">
        <v>98.82</v>
      </c>
      <c r="O554" s="3">
        <v>30.741410488245929</v>
      </c>
    </row>
    <row r="555" spans="1:16" hidden="1" x14ac:dyDescent="0.25">
      <c r="A555" s="11">
        <v>46142</v>
      </c>
      <c r="B555" t="s">
        <v>49</v>
      </c>
      <c r="C555" t="s">
        <v>48</v>
      </c>
      <c r="D555" s="3">
        <v>32</v>
      </c>
      <c r="E555" s="3">
        <v>31</v>
      </c>
      <c r="F555" s="3">
        <v>13.5</v>
      </c>
      <c r="G555" s="3">
        <v>0</v>
      </c>
      <c r="H555" s="3">
        <v>0</v>
      </c>
      <c r="I555" s="3">
        <f t="shared" si="83"/>
        <v>31</v>
      </c>
      <c r="J555" s="3">
        <f t="shared" si="84"/>
        <v>26</v>
      </c>
      <c r="K555" s="3">
        <f t="shared" si="85"/>
        <v>5</v>
      </c>
      <c r="L555" s="3" t="str">
        <f>IF(K555&lt;-5,"CRÍTICO",IF(K555&lt;0,"ATENÇÃO",IF(K555&lt;=5,"OPORTUNO","MUITO BOM")))</f>
        <v>OPORTUNO</v>
      </c>
      <c r="M555" s="3">
        <v>29</v>
      </c>
      <c r="N555" s="3">
        <v>98.82</v>
      </c>
      <c r="O555" s="3">
        <v>30.741410488245929</v>
      </c>
    </row>
    <row r="556" spans="1:16" hidden="1" x14ac:dyDescent="0.25">
      <c r="A556" s="5">
        <v>46146</v>
      </c>
      <c r="B556" s="6" t="s">
        <v>49</v>
      </c>
      <c r="C556" s="3" t="s">
        <v>48</v>
      </c>
      <c r="D556" s="3">
        <v>41</v>
      </c>
      <c r="E556" s="3">
        <v>38</v>
      </c>
      <c r="F556" s="3">
        <v>11.44</v>
      </c>
      <c r="G556" s="3">
        <v>5</v>
      </c>
      <c r="H556" s="3">
        <v>0</v>
      </c>
      <c r="I556" s="3">
        <f t="shared" si="83"/>
        <v>43</v>
      </c>
      <c r="J556" s="3">
        <f t="shared" si="84"/>
        <v>28</v>
      </c>
      <c r="K556" s="3">
        <f t="shared" si="85"/>
        <v>15</v>
      </c>
      <c r="L556" s="3" t="str">
        <f>IF(K556&lt;-5,"CRÍTICO",IF(K556&lt;0,"ATENÇÃO",IF(K556&lt;=5,"BOM","EXCELENTE")))</f>
        <v>EXCELENTE</v>
      </c>
      <c r="M556" s="3">
        <v>43</v>
      </c>
      <c r="N556" s="3">
        <v>99.35</v>
      </c>
      <c r="O556" s="3">
        <v>19.852941176470591</v>
      </c>
    </row>
    <row r="557" spans="1:16" hidden="1" x14ac:dyDescent="0.25">
      <c r="A557" s="5">
        <v>46147</v>
      </c>
      <c r="B557" s="6" t="s">
        <v>49</v>
      </c>
      <c r="C557" s="3" t="s">
        <v>48</v>
      </c>
      <c r="D557" s="3">
        <v>45</v>
      </c>
      <c r="E557" s="3">
        <v>37</v>
      </c>
      <c r="F557" s="3">
        <v>13.52</v>
      </c>
      <c r="G557" s="3">
        <v>6</v>
      </c>
      <c r="H557" s="3">
        <v>0</v>
      </c>
      <c r="I557" s="3">
        <f t="shared" si="83"/>
        <v>43</v>
      </c>
      <c r="J557" s="3">
        <f t="shared" si="84"/>
        <v>28</v>
      </c>
      <c r="K557" s="3">
        <f t="shared" si="85"/>
        <v>15</v>
      </c>
      <c r="L557" s="3" t="str">
        <f>IF(K557&lt;-5,"CRÍTICO",IF(K557&lt;0,"ATENÇÃO",IF(K557&lt;=5,"BOM","EXCELENTE")))</f>
        <v>EXCELENTE</v>
      </c>
      <c r="M557" s="3">
        <v>43</v>
      </c>
      <c r="N557" s="3">
        <v>99.35</v>
      </c>
      <c r="O557" s="3">
        <v>19.852941176470591</v>
      </c>
    </row>
    <row r="558" spans="1:16" hidden="1" x14ac:dyDescent="0.25">
      <c r="A558" s="5">
        <v>46148</v>
      </c>
      <c r="B558" s="6" t="s">
        <v>49</v>
      </c>
      <c r="C558" s="3" t="s">
        <v>48</v>
      </c>
      <c r="D558" s="3">
        <v>31</v>
      </c>
      <c r="E558" s="3">
        <v>28</v>
      </c>
      <c r="F558" s="3">
        <v>18.45</v>
      </c>
      <c r="G558" s="3">
        <v>9</v>
      </c>
      <c r="H558" s="3">
        <v>0</v>
      </c>
      <c r="I558" s="3">
        <f t="shared" si="83"/>
        <v>37</v>
      </c>
      <c r="J558" s="3">
        <f t="shared" si="84"/>
        <v>28</v>
      </c>
      <c r="K558" s="3">
        <f t="shared" si="85"/>
        <v>9</v>
      </c>
      <c r="L558" s="3" t="str">
        <f>IF(K558&lt;-5,"CRÍTICO",IF(K558&lt;0,"ATENÇÃO",IF(K558&lt;=5,"BOM","EXCELENTE")))</f>
        <v>EXCELENTE</v>
      </c>
      <c r="M558" s="3">
        <v>35</v>
      </c>
      <c r="N558" s="3">
        <v>99.35</v>
      </c>
      <c r="O558" s="3">
        <v>19.852941176470591</v>
      </c>
    </row>
    <row r="559" spans="1:16" hidden="1" x14ac:dyDescent="0.25">
      <c r="A559" s="11">
        <v>46168</v>
      </c>
      <c r="B559" t="s">
        <v>49</v>
      </c>
      <c r="C559" t="s">
        <v>48</v>
      </c>
      <c r="D559" s="3">
        <v>27</v>
      </c>
      <c r="E559" s="3">
        <v>22</v>
      </c>
      <c r="F559" s="3">
        <v>14.06</v>
      </c>
      <c r="G559" s="3">
        <v>4</v>
      </c>
      <c r="M559" s="3">
        <v>25</v>
      </c>
      <c r="N559" s="3">
        <v>99.35</v>
      </c>
      <c r="O559" s="3">
        <v>21.139705882352938</v>
      </c>
    </row>
    <row r="560" spans="1:16" hidden="1" x14ac:dyDescent="0.25">
      <c r="A560" s="11">
        <v>46140</v>
      </c>
      <c r="B560" t="s">
        <v>50</v>
      </c>
      <c r="C560" t="s">
        <v>48</v>
      </c>
      <c r="D560" s="3">
        <v>24</v>
      </c>
      <c r="E560" s="3">
        <v>23</v>
      </c>
      <c r="F560" s="3">
        <v>25.57</v>
      </c>
      <c r="G560" s="3">
        <v>0</v>
      </c>
      <c r="H560" s="3">
        <v>0</v>
      </c>
      <c r="I560" s="3">
        <f t="shared" ref="I560:I565" si="86">E560+G560+H560</f>
        <v>23</v>
      </c>
      <c r="J560" s="3">
        <f t="shared" ref="J560:J565" si="87"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27</v>
      </c>
      <c r="K560" s="3">
        <f t="shared" ref="K560:K565" si="88">I560-J560</f>
        <v>-4</v>
      </c>
      <c r="L560" s="3" t="str">
        <f>IF(K560&lt;-5,"CRÍTICO",IF(K560&lt;0,"ATENÇÃO",IF(K560&lt;=5,"OPORTUNO","MUITO BOM")))</f>
        <v>ATENÇÃO</v>
      </c>
      <c r="M560" s="3">
        <v>23</v>
      </c>
      <c r="N560" s="3">
        <v>98.2</v>
      </c>
      <c r="O560" s="3">
        <v>27.170868347338931</v>
      </c>
    </row>
    <row r="561" spans="1:15" hidden="1" x14ac:dyDescent="0.25">
      <c r="A561" s="11">
        <v>46141</v>
      </c>
      <c r="B561" t="s">
        <v>50</v>
      </c>
      <c r="C561" t="s">
        <v>48</v>
      </c>
      <c r="D561" s="3">
        <v>24</v>
      </c>
      <c r="E561" s="3">
        <v>23</v>
      </c>
      <c r="F561" s="3">
        <v>25.46</v>
      </c>
      <c r="G561" s="3">
        <v>0</v>
      </c>
      <c r="H561" s="3">
        <v>0</v>
      </c>
      <c r="I561" s="3">
        <f t="shared" si="86"/>
        <v>23</v>
      </c>
      <c r="J561" s="3">
        <f t="shared" si="87"/>
        <v>28</v>
      </c>
      <c r="K561" s="3">
        <f t="shared" si="88"/>
        <v>-5</v>
      </c>
      <c r="L561" s="3" t="str">
        <f>IF(K561&lt;-5,"CRÍTICO",IF(K561&lt;0,"ATENÇÃO",IF(K561&lt;=5,"OPORTUNO","MUITO BOM")))</f>
        <v>ATENÇÃO</v>
      </c>
      <c r="M561" s="3">
        <v>24</v>
      </c>
      <c r="N561" s="3">
        <v>98.2</v>
      </c>
      <c r="O561" s="3">
        <v>27.170868347338931</v>
      </c>
    </row>
    <row r="562" spans="1:15" hidden="1" x14ac:dyDescent="0.25">
      <c r="A562" s="11">
        <v>46142</v>
      </c>
      <c r="B562" t="s">
        <v>50</v>
      </c>
      <c r="C562" t="s">
        <v>48</v>
      </c>
      <c r="D562" s="3">
        <v>32</v>
      </c>
      <c r="E562" s="3">
        <v>30</v>
      </c>
      <c r="F562" s="3">
        <v>15.09</v>
      </c>
      <c r="G562" s="3">
        <v>0</v>
      </c>
      <c r="H562" s="3">
        <v>0</v>
      </c>
      <c r="I562" s="3">
        <f t="shared" si="86"/>
        <v>30</v>
      </c>
      <c r="J562" s="3">
        <f t="shared" si="87"/>
        <v>26</v>
      </c>
      <c r="K562" s="3">
        <f t="shared" si="88"/>
        <v>4</v>
      </c>
      <c r="L562" s="3" t="str">
        <f>IF(K562&lt;-5,"CRÍTICO",IF(K562&lt;0,"ATENÇÃO",IF(K562&lt;=5,"OPORTUNO","MUITO BOM")))</f>
        <v>OPORTUNO</v>
      </c>
      <c r="M562" s="3">
        <v>30</v>
      </c>
      <c r="N562" s="3">
        <v>98.2</v>
      </c>
      <c r="O562" s="3">
        <v>27.170868347338931</v>
      </c>
    </row>
    <row r="563" spans="1:15" hidden="1" x14ac:dyDescent="0.25">
      <c r="A563" s="5">
        <v>46146</v>
      </c>
      <c r="B563" s="6" t="s">
        <v>50</v>
      </c>
      <c r="C563" s="9" t="s">
        <v>48</v>
      </c>
      <c r="D563" s="3">
        <v>31</v>
      </c>
      <c r="E563" s="3">
        <v>29</v>
      </c>
      <c r="F563" s="3">
        <v>20.3</v>
      </c>
      <c r="G563" s="3">
        <v>0</v>
      </c>
      <c r="H563" s="3">
        <v>0</v>
      </c>
      <c r="I563" s="3">
        <f t="shared" si="86"/>
        <v>29</v>
      </c>
      <c r="J563" s="3">
        <f t="shared" si="87"/>
        <v>28</v>
      </c>
      <c r="K563" s="3">
        <f t="shared" si="88"/>
        <v>1</v>
      </c>
      <c r="L563" s="3" t="str">
        <f>IF(K563&lt;-5,"CRÍTICO",IF(K563&lt;0,"ATENÇÃO",IF(K563&lt;=5,"BOM","EXCELENTE")))</f>
        <v>BOM</v>
      </c>
      <c r="M563" s="3">
        <v>28</v>
      </c>
      <c r="N563" s="3">
        <v>99.07</v>
      </c>
      <c r="O563" s="3">
        <v>20.098039215686271</v>
      </c>
    </row>
    <row r="564" spans="1:15" hidden="1" x14ac:dyDescent="0.25">
      <c r="A564" s="5">
        <v>46147</v>
      </c>
      <c r="B564" s="6" t="s">
        <v>50</v>
      </c>
      <c r="C564" s="9" t="s">
        <v>48</v>
      </c>
      <c r="D564" s="3">
        <v>19</v>
      </c>
      <c r="E564" s="3">
        <v>18</v>
      </c>
      <c r="F564" s="3">
        <v>26.46</v>
      </c>
      <c r="G564" s="3">
        <v>9</v>
      </c>
      <c r="H564" s="3">
        <v>0</v>
      </c>
      <c r="I564" s="3">
        <f t="shared" si="86"/>
        <v>27</v>
      </c>
      <c r="J564" s="3">
        <f t="shared" si="87"/>
        <v>28</v>
      </c>
      <c r="K564" s="3">
        <f t="shared" si="88"/>
        <v>-1</v>
      </c>
      <c r="L564" s="3" t="str">
        <f>IF(K564&lt;-5,"CRÍTICO",IF(K564&lt;0,"ATENÇÃO",IF(K564&lt;=5,"BOM","EXCELENTE")))</f>
        <v>ATENÇÃO</v>
      </c>
      <c r="M564" s="3">
        <v>27</v>
      </c>
      <c r="N564" s="3">
        <v>99.07</v>
      </c>
      <c r="O564" s="3">
        <v>20.098039215686271</v>
      </c>
    </row>
    <row r="565" spans="1:15" hidden="1" x14ac:dyDescent="0.25">
      <c r="A565" s="5">
        <v>46148</v>
      </c>
      <c r="B565" s="6" t="s">
        <v>50</v>
      </c>
      <c r="C565" s="9" t="s">
        <v>48</v>
      </c>
      <c r="D565" s="3">
        <v>34</v>
      </c>
      <c r="E565" s="3">
        <v>32</v>
      </c>
      <c r="F565" s="3">
        <v>14.16</v>
      </c>
      <c r="G565" s="3">
        <v>1</v>
      </c>
      <c r="H565" s="3">
        <v>0</v>
      </c>
      <c r="I565" s="3">
        <f t="shared" si="86"/>
        <v>33</v>
      </c>
      <c r="J565" s="3">
        <f t="shared" si="87"/>
        <v>28</v>
      </c>
      <c r="K565" s="3">
        <f t="shared" si="88"/>
        <v>5</v>
      </c>
      <c r="L565" s="3" t="str">
        <f>IF(K565&lt;-5,"CRÍTICO",IF(K565&lt;0,"ATENÇÃO",IF(K565&lt;=5,"BOM","EXCELENTE")))</f>
        <v>BOM</v>
      </c>
      <c r="M565" s="3">
        <v>31</v>
      </c>
      <c r="N565" s="3">
        <v>99.07</v>
      </c>
      <c r="O565" s="3">
        <v>20.098039215686271</v>
      </c>
    </row>
    <row r="566" spans="1:15" hidden="1" x14ac:dyDescent="0.25">
      <c r="A566" s="11">
        <v>46168</v>
      </c>
      <c r="B566" t="s">
        <v>50</v>
      </c>
      <c r="C566" t="s">
        <v>48</v>
      </c>
      <c r="D566" s="3">
        <v>28</v>
      </c>
      <c r="E566" s="3">
        <v>26</v>
      </c>
      <c r="F566" s="3">
        <v>20.21</v>
      </c>
      <c r="G566" s="3">
        <v>2</v>
      </c>
      <c r="M566" s="3">
        <v>26</v>
      </c>
      <c r="N566" s="3">
        <v>99.07</v>
      </c>
      <c r="O566" s="3">
        <v>22.113022113022112</v>
      </c>
    </row>
    <row r="567" spans="1:15" hidden="1" x14ac:dyDescent="0.25">
      <c r="A567" s="11">
        <v>46140</v>
      </c>
      <c r="B567" t="s">
        <v>51</v>
      </c>
      <c r="C567" t="s">
        <v>48</v>
      </c>
      <c r="D567" s="3">
        <v>31</v>
      </c>
      <c r="E567" s="3">
        <v>28</v>
      </c>
      <c r="F567" s="3">
        <v>17.04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 t="str">
        <f>IF(K567&lt;-5,"CRÍTICO",IF(K567&lt;0,"ATENÇÃO",IF(K567&lt;=5,"OPORTUNO","MUITO BOM")))</f>
        <v>OPORTUNO</v>
      </c>
      <c r="M567" s="3">
        <v>28</v>
      </c>
      <c r="N567" s="3">
        <v>97.86</v>
      </c>
      <c r="O567" s="3">
        <v>31.018518518518519</v>
      </c>
    </row>
    <row r="568" spans="1:15" hidden="1" x14ac:dyDescent="0.25">
      <c r="A568" s="11">
        <v>46141</v>
      </c>
      <c r="B568" t="s">
        <v>51</v>
      </c>
      <c r="C568" t="s">
        <v>48</v>
      </c>
      <c r="D568" s="3">
        <v>32</v>
      </c>
      <c r="E568" s="3">
        <v>30</v>
      </c>
      <c r="F568" s="3">
        <v>18.45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3">
        <v>24</v>
      </c>
      <c r="N568" s="3">
        <v>97.86</v>
      </c>
      <c r="O568" s="3">
        <v>31.018518518518519</v>
      </c>
    </row>
    <row r="569" spans="1:15" hidden="1" x14ac:dyDescent="0.25">
      <c r="A569" s="11">
        <v>46142</v>
      </c>
      <c r="B569" t="s">
        <v>51</v>
      </c>
      <c r="C569" t="s">
        <v>48</v>
      </c>
      <c r="D569" s="3">
        <v>27</v>
      </c>
      <c r="E569" s="3">
        <v>24</v>
      </c>
      <c r="F569" s="3">
        <v>20.149999999999999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 t="str">
        <f>IF(K569&lt;-5,"CRÍTICO",IF(K569&lt;0,"ATENÇÃO",IF(K569&lt;=5,"OPORTUNO","MUITO BOM")))</f>
        <v>OPORTUNO</v>
      </c>
      <c r="M569" s="3">
        <v>18</v>
      </c>
      <c r="N569" s="3">
        <v>97.86</v>
      </c>
      <c r="O569" s="3">
        <v>31.018518518518519</v>
      </c>
    </row>
    <row r="570" spans="1:15" hidden="1" x14ac:dyDescent="0.25">
      <c r="A570" s="5">
        <v>46146</v>
      </c>
      <c r="B570" s="6" t="s">
        <v>51</v>
      </c>
      <c r="C570" s="3" t="s">
        <v>48</v>
      </c>
      <c r="D570" s="3">
        <v>37</v>
      </c>
      <c r="E570" s="3">
        <v>30</v>
      </c>
      <c r="F570" s="3">
        <v>15.15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 t="str">
        <f>IF(K570&lt;-5,"CRÍTICO",IF(K570&lt;0,"ATENÇÃO",IF(K570&lt;=5,"BOM","EXCELENTE")))</f>
        <v>BOM</v>
      </c>
      <c r="M570" s="3">
        <v>25</v>
      </c>
      <c r="N570" s="3">
        <v>98.81</v>
      </c>
      <c r="O570" s="3">
        <v>22.767857142857139</v>
      </c>
    </row>
    <row r="571" spans="1:15" hidden="1" x14ac:dyDescent="0.25">
      <c r="A571" s="5">
        <v>46147</v>
      </c>
      <c r="B571" s="6" t="s">
        <v>51</v>
      </c>
      <c r="C571" s="3" t="s">
        <v>48</v>
      </c>
      <c r="D571" s="3">
        <v>23</v>
      </c>
      <c r="E571" s="3">
        <v>21</v>
      </c>
      <c r="F571" s="3">
        <v>19.190000000000001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26</v>
      </c>
      <c r="N571" s="3">
        <v>98.81</v>
      </c>
      <c r="O571" s="3">
        <v>22.767857142857139</v>
      </c>
    </row>
    <row r="572" spans="1:15" hidden="1" x14ac:dyDescent="0.25">
      <c r="A572" s="5">
        <v>46148</v>
      </c>
      <c r="B572" s="6" t="s">
        <v>51</v>
      </c>
      <c r="C572" s="3" t="s">
        <v>48</v>
      </c>
      <c r="D572" s="3">
        <v>40</v>
      </c>
      <c r="E572" s="3">
        <v>35</v>
      </c>
      <c r="F572" s="3">
        <v>15.25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 t="str">
        <f>IF(K572&lt;-5,"CRÍTICO",IF(K572&lt;0,"ATENÇÃO",IF(K572&lt;=5,"BOM","EXCELENTE")))</f>
        <v>BOM</v>
      </c>
      <c r="M572" s="3">
        <v>29</v>
      </c>
      <c r="N572" s="3">
        <v>98.81</v>
      </c>
      <c r="O572" s="3">
        <v>22.767857142857139</v>
      </c>
    </row>
    <row r="573" spans="1:15" hidden="1" x14ac:dyDescent="0.25">
      <c r="A573" s="11">
        <v>46168</v>
      </c>
      <c r="B573" t="s">
        <v>51</v>
      </c>
      <c r="C573" t="s">
        <v>48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M573" s="3">
        <v>0</v>
      </c>
      <c r="N573" s="3">
        <v>98.81</v>
      </c>
      <c r="O573" s="3">
        <v>25</v>
      </c>
    </row>
    <row r="574" spans="1:15" hidden="1" x14ac:dyDescent="0.25">
      <c r="A574" s="11">
        <v>46140</v>
      </c>
      <c r="B574" t="s">
        <v>52</v>
      </c>
      <c r="C574" t="s">
        <v>48</v>
      </c>
      <c r="D574" s="3">
        <v>27</v>
      </c>
      <c r="E574" s="3">
        <v>27</v>
      </c>
      <c r="F574" s="3">
        <v>18.350000000000001</v>
      </c>
      <c r="G574" s="3">
        <v>0</v>
      </c>
      <c r="H574" s="3">
        <v>0</v>
      </c>
      <c r="I574" s="3">
        <f t="shared" ref="I574:I581" si="89">E574+G574+H574</f>
        <v>27</v>
      </c>
      <c r="J574" s="3">
        <f t="shared" ref="J574:J581" si="90"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27</v>
      </c>
      <c r="K574" s="3">
        <f t="shared" ref="K574:K581" si="91">I574-J574</f>
        <v>0</v>
      </c>
      <c r="L574" s="3" t="str">
        <f>IF(K574&lt;-5,"CRÍTICO",IF(K574&lt;0,"ATENÇÃO",IF(K574&lt;=5,"OPORTUNO","MUITO BOM")))</f>
        <v>OPORTUNO</v>
      </c>
      <c r="M574" s="3">
        <v>26</v>
      </c>
      <c r="N574" s="3">
        <v>97.83</v>
      </c>
      <c r="O574" s="3">
        <v>28.35164835164835</v>
      </c>
    </row>
    <row r="575" spans="1:15" hidden="1" x14ac:dyDescent="0.25">
      <c r="A575" s="11">
        <v>46141</v>
      </c>
      <c r="B575" t="s">
        <v>52</v>
      </c>
      <c r="C575" t="s">
        <v>48</v>
      </c>
      <c r="D575" s="3">
        <v>31</v>
      </c>
      <c r="E575" s="3">
        <v>28</v>
      </c>
      <c r="F575" s="3">
        <v>18.260000000000002</v>
      </c>
      <c r="G575" s="3">
        <v>0</v>
      </c>
      <c r="H575" s="3">
        <v>0</v>
      </c>
      <c r="I575" s="3">
        <f t="shared" si="89"/>
        <v>28</v>
      </c>
      <c r="J575" s="3">
        <f t="shared" si="90"/>
        <v>28</v>
      </c>
      <c r="K575" s="3">
        <f t="shared" si="91"/>
        <v>0</v>
      </c>
      <c r="L575" s="3" t="str">
        <f>IF(K575&lt;-5,"CRÍTICO",IF(K575&lt;0,"ATENÇÃO",IF(K575&lt;=5,"OPORTUNO","MUITO BOM")))</f>
        <v>OPORTUNO</v>
      </c>
      <c r="M575" s="3">
        <v>23</v>
      </c>
      <c r="N575" s="3">
        <v>97.83</v>
      </c>
      <c r="O575" s="3">
        <v>28.35164835164835</v>
      </c>
    </row>
    <row r="576" spans="1:15" hidden="1" x14ac:dyDescent="0.25">
      <c r="A576" s="11">
        <v>46142</v>
      </c>
      <c r="B576" t="s">
        <v>52</v>
      </c>
      <c r="C576" t="s">
        <v>48</v>
      </c>
      <c r="D576" s="3">
        <v>38</v>
      </c>
      <c r="E576" s="3">
        <v>38</v>
      </c>
      <c r="F576" s="3">
        <v>15.02</v>
      </c>
      <c r="G576" s="3">
        <v>0</v>
      </c>
      <c r="H576" s="3">
        <v>0</v>
      </c>
      <c r="I576" s="3">
        <f t="shared" si="89"/>
        <v>38</v>
      </c>
      <c r="J576" s="3">
        <f t="shared" si="90"/>
        <v>26</v>
      </c>
      <c r="K576" s="3">
        <f t="shared" si="91"/>
        <v>12</v>
      </c>
      <c r="L576" s="3" t="str">
        <f>IF(K576&lt;-5,"CRÍTICO",IF(K576&lt;0,"ATENÇÃO",IF(K576&lt;=5,"OPORTUNO","MUITO BOM")))</f>
        <v>MUITO BOM</v>
      </c>
      <c r="M576" s="3">
        <v>35</v>
      </c>
      <c r="N576" s="3">
        <v>97.83</v>
      </c>
      <c r="O576" s="3">
        <v>28.35164835164835</v>
      </c>
    </row>
    <row r="577" spans="1:15" hidden="1" x14ac:dyDescent="0.25">
      <c r="A577" s="5">
        <v>46146</v>
      </c>
      <c r="B577" s="6" t="s">
        <v>52</v>
      </c>
      <c r="C577" s="3" t="s">
        <v>48</v>
      </c>
      <c r="D577" s="3">
        <v>31</v>
      </c>
      <c r="E577" s="3">
        <v>28</v>
      </c>
      <c r="F577" s="3">
        <v>15.09</v>
      </c>
      <c r="G577" s="3">
        <v>7</v>
      </c>
      <c r="H577" s="3">
        <v>0</v>
      </c>
      <c r="I577" s="3">
        <f t="shared" si="89"/>
        <v>35</v>
      </c>
      <c r="J577" s="3">
        <f t="shared" si="90"/>
        <v>28</v>
      </c>
      <c r="K577" s="3">
        <f t="shared" si="91"/>
        <v>7</v>
      </c>
      <c r="L577" s="3" t="str">
        <f t="shared" ref="L577:L608" si="92">IF(K577&lt;-5,"CRÍTICO",IF(K577&lt;0,"ATENÇÃO",IF(K577&lt;=5,"BOM","EXCELENTE")))</f>
        <v>EXCELENTE</v>
      </c>
      <c r="M577" s="3">
        <v>29</v>
      </c>
      <c r="N577" s="3">
        <v>99.01</v>
      </c>
      <c r="O577" s="3">
        <v>17.766497461928939</v>
      </c>
    </row>
    <row r="578" spans="1:15" hidden="1" x14ac:dyDescent="0.25">
      <c r="A578" s="5">
        <v>46147</v>
      </c>
      <c r="B578" s="6" t="s">
        <v>52</v>
      </c>
      <c r="C578" s="3" t="s">
        <v>48</v>
      </c>
      <c r="D578" s="3">
        <v>34</v>
      </c>
      <c r="E578" s="3">
        <v>31</v>
      </c>
      <c r="F578" s="3">
        <v>14.15</v>
      </c>
      <c r="G578" s="3">
        <v>3</v>
      </c>
      <c r="H578" s="3">
        <v>0</v>
      </c>
      <c r="I578" s="3">
        <f t="shared" si="89"/>
        <v>34</v>
      </c>
      <c r="J578" s="3">
        <f t="shared" si="90"/>
        <v>28</v>
      </c>
      <c r="K578" s="3">
        <f t="shared" si="91"/>
        <v>6</v>
      </c>
      <c r="L578" s="3" t="str">
        <f t="shared" si="92"/>
        <v>EXCELENTE</v>
      </c>
      <c r="M578" s="3">
        <v>31</v>
      </c>
      <c r="N578" s="3">
        <v>99.01</v>
      </c>
      <c r="O578" s="3">
        <v>17.766497461928939</v>
      </c>
    </row>
    <row r="579" spans="1:15" x14ac:dyDescent="0.25">
      <c r="A579" s="5">
        <v>46149</v>
      </c>
      <c r="B579" s="6" t="s">
        <v>47</v>
      </c>
      <c r="C579" s="3" t="s">
        <v>48</v>
      </c>
      <c r="D579" s="3">
        <v>39</v>
      </c>
      <c r="E579" s="3">
        <v>34</v>
      </c>
      <c r="F579" s="3">
        <v>8.33</v>
      </c>
      <c r="G579" s="3">
        <v>0</v>
      </c>
      <c r="H579" s="3">
        <v>0</v>
      </c>
      <c r="I579" s="3">
        <f t="shared" si="89"/>
        <v>34</v>
      </c>
      <c r="J579" s="3">
        <f t="shared" si="90"/>
        <v>26</v>
      </c>
      <c r="K579" s="3">
        <f t="shared" si="91"/>
        <v>8</v>
      </c>
      <c r="L579" s="3" t="str">
        <f t="shared" si="92"/>
        <v>EXCELENTE</v>
      </c>
      <c r="M579" s="3">
        <v>19</v>
      </c>
      <c r="N579" s="3">
        <v>99.18</v>
      </c>
      <c r="O579" s="3">
        <v>24.501424501424498</v>
      </c>
    </row>
    <row r="580" spans="1:15" hidden="1" x14ac:dyDescent="0.25">
      <c r="A580" s="5">
        <v>46149</v>
      </c>
      <c r="B580" s="6" t="s">
        <v>49</v>
      </c>
      <c r="C580" s="3" t="s">
        <v>48</v>
      </c>
      <c r="D580" s="3">
        <v>33</v>
      </c>
      <c r="E580" s="3">
        <v>29</v>
      </c>
      <c r="F580" s="3">
        <v>13.37</v>
      </c>
      <c r="G580" s="3">
        <v>5</v>
      </c>
      <c r="H580" s="3">
        <v>0</v>
      </c>
      <c r="I580" s="3">
        <f t="shared" si="89"/>
        <v>34</v>
      </c>
      <c r="J580" s="3">
        <f t="shared" si="90"/>
        <v>26</v>
      </c>
      <c r="K580" s="3">
        <f t="shared" si="91"/>
        <v>8</v>
      </c>
      <c r="L580" s="3" t="str">
        <f t="shared" si="92"/>
        <v>EXCELENTE</v>
      </c>
      <c r="M580" s="3">
        <v>31</v>
      </c>
      <c r="N580" s="3">
        <v>99.35</v>
      </c>
      <c r="O580" s="3">
        <v>19.852941176470591</v>
      </c>
    </row>
    <row r="581" spans="1:15" hidden="1" x14ac:dyDescent="0.25">
      <c r="A581" s="5">
        <v>46149</v>
      </c>
      <c r="B581" s="6" t="s">
        <v>50</v>
      </c>
      <c r="C581" s="9" t="s">
        <v>48</v>
      </c>
      <c r="D581" s="3">
        <v>24</v>
      </c>
      <c r="E581" s="3">
        <v>24</v>
      </c>
      <c r="F581" s="3">
        <v>25.23</v>
      </c>
      <c r="G581" s="3">
        <v>5</v>
      </c>
      <c r="H581" s="3">
        <v>0</v>
      </c>
      <c r="I581" s="3">
        <f t="shared" si="89"/>
        <v>29</v>
      </c>
      <c r="J581" s="3">
        <f t="shared" si="90"/>
        <v>26</v>
      </c>
      <c r="K581" s="3">
        <f t="shared" si="91"/>
        <v>3</v>
      </c>
      <c r="L581" s="3" t="str">
        <f t="shared" si="92"/>
        <v>BOM</v>
      </c>
      <c r="M581" s="3">
        <v>27</v>
      </c>
      <c r="N581" s="3">
        <v>99.07</v>
      </c>
      <c r="O581" s="3">
        <v>20.098039215686271</v>
      </c>
    </row>
    <row r="582" spans="1:15" hidden="1" x14ac:dyDescent="0.25">
      <c r="A582" s="5">
        <v>46149</v>
      </c>
      <c r="B582" s="6" t="s">
        <v>51</v>
      </c>
      <c r="C582" s="3" t="s">
        <v>48</v>
      </c>
      <c r="D582" s="3">
        <v>17</v>
      </c>
      <c r="E582" s="3">
        <v>16</v>
      </c>
      <c r="F582" s="3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 t="shared" si="92"/>
        <v>BOM</v>
      </c>
      <c r="M582" s="3">
        <v>19</v>
      </c>
      <c r="N582" s="3">
        <v>98.81</v>
      </c>
      <c r="O582" s="3">
        <v>22.767857142857139</v>
      </c>
    </row>
    <row r="583" spans="1:15" hidden="1" x14ac:dyDescent="0.25">
      <c r="A583" s="5">
        <v>46149</v>
      </c>
      <c r="B583" s="6" t="s">
        <v>52</v>
      </c>
      <c r="C583" s="3" t="s">
        <v>48</v>
      </c>
      <c r="D583" s="3">
        <v>30</v>
      </c>
      <c r="E583" s="3">
        <v>29</v>
      </c>
      <c r="F583" s="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 t="shared" si="92"/>
        <v>BOM</v>
      </c>
      <c r="M583" s="3">
        <v>28</v>
      </c>
      <c r="N583" s="3">
        <v>99.01</v>
      </c>
      <c r="O583" s="3">
        <v>17.766497461928939</v>
      </c>
    </row>
    <row r="584" spans="1:15" hidden="1" x14ac:dyDescent="0.25">
      <c r="A584" s="5">
        <v>46149</v>
      </c>
      <c r="B584" s="6" t="s">
        <v>53</v>
      </c>
      <c r="C584" s="3" t="s">
        <v>48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 t="shared" si="92"/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54</v>
      </c>
      <c r="C585" s="9" t="s">
        <v>48</v>
      </c>
      <c r="D585" s="3">
        <v>25</v>
      </c>
      <c r="E585" s="3">
        <v>24</v>
      </c>
      <c r="F585" s="3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 t="shared" si="92"/>
        <v>ATENÇÃO</v>
      </c>
      <c r="M585" s="3">
        <v>22</v>
      </c>
      <c r="N585" s="3">
        <v>98.98</v>
      </c>
      <c r="O585" s="3">
        <v>19.35483870967742</v>
      </c>
    </row>
    <row r="586" spans="1:15" hidden="1" x14ac:dyDescent="0.25">
      <c r="A586" s="5">
        <v>46149</v>
      </c>
      <c r="B586" s="6" t="s">
        <v>55</v>
      </c>
      <c r="C586" s="3" t="s">
        <v>48</v>
      </c>
      <c r="D586" s="3">
        <v>34</v>
      </c>
      <c r="E586" s="3">
        <v>28</v>
      </c>
      <c r="F586" s="3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 t="shared" si="92"/>
        <v>BOM</v>
      </c>
      <c r="M586" s="3">
        <v>26</v>
      </c>
      <c r="N586" s="3">
        <v>98.94</v>
      </c>
      <c r="O586" s="3">
        <v>21.270718232044199</v>
      </c>
    </row>
    <row r="587" spans="1:15" hidden="1" x14ac:dyDescent="0.25">
      <c r="A587" s="5">
        <v>46149</v>
      </c>
      <c r="B587" s="6" t="s">
        <v>56</v>
      </c>
      <c r="C587" s="3" t="s">
        <v>48</v>
      </c>
      <c r="D587" s="3">
        <v>40</v>
      </c>
      <c r="E587" s="3">
        <v>37</v>
      </c>
      <c r="F587" s="3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 t="shared" si="92"/>
        <v>EXCELENTE</v>
      </c>
      <c r="M587" s="3">
        <v>51</v>
      </c>
      <c r="N587" s="3">
        <v>99</v>
      </c>
      <c r="O587" s="3">
        <v>22.010869565217391</v>
      </c>
    </row>
    <row r="588" spans="1:15" hidden="1" x14ac:dyDescent="0.25">
      <c r="A588" s="5">
        <v>46149</v>
      </c>
      <c r="B588" s="6" t="s">
        <v>57</v>
      </c>
      <c r="C588" s="3" t="s">
        <v>48</v>
      </c>
      <c r="D588" s="3">
        <v>26</v>
      </c>
      <c r="E588" s="3">
        <v>24</v>
      </c>
      <c r="F588" s="3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92"/>
        <v>BOM</v>
      </c>
      <c r="M588" s="3">
        <v>26</v>
      </c>
      <c r="N588" s="3">
        <v>100</v>
      </c>
      <c r="O588" s="3">
        <v>25</v>
      </c>
    </row>
    <row r="589" spans="1:15" hidden="1" x14ac:dyDescent="0.25">
      <c r="A589" s="5">
        <v>46149</v>
      </c>
      <c r="B589" s="6" t="s">
        <v>58</v>
      </c>
      <c r="C589" s="3" t="s">
        <v>48</v>
      </c>
      <c r="D589" s="3">
        <v>10</v>
      </c>
      <c r="E589" s="3">
        <v>10</v>
      </c>
      <c r="F589" s="3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 t="shared" si="92"/>
        <v>CRÍTICO</v>
      </c>
      <c r="M589" s="3">
        <v>9</v>
      </c>
      <c r="N589" s="3">
        <v>100</v>
      </c>
      <c r="O589" s="3">
        <v>20.183486238532112</v>
      </c>
    </row>
    <row r="590" spans="1:15" x14ac:dyDescent="0.25">
      <c r="A590" s="5">
        <v>46150</v>
      </c>
      <c r="B590" s="6" t="s">
        <v>47</v>
      </c>
      <c r="C590" s="3" t="s">
        <v>48</v>
      </c>
      <c r="D590" s="3">
        <v>34</v>
      </c>
      <c r="E590" s="3">
        <v>30</v>
      </c>
      <c r="F590" s="3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 t="shared" si="92"/>
        <v>EXCELENTE</v>
      </c>
      <c r="M590" s="3">
        <v>21</v>
      </c>
      <c r="N590" s="3">
        <v>99.18</v>
      </c>
      <c r="O590" s="3">
        <v>24.501424501424498</v>
      </c>
    </row>
    <row r="591" spans="1:15" hidden="1" x14ac:dyDescent="0.25">
      <c r="A591" s="5">
        <v>46150</v>
      </c>
      <c r="B591" s="6" t="s">
        <v>49</v>
      </c>
      <c r="C591" s="3" t="s">
        <v>48</v>
      </c>
      <c r="D591" s="3">
        <v>31</v>
      </c>
      <c r="E591" s="3">
        <v>28</v>
      </c>
      <c r="F591" s="3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 t="shared" si="92"/>
        <v>EXCELENTE</v>
      </c>
      <c r="M591" s="3">
        <v>35</v>
      </c>
      <c r="N591" s="3">
        <v>99.35</v>
      </c>
      <c r="O591" s="3">
        <v>19.852941176470591</v>
      </c>
    </row>
    <row r="592" spans="1:15" hidden="1" x14ac:dyDescent="0.25">
      <c r="A592" s="5">
        <v>46150</v>
      </c>
      <c r="B592" s="6" t="s">
        <v>50</v>
      </c>
      <c r="C592" s="9" t="s">
        <v>48</v>
      </c>
      <c r="D592" s="3">
        <v>12</v>
      </c>
      <c r="E592" s="3">
        <v>12</v>
      </c>
      <c r="F592" s="3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 t="shared" si="92"/>
        <v>CRÍTICO</v>
      </c>
      <c r="M592" s="3">
        <v>12</v>
      </c>
      <c r="N592" s="3">
        <v>99.07</v>
      </c>
      <c r="O592" s="3">
        <v>20.098039215686271</v>
      </c>
    </row>
    <row r="593" spans="1:16" hidden="1" x14ac:dyDescent="0.25">
      <c r="A593" s="11">
        <v>46050</v>
      </c>
      <c r="B593" t="s">
        <v>22</v>
      </c>
      <c r="C593" t="s">
        <v>23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6</v>
      </c>
      <c r="L593" s="3" t="str">
        <f t="shared" si="92"/>
        <v>EXCELENTE</v>
      </c>
      <c r="M593">
        <v>21</v>
      </c>
      <c r="N593">
        <v>98.91</v>
      </c>
      <c r="O593">
        <v>31.367292225201069</v>
      </c>
      <c r="P593"/>
    </row>
    <row r="594" spans="1:16" hidden="1" x14ac:dyDescent="0.25">
      <c r="A594" s="11">
        <v>46051</v>
      </c>
      <c r="B594" t="s">
        <v>22</v>
      </c>
      <c r="C594" t="s">
        <v>23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 t="shared" si="92"/>
        <v>BOM</v>
      </c>
      <c r="M594">
        <v>0</v>
      </c>
      <c r="N594">
        <v>98.91</v>
      </c>
      <c r="O594">
        <v>31.367292225201069</v>
      </c>
      <c r="P594"/>
    </row>
    <row r="595" spans="1:16" hidden="1" x14ac:dyDescent="0.25">
      <c r="A595" s="5">
        <v>46150</v>
      </c>
      <c r="B595" s="6" t="s">
        <v>51</v>
      </c>
      <c r="C595" s="3" t="s">
        <v>48</v>
      </c>
      <c r="D595" s="3">
        <v>19</v>
      </c>
      <c r="E595" s="3">
        <v>17</v>
      </c>
      <c r="F595" s="3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 t="shared" si="92"/>
        <v>BOM</v>
      </c>
      <c r="M595" s="3">
        <v>16</v>
      </c>
      <c r="N595" s="3">
        <v>98.81</v>
      </c>
      <c r="O595" s="3">
        <v>22.767857142857139</v>
      </c>
    </row>
    <row r="596" spans="1:16" hidden="1" x14ac:dyDescent="0.25">
      <c r="A596" s="5">
        <v>46150</v>
      </c>
      <c r="B596" s="6" t="s">
        <v>52</v>
      </c>
      <c r="C596" s="3" t="s">
        <v>48</v>
      </c>
      <c r="D596" s="3">
        <v>25</v>
      </c>
      <c r="E596" s="3">
        <v>23</v>
      </c>
      <c r="F596" s="3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 t="shared" si="92"/>
        <v>EXCELENTE</v>
      </c>
      <c r="M596" s="3">
        <v>26</v>
      </c>
      <c r="N596" s="3">
        <v>99.01</v>
      </c>
      <c r="O596" s="3">
        <v>17.766497461928939</v>
      </c>
    </row>
    <row r="597" spans="1:16" hidden="1" x14ac:dyDescent="0.25">
      <c r="A597" s="5">
        <v>46150</v>
      </c>
      <c r="B597" s="6" t="s">
        <v>53</v>
      </c>
      <c r="C597" s="3" t="s">
        <v>48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 t="shared" si="92"/>
        <v>BOM</v>
      </c>
      <c r="M597" s="3">
        <v>0</v>
      </c>
      <c r="N597" s="3">
        <v>100</v>
      </c>
      <c r="O597" s="3">
        <v>17.241379310344829</v>
      </c>
    </row>
    <row r="598" spans="1:16" hidden="1" x14ac:dyDescent="0.25">
      <c r="A598" s="5">
        <v>46150</v>
      </c>
      <c r="B598" s="6" t="s">
        <v>54</v>
      </c>
      <c r="C598" s="9" t="s">
        <v>48</v>
      </c>
      <c r="D598" s="3">
        <v>30</v>
      </c>
      <c r="E598" s="3">
        <v>27</v>
      </c>
      <c r="F598" s="3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 t="shared" si="92"/>
        <v>BOM</v>
      </c>
      <c r="M598" s="3">
        <v>22</v>
      </c>
      <c r="N598" s="3">
        <v>98.98</v>
      </c>
      <c r="O598" s="3">
        <v>19.35483870967742</v>
      </c>
    </row>
    <row r="599" spans="1:16" hidden="1" x14ac:dyDescent="0.25">
      <c r="A599" s="5">
        <v>46150</v>
      </c>
      <c r="B599" s="6" t="s">
        <v>55</v>
      </c>
      <c r="C599" s="3" t="s">
        <v>48</v>
      </c>
      <c r="D599" s="3">
        <v>25</v>
      </c>
      <c r="E599" s="3">
        <v>20</v>
      </c>
      <c r="F599" s="3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 t="shared" si="92"/>
        <v>BOM</v>
      </c>
      <c r="M599" s="3">
        <v>24</v>
      </c>
      <c r="N599" s="3">
        <v>98.94</v>
      </c>
      <c r="O599" s="3">
        <v>21.270718232044199</v>
      </c>
    </row>
    <row r="600" spans="1:16" hidden="1" x14ac:dyDescent="0.25">
      <c r="A600" s="5">
        <v>46150</v>
      </c>
      <c r="B600" s="6" t="s">
        <v>56</v>
      </c>
      <c r="C600" s="3" t="s">
        <v>48</v>
      </c>
      <c r="D600" s="3">
        <v>22</v>
      </c>
      <c r="E600" s="3">
        <v>18</v>
      </c>
      <c r="F600" s="3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 t="shared" si="92"/>
        <v>ATENÇÃO</v>
      </c>
      <c r="M600" s="3">
        <v>18</v>
      </c>
      <c r="N600" s="3">
        <v>99</v>
      </c>
      <c r="O600" s="3">
        <v>22.010869565217391</v>
      </c>
    </row>
    <row r="601" spans="1:16" hidden="1" x14ac:dyDescent="0.25">
      <c r="A601" s="5">
        <v>46150</v>
      </c>
      <c r="B601" s="6" t="s">
        <v>57</v>
      </c>
      <c r="C601" s="3" t="s">
        <v>48</v>
      </c>
      <c r="D601" s="3">
        <v>26</v>
      </c>
      <c r="E601" s="3">
        <v>26</v>
      </c>
      <c r="F601" s="3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 t="shared" si="92"/>
        <v>BOM</v>
      </c>
      <c r="M601" s="3">
        <v>21</v>
      </c>
      <c r="N601" s="3">
        <v>100</v>
      </c>
      <c r="O601" s="3">
        <v>25</v>
      </c>
    </row>
    <row r="602" spans="1:16" hidden="1" x14ac:dyDescent="0.25">
      <c r="A602" s="5">
        <v>46150</v>
      </c>
      <c r="B602" s="6" t="s">
        <v>58</v>
      </c>
      <c r="C602" s="3" t="s">
        <v>48</v>
      </c>
      <c r="D602" s="3">
        <v>19</v>
      </c>
      <c r="E602" s="3">
        <v>19</v>
      </c>
      <c r="F602" s="3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 t="shared" si="92"/>
        <v>ATENÇÃO</v>
      </c>
      <c r="M602" s="3">
        <v>17</v>
      </c>
      <c r="N602" s="3">
        <v>100</v>
      </c>
      <c r="O602" s="3">
        <v>20.183486238532112</v>
      </c>
    </row>
    <row r="603" spans="1:16" x14ac:dyDescent="0.25">
      <c r="A603" s="5">
        <v>46153</v>
      </c>
      <c r="B603" s="6" t="s">
        <v>47</v>
      </c>
      <c r="C603" s="3" t="s">
        <v>48</v>
      </c>
      <c r="D603" s="3">
        <v>36</v>
      </c>
      <c r="E603" s="3">
        <v>29</v>
      </c>
      <c r="F603" s="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 t="shared" si="92"/>
        <v>EXCELENTE</v>
      </c>
      <c r="M603" s="3">
        <v>18</v>
      </c>
      <c r="N603" s="3">
        <v>99.18</v>
      </c>
      <c r="O603" s="3">
        <v>24.501424501424498</v>
      </c>
    </row>
    <row r="604" spans="1:16" hidden="1" x14ac:dyDescent="0.25">
      <c r="A604" s="5">
        <v>46153</v>
      </c>
      <c r="B604" s="6" t="s">
        <v>49</v>
      </c>
      <c r="C604" s="3" t="s">
        <v>48</v>
      </c>
      <c r="D604" s="3">
        <v>31</v>
      </c>
      <c r="E604" s="3">
        <v>29</v>
      </c>
      <c r="F604" s="3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 t="shared" si="92"/>
        <v>EXCELENTE</v>
      </c>
      <c r="M604" s="3">
        <v>30</v>
      </c>
      <c r="N604" s="3">
        <v>99.35</v>
      </c>
      <c r="O604" s="3">
        <v>19.852941176470591</v>
      </c>
    </row>
    <row r="605" spans="1:16" hidden="1" x14ac:dyDescent="0.25">
      <c r="A605" s="5">
        <v>46153</v>
      </c>
      <c r="B605" s="6" t="s">
        <v>50</v>
      </c>
      <c r="C605" s="9" t="s">
        <v>48</v>
      </c>
      <c r="D605" s="3">
        <v>22</v>
      </c>
      <c r="E605" s="3">
        <v>22</v>
      </c>
      <c r="F605" s="3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 t="shared" si="92"/>
        <v>BOM</v>
      </c>
      <c r="M605" s="3">
        <v>26</v>
      </c>
      <c r="N605" s="3">
        <v>99.07</v>
      </c>
      <c r="O605" s="3">
        <v>20.098039215686271</v>
      </c>
    </row>
    <row r="606" spans="1:16" hidden="1" x14ac:dyDescent="0.25">
      <c r="A606" s="5">
        <v>46153</v>
      </c>
      <c r="B606" s="6" t="s">
        <v>51</v>
      </c>
      <c r="C606" s="3" t="s">
        <v>48</v>
      </c>
      <c r="D606" s="3">
        <v>30</v>
      </c>
      <c r="E606" s="3">
        <v>27</v>
      </c>
      <c r="F606" s="3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 t="shared" si="92"/>
        <v>BOM</v>
      </c>
      <c r="M606" s="3">
        <v>22</v>
      </c>
      <c r="N606" s="3">
        <v>98.81</v>
      </c>
      <c r="O606" s="3">
        <v>22.767857142857139</v>
      </c>
    </row>
    <row r="607" spans="1:16" hidden="1" x14ac:dyDescent="0.25">
      <c r="A607" s="5">
        <v>46153</v>
      </c>
      <c r="B607" s="6" t="s">
        <v>52</v>
      </c>
      <c r="C607" s="3" t="s">
        <v>48</v>
      </c>
      <c r="D607" s="3">
        <v>28</v>
      </c>
      <c r="E607" s="3">
        <v>27</v>
      </c>
      <c r="F607" s="3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 t="shared" si="92"/>
        <v>EXCELENTE</v>
      </c>
      <c r="M607" s="3">
        <v>27</v>
      </c>
      <c r="N607" s="3">
        <v>99.01</v>
      </c>
      <c r="O607" s="3">
        <v>17.766497461928939</v>
      </c>
    </row>
    <row r="608" spans="1:16" hidden="1" x14ac:dyDescent="0.25">
      <c r="A608" s="5">
        <v>46153</v>
      </c>
      <c r="B608" s="6" t="s">
        <v>53</v>
      </c>
      <c r="C608" s="3" t="s">
        <v>48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 t="shared" si="92"/>
        <v>BOM</v>
      </c>
      <c r="M608" s="3">
        <v>0</v>
      </c>
      <c r="N608" s="3">
        <v>100</v>
      </c>
      <c r="O608" s="3">
        <v>17.241379310344829</v>
      </c>
    </row>
    <row r="609" spans="1:15" hidden="1" x14ac:dyDescent="0.25">
      <c r="A609" s="5">
        <v>46153</v>
      </c>
      <c r="B609" s="6" t="s">
        <v>54</v>
      </c>
      <c r="C609" s="9" t="s">
        <v>48</v>
      </c>
      <c r="D609" s="3">
        <v>26</v>
      </c>
      <c r="E609" s="3">
        <v>24</v>
      </c>
      <c r="F609" s="3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 t="shared" ref="L609:L640" si="93">IF(K609&lt;-5,"CRÍTICO",IF(K609&lt;0,"ATENÇÃO",IF(K609&lt;=5,"BOM","EXCELENTE")))</f>
        <v>BOM</v>
      </c>
      <c r="M609" s="3">
        <v>23</v>
      </c>
      <c r="N609" s="3">
        <v>98.98</v>
      </c>
      <c r="O609" s="3">
        <v>19.35483870967742</v>
      </c>
    </row>
    <row r="610" spans="1:15" hidden="1" x14ac:dyDescent="0.25">
      <c r="A610" s="5">
        <v>46153</v>
      </c>
      <c r="B610" s="6" t="s">
        <v>55</v>
      </c>
      <c r="C610" s="3" t="s">
        <v>48</v>
      </c>
      <c r="D610" s="3">
        <v>39</v>
      </c>
      <c r="E610" s="3">
        <v>31</v>
      </c>
      <c r="F610" s="3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 t="shared" si="93"/>
        <v>EXCELENTE</v>
      </c>
      <c r="M610" s="3">
        <v>25</v>
      </c>
      <c r="N610" s="3">
        <v>98.94</v>
      </c>
      <c r="O610" s="3">
        <v>21.270718232044199</v>
      </c>
    </row>
    <row r="611" spans="1:15" hidden="1" x14ac:dyDescent="0.25">
      <c r="A611" s="5">
        <v>46153</v>
      </c>
      <c r="B611" s="6" t="s">
        <v>56</v>
      </c>
      <c r="C611" s="3" t="s">
        <v>48</v>
      </c>
      <c r="D611" s="3">
        <v>25</v>
      </c>
      <c r="E611" s="3">
        <v>22</v>
      </c>
      <c r="F611" s="3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 t="shared" si="93"/>
        <v>BOM</v>
      </c>
      <c r="M611" s="3">
        <v>21</v>
      </c>
      <c r="N611" s="3">
        <v>99</v>
      </c>
      <c r="O611" s="3">
        <v>22.010869565217391</v>
      </c>
    </row>
    <row r="612" spans="1:15" hidden="1" x14ac:dyDescent="0.25">
      <c r="A612" s="5">
        <v>46153</v>
      </c>
      <c r="B612" s="6" t="s">
        <v>57</v>
      </c>
      <c r="C612" s="3" t="s">
        <v>48</v>
      </c>
      <c r="D612" s="3">
        <v>31</v>
      </c>
      <c r="E612" s="3">
        <v>30</v>
      </c>
      <c r="F612" s="3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 t="shared" si="93"/>
        <v>BOM</v>
      </c>
      <c r="M612" s="3">
        <v>25</v>
      </c>
      <c r="N612" s="3">
        <v>100</v>
      </c>
      <c r="O612" s="3">
        <v>25</v>
      </c>
    </row>
    <row r="613" spans="1:15" hidden="1" x14ac:dyDescent="0.25">
      <c r="A613" s="5">
        <v>46153</v>
      </c>
      <c r="B613" s="6" t="s">
        <v>58</v>
      </c>
      <c r="C613" s="3" t="s">
        <v>48</v>
      </c>
      <c r="D613" s="3">
        <v>9</v>
      </c>
      <c r="E613" s="3">
        <v>8</v>
      </c>
      <c r="F613" s="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 t="shared" si="93"/>
        <v>CRÍTICO</v>
      </c>
      <c r="M613" s="3">
        <v>7</v>
      </c>
      <c r="N613" s="3">
        <v>100</v>
      </c>
      <c r="O613" s="3">
        <v>20.183486238532112</v>
      </c>
    </row>
    <row r="614" spans="1:15" x14ac:dyDescent="0.25">
      <c r="A614" s="5">
        <v>46154</v>
      </c>
      <c r="B614" s="6" t="s">
        <v>47</v>
      </c>
      <c r="C614" s="3" t="s">
        <v>48</v>
      </c>
      <c r="D614" s="3">
        <v>25</v>
      </c>
      <c r="E614" s="3">
        <v>18</v>
      </c>
      <c r="F614" s="3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 t="shared" si="93"/>
        <v>BOM</v>
      </c>
      <c r="M614" s="3">
        <v>17</v>
      </c>
      <c r="N614" s="3">
        <v>99.18</v>
      </c>
      <c r="O614" s="3">
        <v>24.501424501424498</v>
      </c>
    </row>
    <row r="615" spans="1:15" hidden="1" x14ac:dyDescent="0.25">
      <c r="A615" s="5">
        <v>46154</v>
      </c>
      <c r="B615" s="6" t="s">
        <v>49</v>
      </c>
      <c r="C615" s="3" t="s">
        <v>48</v>
      </c>
      <c r="D615" s="3">
        <v>38</v>
      </c>
      <c r="E615" s="3">
        <v>35</v>
      </c>
      <c r="F615" s="3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 t="shared" si="93"/>
        <v>EXCELENTE</v>
      </c>
      <c r="M615" s="3">
        <v>34</v>
      </c>
      <c r="N615" s="3">
        <v>99.35</v>
      </c>
      <c r="O615" s="3">
        <v>19.852941176470591</v>
      </c>
    </row>
    <row r="616" spans="1:15" hidden="1" x14ac:dyDescent="0.25">
      <c r="A616" s="5">
        <v>46154</v>
      </c>
      <c r="B616" s="6" t="s">
        <v>50</v>
      </c>
      <c r="C616" s="9" t="s">
        <v>48</v>
      </c>
      <c r="D616" s="3">
        <v>26</v>
      </c>
      <c r="E616" s="3">
        <v>26</v>
      </c>
      <c r="F616" s="3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 t="shared" si="93"/>
        <v>BOM</v>
      </c>
      <c r="M616" s="3">
        <v>24</v>
      </c>
      <c r="N616" s="3">
        <v>99.07</v>
      </c>
      <c r="O616" s="3">
        <v>20.098039215686271</v>
      </c>
    </row>
    <row r="617" spans="1:15" hidden="1" x14ac:dyDescent="0.25">
      <c r="A617" s="5">
        <v>46154</v>
      </c>
      <c r="B617" s="6" t="s">
        <v>51</v>
      </c>
      <c r="C617" s="3" t="s">
        <v>48</v>
      </c>
      <c r="D617" s="3">
        <v>37</v>
      </c>
      <c r="E617" s="3">
        <v>30</v>
      </c>
      <c r="F617" s="3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 t="shared" si="93"/>
        <v>BOM</v>
      </c>
      <c r="M617" s="3">
        <v>27</v>
      </c>
      <c r="N617" s="3">
        <v>98.81</v>
      </c>
      <c r="O617" s="3">
        <v>22.767857142857139</v>
      </c>
    </row>
    <row r="618" spans="1:15" hidden="1" x14ac:dyDescent="0.25">
      <c r="A618" s="5">
        <v>46154</v>
      </c>
      <c r="B618" s="6" t="s">
        <v>52</v>
      </c>
      <c r="C618" s="3" t="s">
        <v>48</v>
      </c>
      <c r="D618" s="3">
        <v>25</v>
      </c>
      <c r="E618" s="3">
        <v>24</v>
      </c>
      <c r="F618" s="3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 t="shared" si="93"/>
        <v>BOM</v>
      </c>
      <c r="M618" s="3">
        <v>26</v>
      </c>
      <c r="N618" s="3">
        <v>99.01</v>
      </c>
      <c r="O618" s="3">
        <v>17.766497461928939</v>
      </c>
    </row>
    <row r="619" spans="1:15" hidden="1" x14ac:dyDescent="0.25">
      <c r="A619" s="5">
        <v>46154</v>
      </c>
      <c r="B619" s="6" t="s">
        <v>53</v>
      </c>
      <c r="C619" s="3" t="s">
        <v>48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 t="shared" si="93"/>
        <v>BOM</v>
      </c>
      <c r="M619" s="3">
        <v>0</v>
      </c>
      <c r="N619" s="3">
        <v>100</v>
      </c>
      <c r="O619" s="3">
        <v>17.241379310344829</v>
      </c>
    </row>
    <row r="620" spans="1:15" hidden="1" x14ac:dyDescent="0.25">
      <c r="A620" s="5">
        <v>46154</v>
      </c>
      <c r="B620" s="6" t="s">
        <v>54</v>
      </c>
      <c r="C620" s="9" t="s">
        <v>48</v>
      </c>
      <c r="D620" s="3">
        <v>26</v>
      </c>
      <c r="E620" s="3">
        <v>24</v>
      </c>
      <c r="F620" s="3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 t="shared" si="93"/>
        <v>ATENÇÃO</v>
      </c>
      <c r="M620" s="3">
        <v>18</v>
      </c>
      <c r="N620" s="3">
        <v>98.98</v>
      </c>
      <c r="O620" s="3">
        <v>19.35483870967742</v>
      </c>
    </row>
    <row r="621" spans="1:15" hidden="1" x14ac:dyDescent="0.25">
      <c r="A621" s="5">
        <v>46154</v>
      </c>
      <c r="B621" s="6" t="s">
        <v>55</v>
      </c>
      <c r="C621" s="3" t="s">
        <v>48</v>
      </c>
      <c r="D621" s="3">
        <v>29</v>
      </c>
      <c r="E621" s="3">
        <v>26</v>
      </c>
      <c r="F621" s="3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 t="shared" si="93"/>
        <v>EXCELENTE</v>
      </c>
      <c r="M621" s="3">
        <v>26</v>
      </c>
      <c r="N621" s="3">
        <v>98.94</v>
      </c>
      <c r="O621" s="3">
        <v>21.270718232044199</v>
      </c>
    </row>
    <row r="622" spans="1:15" hidden="1" x14ac:dyDescent="0.25">
      <c r="A622" s="5">
        <v>46154</v>
      </c>
      <c r="B622" s="6" t="s">
        <v>56</v>
      </c>
      <c r="C622" s="3" t="s">
        <v>48</v>
      </c>
      <c r="D622" s="3">
        <v>28</v>
      </c>
      <c r="E622" s="3">
        <v>26</v>
      </c>
      <c r="F622" s="3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 t="shared" si="93"/>
        <v>BOM</v>
      </c>
      <c r="M622" s="3">
        <v>22</v>
      </c>
      <c r="N622" s="3">
        <v>99</v>
      </c>
      <c r="O622" s="3">
        <v>22.010869565217391</v>
      </c>
    </row>
    <row r="623" spans="1:15" hidden="1" x14ac:dyDescent="0.25">
      <c r="A623" s="5">
        <v>46154</v>
      </c>
      <c r="B623" s="6" t="s">
        <v>57</v>
      </c>
      <c r="C623" s="3" t="s">
        <v>48</v>
      </c>
      <c r="D623" s="3">
        <v>25</v>
      </c>
      <c r="E623" s="3">
        <v>24</v>
      </c>
      <c r="F623" s="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 t="shared" si="93"/>
        <v>BOM</v>
      </c>
      <c r="M623" s="3">
        <v>19</v>
      </c>
      <c r="N623" s="3">
        <v>100</v>
      </c>
      <c r="O623" s="3">
        <v>25</v>
      </c>
    </row>
    <row r="624" spans="1:15" hidden="1" x14ac:dyDescent="0.25">
      <c r="A624" s="5">
        <v>46154</v>
      </c>
      <c r="B624" s="6" t="s">
        <v>58</v>
      </c>
      <c r="C624" s="3" t="s">
        <v>48</v>
      </c>
      <c r="D624" s="3">
        <v>30</v>
      </c>
      <c r="E624" s="3">
        <v>26</v>
      </c>
      <c r="F624" s="3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 t="shared" si="93"/>
        <v>BOM</v>
      </c>
      <c r="M624" s="3">
        <v>22</v>
      </c>
      <c r="N624" s="3">
        <v>100</v>
      </c>
      <c r="O624" s="3">
        <v>20.183486238532112</v>
      </c>
    </row>
    <row r="625" spans="1:16" x14ac:dyDescent="0.25">
      <c r="A625" s="5">
        <v>46155</v>
      </c>
      <c r="B625" s="6" t="s">
        <v>47</v>
      </c>
      <c r="C625" s="3" t="s">
        <v>48</v>
      </c>
      <c r="D625" s="3">
        <v>28</v>
      </c>
      <c r="E625" s="3">
        <v>21</v>
      </c>
      <c r="F625" s="3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 t="shared" si="93"/>
        <v>BOM</v>
      </c>
      <c r="M625" s="3">
        <v>17</v>
      </c>
      <c r="N625" s="3">
        <v>99.18</v>
      </c>
      <c r="O625" s="3">
        <v>24.501424501424498</v>
      </c>
    </row>
    <row r="626" spans="1:16" hidden="1" x14ac:dyDescent="0.25">
      <c r="A626" s="5">
        <v>46155</v>
      </c>
      <c r="B626" s="6" t="s">
        <v>49</v>
      </c>
      <c r="C626" s="3" t="s">
        <v>48</v>
      </c>
      <c r="D626" s="3">
        <v>33</v>
      </c>
      <c r="E626" s="3">
        <v>29</v>
      </c>
      <c r="F626" s="3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 t="shared" si="93"/>
        <v>EXCELENTE</v>
      </c>
      <c r="M626" s="3">
        <v>30</v>
      </c>
      <c r="N626" s="3">
        <v>99.35</v>
      </c>
      <c r="O626" s="3">
        <v>19.852941176470591</v>
      </c>
    </row>
    <row r="627" spans="1:16" hidden="1" x14ac:dyDescent="0.25">
      <c r="A627" s="5">
        <v>46155</v>
      </c>
      <c r="B627" s="6" t="s">
        <v>50</v>
      </c>
      <c r="C627" s="9" t="s">
        <v>48</v>
      </c>
      <c r="D627" s="3">
        <v>17</v>
      </c>
      <c r="E627" s="3">
        <v>16</v>
      </c>
      <c r="F627" s="3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 t="shared" si="93"/>
        <v>ATENÇÃO</v>
      </c>
      <c r="M627" s="3">
        <v>19</v>
      </c>
      <c r="N627" s="3">
        <v>99.07</v>
      </c>
      <c r="O627" s="3">
        <v>20.098039215686271</v>
      </c>
    </row>
    <row r="628" spans="1:16" hidden="1" x14ac:dyDescent="0.25">
      <c r="A628" s="5">
        <v>46155</v>
      </c>
      <c r="B628" s="6" t="s">
        <v>51</v>
      </c>
      <c r="C628" s="3" t="s">
        <v>48</v>
      </c>
      <c r="D628" s="3">
        <v>12</v>
      </c>
      <c r="E628" s="3">
        <v>9</v>
      </c>
      <c r="F628" s="3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 t="shared" si="93"/>
        <v>BOM</v>
      </c>
      <c r="M628" s="3">
        <v>13</v>
      </c>
      <c r="N628" s="3">
        <v>98.81</v>
      </c>
      <c r="O628" s="3">
        <v>22.767857142857139</v>
      </c>
    </row>
    <row r="629" spans="1:16" hidden="1" x14ac:dyDescent="0.25">
      <c r="A629" s="5">
        <v>46155</v>
      </c>
      <c r="B629" s="6" t="s">
        <v>52</v>
      </c>
      <c r="C629" s="3" t="s">
        <v>48</v>
      </c>
      <c r="D629" s="3">
        <v>28</v>
      </c>
      <c r="E629" s="3">
        <v>25</v>
      </c>
      <c r="F629" s="3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 t="shared" si="93"/>
        <v>BOM</v>
      </c>
      <c r="M629" s="3">
        <v>19</v>
      </c>
      <c r="N629" s="3">
        <v>99.01</v>
      </c>
      <c r="O629" s="3">
        <v>17.766497461928939</v>
      </c>
    </row>
    <row r="630" spans="1:16" hidden="1" x14ac:dyDescent="0.25">
      <c r="A630" s="5">
        <v>46155</v>
      </c>
      <c r="B630" s="6" t="s">
        <v>53</v>
      </c>
      <c r="C630" s="3" t="s">
        <v>48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 t="shared" si="93"/>
        <v>BOM</v>
      </c>
      <c r="M630" s="3">
        <v>0</v>
      </c>
      <c r="N630" s="3">
        <v>100</v>
      </c>
      <c r="O630" s="3">
        <v>17.241379310344829</v>
      </c>
    </row>
    <row r="631" spans="1:16" hidden="1" x14ac:dyDescent="0.25">
      <c r="A631" s="5">
        <v>46155</v>
      </c>
      <c r="B631" s="6" t="s">
        <v>54</v>
      </c>
      <c r="C631" s="9" t="s">
        <v>48</v>
      </c>
      <c r="D631" s="3">
        <v>21</v>
      </c>
      <c r="E631" s="3">
        <v>21</v>
      </c>
      <c r="F631" s="3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 t="shared" si="93"/>
        <v>ATENÇÃO</v>
      </c>
      <c r="M631" s="3">
        <v>22</v>
      </c>
      <c r="N631" s="3">
        <v>98.98</v>
      </c>
      <c r="O631" s="3">
        <v>19.35483870967742</v>
      </c>
    </row>
    <row r="632" spans="1:16" hidden="1" x14ac:dyDescent="0.25">
      <c r="A632" s="5">
        <v>46155</v>
      </c>
      <c r="B632" s="6" t="s">
        <v>55</v>
      </c>
      <c r="C632" s="3" t="s">
        <v>48</v>
      </c>
      <c r="D632" s="3">
        <v>33</v>
      </c>
      <c r="E632" s="3">
        <v>27</v>
      </c>
      <c r="F632" s="3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 t="shared" si="93"/>
        <v>BOM</v>
      </c>
      <c r="M632" s="3">
        <v>23</v>
      </c>
      <c r="N632" s="3">
        <v>98.94</v>
      </c>
      <c r="O632" s="3">
        <v>21.270718232044199</v>
      </c>
    </row>
    <row r="633" spans="1:16" hidden="1" x14ac:dyDescent="0.25">
      <c r="A633" s="5">
        <v>46155</v>
      </c>
      <c r="B633" s="6" t="s">
        <v>56</v>
      </c>
      <c r="C633" s="3" t="s">
        <v>48</v>
      </c>
      <c r="D633" s="3">
        <v>21</v>
      </c>
      <c r="E633" s="3">
        <v>20</v>
      </c>
      <c r="F633" s="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 t="shared" si="93"/>
        <v>BOM</v>
      </c>
      <c r="M633" s="3">
        <v>22</v>
      </c>
      <c r="N633" s="3">
        <v>99</v>
      </c>
      <c r="O633" s="3">
        <v>22.010869565217391</v>
      </c>
    </row>
    <row r="634" spans="1:16" hidden="1" x14ac:dyDescent="0.25">
      <c r="A634" s="5">
        <v>46155</v>
      </c>
      <c r="B634" s="6" t="s">
        <v>57</v>
      </c>
      <c r="C634" s="3" t="s">
        <v>48</v>
      </c>
      <c r="D634" s="3">
        <v>30</v>
      </c>
      <c r="E634" s="3">
        <v>29</v>
      </c>
      <c r="F634" s="3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 t="shared" si="93"/>
        <v>BOM</v>
      </c>
      <c r="M634" s="3">
        <v>26</v>
      </c>
      <c r="N634" s="3">
        <v>100</v>
      </c>
      <c r="O634" s="3">
        <v>25</v>
      </c>
    </row>
    <row r="635" spans="1:16" hidden="1" x14ac:dyDescent="0.25">
      <c r="A635" s="5">
        <v>46155</v>
      </c>
      <c r="B635" s="6" t="s">
        <v>58</v>
      </c>
      <c r="C635" s="3" t="s">
        <v>48</v>
      </c>
      <c r="D635" s="3">
        <v>24</v>
      </c>
      <c r="E635" s="3">
        <v>22</v>
      </c>
      <c r="F635" s="3">
        <v>21.47</v>
      </c>
      <c r="G635" s="3">
        <v>0</v>
      </c>
      <c r="H635" s="3">
        <v>0</v>
      </c>
      <c r="I635" s="3">
        <f t="shared" ref="I635:I640" si="94">E635+G635+H635</f>
        <v>22</v>
      </c>
      <c r="J635" s="3">
        <f t="shared" ref="J635:J640" si="95"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 t="shared" ref="K635:K640" si="96">I635-J635</f>
        <v>-1</v>
      </c>
      <c r="L635" s="3" t="str">
        <f t="shared" si="93"/>
        <v>ATENÇÃO</v>
      </c>
      <c r="M635" s="3">
        <v>18</v>
      </c>
      <c r="N635" s="3">
        <v>100</v>
      </c>
      <c r="O635" s="3">
        <v>20.183486238532112</v>
      </c>
    </row>
    <row r="636" spans="1:16" x14ac:dyDescent="0.25">
      <c r="A636" s="5">
        <v>46156</v>
      </c>
      <c r="B636" s="6" t="s">
        <v>47</v>
      </c>
      <c r="C636" s="3" t="s">
        <v>48</v>
      </c>
      <c r="D636" s="3">
        <v>33</v>
      </c>
      <c r="E636" s="3">
        <v>28</v>
      </c>
      <c r="F636" s="3">
        <v>10.58</v>
      </c>
      <c r="G636" s="3">
        <v>6</v>
      </c>
      <c r="H636" s="3">
        <v>0</v>
      </c>
      <c r="I636" s="3">
        <f t="shared" si="94"/>
        <v>34</v>
      </c>
      <c r="J636" s="3">
        <f t="shared" si="95"/>
        <v>23</v>
      </c>
      <c r="K636" s="3">
        <f t="shared" si="96"/>
        <v>11</v>
      </c>
      <c r="L636" s="3" t="str">
        <f t="shared" si="93"/>
        <v>EXCELENTE</v>
      </c>
      <c r="M636" s="3">
        <v>23</v>
      </c>
      <c r="N636" s="3">
        <v>99.18</v>
      </c>
      <c r="O636" s="3">
        <v>24.501424501424498</v>
      </c>
    </row>
    <row r="637" spans="1:16" hidden="1" x14ac:dyDescent="0.25">
      <c r="A637" s="5">
        <v>46156</v>
      </c>
      <c r="B637" s="6" t="s">
        <v>49</v>
      </c>
      <c r="C637" s="3" t="s">
        <v>48</v>
      </c>
      <c r="D637" s="3">
        <v>29</v>
      </c>
      <c r="E637" s="3">
        <v>29</v>
      </c>
      <c r="F637" s="3">
        <v>12.28</v>
      </c>
      <c r="G637" s="3">
        <v>4</v>
      </c>
      <c r="H637" s="3">
        <v>0</v>
      </c>
      <c r="I637" s="3">
        <f t="shared" si="94"/>
        <v>33</v>
      </c>
      <c r="J637" s="3">
        <f t="shared" si="95"/>
        <v>23</v>
      </c>
      <c r="K637" s="3">
        <f t="shared" si="96"/>
        <v>10</v>
      </c>
      <c r="L637" s="3" t="str">
        <f t="shared" si="93"/>
        <v>EXCELENTE</v>
      </c>
      <c r="M637" s="3">
        <v>33</v>
      </c>
      <c r="N637" s="3">
        <v>99.35</v>
      </c>
      <c r="O637" s="3">
        <v>19.852941176470591</v>
      </c>
    </row>
    <row r="638" spans="1:16" hidden="1" x14ac:dyDescent="0.25">
      <c r="A638" s="11">
        <v>46052</v>
      </c>
      <c r="B638" t="s">
        <v>22</v>
      </c>
      <c r="C638" t="s">
        <v>23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si="94"/>
        <v>31</v>
      </c>
      <c r="J638" s="3">
        <f t="shared" si="95"/>
        <v>18</v>
      </c>
      <c r="K638" s="3">
        <f t="shared" si="96"/>
        <v>13</v>
      </c>
      <c r="L638" s="3" t="str">
        <f t="shared" si="93"/>
        <v>EXCELENTE</v>
      </c>
      <c r="M638">
        <v>31</v>
      </c>
      <c r="N638">
        <v>98.91</v>
      </c>
      <c r="O638">
        <v>31.367292225201069</v>
      </c>
      <c r="P638"/>
    </row>
    <row r="639" spans="1:16" hidden="1" x14ac:dyDescent="0.25">
      <c r="A639" s="11">
        <v>46055</v>
      </c>
      <c r="B639" t="s">
        <v>22</v>
      </c>
      <c r="C639" t="s">
        <v>23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94"/>
        <v>15</v>
      </c>
      <c r="J639" s="3">
        <f t="shared" si="95"/>
        <v>19</v>
      </c>
      <c r="K639" s="3">
        <f t="shared" si="96"/>
        <v>-4</v>
      </c>
      <c r="L639" s="3" t="str">
        <f t="shared" si="93"/>
        <v>ATENÇÃO</v>
      </c>
      <c r="M639">
        <v>14</v>
      </c>
      <c r="N639">
        <v>96.67</v>
      </c>
      <c r="O639">
        <v>31.451612903225811</v>
      </c>
      <c r="P639"/>
    </row>
    <row r="640" spans="1:16" hidden="1" x14ac:dyDescent="0.25">
      <c r="A640" s="5">
        <v>46156</v>
      </c>
      <c r="B640" s="6" t="s">
        <v>50</v>
      </c>
      <c r="C640" s="9" t="s">
        <v>48</v>
      </c>
      <c r="D640" s="3">
        <v>25</v>
      </c>
      <c r="E640" s="3">
        <v>23</v>
      </c>
      <c r="F640" s="3">
        <v>20.56</v>
      </c>
      <c r="G640" s="3">
        <v>4</v>
      </c>
      <c r="H640" s="3">
        <v>0</v>
      </c>
      <c r="I640" s="3">
        <f t="shared" si="94"/>
        <v>27</v>
      </c>
      <c r="J640" s="3">
        <f t="shared" si="95"/>
        <v>23</v>
      </c>
      <c r="K640" s="3">
        <f t="shared" si="96"/>
        <v>4</v>
      </c>
      <c r="L640" s="3" t="str">
        <f t="shared" si="93"/>
        <v>BOM</v>
      </c>
      <c r="M640" s="3">
        <v>25</v>
      </c>
      <c r="N640" s="3">
        <v>99.07</v>
      </c>
      <c r="O640" s="3">
        <v>20.098039215686271</v>
      </c>
    </row>
    <row r="641" spans="1:15" hidden="1" x14ac:dyDescent="0.25">
      <c r="A641" s="5">
        <v>46156</v>
      </c>
      <c r="B641" s="6" t="s">
        <v>51</v>
      </c>
      <c r="C641" s="3" t="s">
        <v>48</v>
      </c>
      <c r="D641" s="3">
        <v>22</v>
      </c>
      <c r="E641" s="3">
        <v>18</v>
      </c>
      <c r="F641" s="3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 t="shared" ref="L641:L672" si="97">IF(K641&lt;-5,"CRÍTICO",IF(K641&lt;0,"ATENÇÃO",IF(K641&lt;=5,"BOM","EXCELENTE")))</f>
        <v>BOM</v>
      </c>
      <c r="M641" s="3">
        <v>17</v>
      </c>
      <c r="N641" s="3">
        <v>98.81</v>
      </c>
      <c r="O641" s="3">
        <v>22.767857142857139</v>
      </c>
    </row>
    <row r="642" spans="1:15" hidden="1" x14ac:dyDescent="0.25">
      <c r="A642" s="5">
        <v>46156</v>
      </c>
      <c r="B642" s="6" t="s">
        <v>52</v>
      </c>
      <c r="C642" s="3" t="s">
        <v>48</v>
      </c>
      <c r="D642" s="3">
        <v>14</v>
      </c>
      <c r="E642" s="3">
        <v>13</v>
      </c>
      <c r="F642" s="3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 t="shared" si="97"/>
        <v>CRÍTICO</v>
      </c>
      <c r="M642" s="3">
        <v>18</v>
      </c>
      <c r="N642" s="3">
        <v>99.01</v>
      </c>
      <c r="O642" s="3">
        <v>17.766497461928939</v>
      </c>
    </row>
    <row r="643" spans="1:15" hidden="1" x14ac:dyDescent="0.25">
      <c r="A643" s="5">
        <v>46156</v>
      </c>
      <c r="B643" s="6" t="s">
        <v>53</v>
      </c>
      <c r="C643" s="3" t="s">
        <v>48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 t="shared" si="97"/>
        <v>BOM</v>
      </c>
      <c r="M643" s="3">
        <v>0</v>
      </c>
      <c r="N643" s="3">
        <v>100</v>
      </c>
      <c r="O643" s="3">
        <v>17.241379310344829</v>
      </c>
    </row>
    <row r="644" spans="1:15" hidden="1" x14ac:dyDescent="0.25">
      <c r="A644" s="5">
        <v>46156</v>
      </c>
      <c r="B644" s="6" t="s">
        <v>54</v>
      </c>
      <c r="C644" s="9" t="s">
        <v>48</v>
      </c>
      <c r="D644" s="3">
        <v>17</v>
      </c>
      <c r="E644" s="3">
        <v>17</v>
      </c>
      <c r="F644" s="3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 t="shared" si="97"/>
        <v>CRÍTICO</v>
      </c>
      <c r="M644" s="3">
        <v>13</v>
      </c>
      <c r="N644" s="3">
        <v>98.98</v>
      </c>
      <c r="O644" s="3">
        <v>19.35483870967742</v>
      </c>
    </row>
    <row r="645" spans="1:15" hidden="1" x14ac:dyDescent="0.25">
      <c r="A645" s="5">
        <v>46156</v>
      </c>
      <c r="B645" s="6" t="s">
        <v>55</v>
      </c>
      <c r="C645" s="3" t="s">
        <v>48</v>
      </c>
      <c r="D645" s="3">
        <v>9</v>
      </c>
      <c r="E645" s="3">
        <v>9</v>
      </c>
      <c r="F645" s="3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 t="shared" si="97"/>
        <v>CRÍTICO</v>
      </c>
      <c r="M645" s="3">
        <v>9</v>
      </c>
      <c r="N645" s="3">
        <v>98.94</v>
      </c>
      <c r="O645" s="3">
        <v>21.270718232044199</v>
      </c>
    </row>
    <row r="646" spans="1:15" hidden="1" x14ac:dyDescent="0.25">
      <c r="A646" s="5">
        <v>46156</v>
      </c>
      <c r="B646" s="6" t="s">
        <v>56</v>
      </c>
      <c r="C646" s="3" t="s">
        <v>48</v>
      </c>
      <c r="D646" s="3">
        <v>26</v>
      </c>
      <c r="E646" s="3">
        <v>24</v>
      </c>
      <c r="F646" s="3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 t="shared" si="97"/>
        <v>BOM</v>
      </c>
      <c r="M646" s="3">
        <v>12</v>
      </c>
      <c r="N646" s="3">
        <v>99</v>
      </c>
      <c r="O646" s="3">
        <v>22.010869565217391</v>
      </c>
    </row>
    <row r="647" spans="1:15" hidden="1" x14ac:dyDescent="0.25">
      <c r="A647" s="5">
        <v>46156</v>
      </c>
      <c r="B647" s="6" t="s">
        <v>57</v>
      </c>
      <c r="C647" s="3" t="s">
        <v>48</v>
      </c>
      <c r="D647" s="3">
        <v>22</v>
      </c>
      <c r="E647" s="3">
        <v>18</v>
      </c>
      <c r="F647" s="3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 t="shared" si="97"/>
        <v>BOM</v>
      </c>
      <c r="M647" s="3">
        <v>16</v>
      </c>
      <c r="N647" s="3">
        <v>100</v>
      </c>
      <c r="O647" s="3">
        <v>25</v>
      </c>
    </row>
    <row r="648" spans="1:15" hidden="1" x14ac:dyDescent="0.25">
      <c r="A648" s="5">
        <v>46156</v>
      </c>
      <c r="B648" s="6" t="s">
        <v>58</v>
      </c>
      <c r="C648" s="3" t="s">
        <v>48</v>
      </c>
      <c r="D648" s="3">
        <v>29</v>
      </c>
      <c r="E648" s="3">
        <v>26</v>
      </c>
      <c r="F648" s="3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 t="shared" si="97"/>
        <v>BOM</v>
      </c>
      <c r="M648" s="3">
        <v>23</v>
      </c>
      <c r="N648" s="3">
        <v>100</v>
      </c>
      <c r="O648" s="3">
        <v>20.183486238532112</v>
      </c>
    </row>
    <row r="649" spans="1:15" x14ac:dyDescent="0.25">
      <c r="A649" s="5">
        <v>46157</v>
      </c>
      <c r="B649" s="6" t="s">
        <v>47</v>
      </c>
      <c r="C649" s="3" t="s">
        <v>48</v>
      </c>
      <c r="D649" s="3">
        <v>20</v>
      </c>
      <c r="E649" s="3">
        <v>19</v>
      </c>
      <c r="F649" s="3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 t="shared" si="97"/>
        <v>ATENÇÃO</v>
      </c>
      <c r="M649" s="3">
        <v>12</v>
      </c>
      <c r="N649" s="3">
        <v>99.18</v>
      </c>
      <c r="O649" s="3">
        <v>24.501424501424498</v>
      </c>
    </row>
    <row r="650" spans="1:15" hidden="1" x14ac:dyDescent="0.25">
      <c r="A650" s="5">
        <v>46157</v>
      </c>
      <c r="B650" s="6" t="s">
        <v>49</v>
      </c>
      <c r="C650" s="3" t="s">
        <v>48</v>
      </c>
      <c r="D650" s="3">
        <v>20</v>
      </c>
      <c r="E650" s="3">
        <v>19</v>
      </c>
      <c r="F650" s="3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 t="shared" si="97"/>
        <v>ATENÇÃO</v>
      </c>
      <c r="M650" s="3">
        <v>21</v>
      </c>
      <c r="N650" s="3">
        <v>99.35</v>
      </c>
      <c r="O650" s="3">
        <v>19.852941176470591</v>
      </c>
    </row>
    <row r="651" spans="1:15" hidden="1" x14ac:dyDescent="0.25">
      <c r="A651" s="5">
        <v>46157</v>
      </c>
      <c r="B651" s="6" t="s">
        <v>50</v>
      </c>
      <c r="C651" s="9" t="s">
        <v>48</v>
      </c>
      <c r="D651" s="3">
        <v>26</v>
      </c>
      <c r="E651" s="3">
        <v>26</v>
      </c>
      <c r="F651" s="3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 t="shared" si="97"/>
        <v>EXCELENTE</v>
      </c>
      <c r="M651" s="3">
        <v>29</v>
      </c>
      <c r="N651" s="3">
        <v>99.07</v>
      </c>
      <c r="O651" s="3">
        <v>20.098039215686271</v>
      </c>
    </row>
    <row r="652" spans="1:15" hidden="1" x14ac:dyDescent="0.25">
      <c r="A652" s="5">
        <v>46157</v>
      </c>
      <c r="B652" s="6" t="s">
        <v>51</v>
      </c>
      <c r="C652" s="3" t="s">
        <v>48</v>
      </c>
      <c r="D652" s="3">
        <v>35</v>
      </c>
      <c r="E652" s="3">
        <v>31</v>
      </c>
      <c r="F652" s="3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 t="shared" si="97"/>
        <v>BOM</v>
      </c>
      <c r="M652" s="3">
        <v>30</v>
      </c>
      <c r="N652" s="3">
        <v>98.81</v>
      </c>
      <c r="O652" s="3">
        <v>22.767857142857139</v>
      </c>
    </row>
    <row r="653" spans="1:15" hidden="1" x14ac:dyDescent="0.25">
      <c r="A653" s="5">
        <v>46157</v>
      </c>
      <c r="B653" s="6" t="s">
        <v>52</v>
      </c>
      <c r="C653" s="3" t="s">
        <v>48</v>
      </c>
      <c r="D653" s="3">
        <v>27</v>
      </c>
      <c r="E653" s="3">
        <v>25</v>
      </c>
      <c r="F653" s="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 t="shared" si="97"/>
        <v>BOM</v>
      </c>
      <c r="M653" s="3">
        <v>23</v>
      </c>
      <c r="N653" s="3">
        <v>99.01</v>
      </c>
      <c r="O653" s="3">
        <v>17.766497461928939</v>
      </c>
    </row>
    <row r="654" spans="1:15" hidden="1" x14ac:dyDescent="0.25">
      <c r="A654" s="5">
        <v>46157</v>
      </c>
      <c r="B654" s="6" t="s">
        <v>53</v>
      </c>
      <c r="C654" s="3" t="s">
        <v>48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97"/>
        <v>BOM</v>
      </c>
      <c r="M654" s="3">
        <v>0</v>
      </c>
      <c r="N654" s="3">
        <v>100</v>
      </c>
      <c r="O654" s="3">
        <v>17.241379310344829</v>
      </c>
    </row>
    <row r="655" spans="1:15" hidden="1" x14ac:dyDescent="0.25">
      <c r="A655" s="5">
        <v>46157</v>
      </c>
      <c r="B655" s="6" t="s">
        <v>54</v>
      </c>
      <c r="C655" s="9" t="s">
        <v>48</v>
      </c>
      <c r="D655" s="3">
        <v>28</v>
      </c>
      <c r="E655" s="3">
        <v>25</v>
      </c>
      <c r="F655" s="3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 t="shared" si="97"/>
        <v>BOM</v>
      </c>
      <c r="M655" s="3">
        <v>23</v>
      </c>
      <c r="N655" s="3">
        <v>98.98</v>
      </c>
      <c r="O655" s="3">
        <v>19.35483870967742</v>
      </c>
    </row>
    <row r="656" spans="1:15" hidden="1" x14ac:dyDescent="0.25">
      <c r="A656" s="5">
        <v>46157</v>
      </c>
      <c r="B656" s="6" t="s">
        <v>55</v>
      </c>
      <c r="C656" s="3" t="s">
        <v>48</v>
      </c>
      <c r="D656" s="3">
        <v>17</v>
      </c>
      <c r="E656" s="3">
        <v>14</v>
      </c>
      <c r="F656" s="3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 t="shared" si="97"/>
        <v>CRÍTICO</v>
      </c>
      <c r="M656" s="3">
        <v>14</v>
      </c>
      <c r="N656" s="3">
        <v>98.94</v>
      </c>
      <c r="O656" s="3">
        <v>21.270718232044199</v>
      </c>
    </row>
    <row r="657" spans="1:16" hidden="1" x14ac:dyDescent="0.25">
      <c r="A657" s="5">
        <v>46157</v>
      </c>
      <c r="B657" s="6" t="s">
        <v>56</v>
      </c>
      <c r="C657" s="3" t="s">
        <v>48</v>
      </c>
      <c r="D657" s="3">
        <v>34</v>
      </c>
      <c r="E657" s="3">
        <v>32</v>
      </c>
      <c r="F657" s="3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 t="shared" si="97"/>
        <v>EXCELENTE</v>
      </c>
      <c r="M657" s="3">
        <v>13</v>
      </c>
      <c r="N657" s="3">
        <v>99</v>
      </c>
      <c r="O657" s="3">
        <v>22.010869565217391</v>
      </c>
    </row>
    <row r="658" spans="1:16" hidden="1" x14ac:dyDescent="0.25">
      <c r="A658" s="5">
        <v>46157</v>
      </c>
      <c r="B658" s="6" t="s">
        <v>57</v>
      </c>
      <c r="C658" s="3" t="s">
        <v>48</v>
      </c>
      <c r="D658" s="3">
        <v>28</v>
      </c>
      <c r="E658" s="3">
        <v>25</v>
      </c>
      <c r="F658" s="3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 t="shared" si="97"/>
        <v>BOM</v>
      </c>
      <c r="M658" s="3">
        <v>24</v>
      </c>
      <c r="N658" s="3">
        <v>100</v>
      </c>
      <c r="O658" s="3">
        <v>25</v>
      </c>
    </row>
    <row r="659" spans="1:16" hidden="1" x14ac:dyDescent="0.25">
      <c r="A659" s="5">
        <v>46157</v>
      </c>
      <c r="B659" s="6" t="s">
        <v>58</v>
      </c>
      <c r="C659" s="3" t="s">
        <v>48</v>
      </c>
      <c r="D659" s="3">
        <v>13</v>
      </c>
      <c r="E659" s="3">
        <v>13</v>
      </c>
      <c r="F659" s="3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 t="shared" si="97"/>
        <v>CRÍTICO</v>
      </c>
      <c r="M659" s="3">
        <v>11</v>
      </c>
      <c r="N659" s="3">
        <v>100</v>
      </c>
      <c r="O659" s="3">
        <v>20.183486238532112</v>
      </c>
    </row>
    <row r="660" spans="1:16" x14ac:dyDescent="0.25">
      <c r="A660" s="5">
        <v>46160</v>
      </c>
      <c r="B660" s="6" t="s">
        <v>47</v>
      </c>
      <c r="C660" s="3" t="s">
        <v>48</v>
      </c>
      <c r="D660" s="3">
        <v>42</v>
      </c>
      <c r="E660" s="3">
        <v>27</v>
      </c>
      <c r="F660" s="3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 t="shared" si="97"/>
        <v>EXCELENTE</v>
      </c>
      <c r="M660" s="3">
        <v>19</v>
      </c>
      <c r="N660" s="3">
        <v>99.18</v>
      </c>
      <c r="O660" s="3">
        <v>24.501424501424498</v>
      </c>
    </row>
    <row r="661" spans="1:16" hidden="1" x14ac:dyDescent="0.25">
      <c r="A661" s="5">
        <v>46160</v>
      </c>
      <c r="B661" s="6" t="s">
        <v>49</v>
      </c>
      <c r="C661" s="3" t="s">
        <v>48</v>
      </c>
      <c r="D661" s="3">
        <v>46</v>
      </c>
      <c r="E661" s="3">
        <v>39</v>
      </c>
      <c r="F661" s="3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 t="shared" si="97"/>
        <v>EXCELENTE</v>
      </c>
      <c r="M661" s="3">
        <v>42</v>
      </c>
      <c r="N661" s="3">
        <v>99.35</v>
      </c>
      <c r="O661" s="3">
        <v>19.852941176470591</v>
      </c>
    </row>
    <row r="662" spans="1:16" hidden="1" x14ac:dyDescent="0.25">
      <c r="A662" s="5">
        <v>46160</v>
      </c>
      <c r="B662" s="6" t="s">
        <v>50</v>
      </c>
      <c r="C662" s="9" t="s">
        <v>48</v>
      </c>
      <c r="D662" s="3">
        <v>23</v>
      </c>
      <c r="E662" s="3">
        <v>23</v>
      </c>
      <c r="F662" s="3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 t="shared" si="97"/>
        <v>BOM</v>
      </c>
      <c r="M662" s="3">
        <v>26</v>
      </c>
      <c r="N662" s="3">
        <v>99.07</v>
      </c>
      <c r="O662" s="3">
        <v>20.098039215686271</v>
      </c>
    </row>
    <row r="663" spans="1:16" hidden="1" x14ac:dyDescent="0.25">
      <c r="A663" s="5">
        <v>46160</v>
      </c>
      <c r="B663" s="6" t="s">
        <v>51</v>
      </c>
      <c r="C663" s="3" t="s">
        <v>48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 t="shared" si="97"/>
        <v>BOM</v>
      </c>
      <c r="M663" s="3">
        <v>0</v>
      </c>
      <c r="N663" s="3">
        <v>98.81</v>
      </c>
      <c r="O663" s="3">
        <v>22.767857142857139</v>
      </c>
    </row>
    <row r="664" spans="1:16" hidden="1" x14ac:dyDescent="0.25">
      <c r="A664" s="5">
        <v>46160</v>
      </c>
      <c r="B664" s="6" t="s">
        <v>52</v>
      </c>
      <c r="C664" s="3" t="s">
        <v>48</v>
      </c>
      <c r="D664" s="3">
        <v>29</v>
      </c>
      <c r="E664" s="3">
        <v>27</v>
      </c>
      <c r="F664" s="3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 t="shared" si="97"/>
        <v>EXCELENTE</v>
      </c>
      <c r="M664" s="3">
        <v>25</v>
      </c>
      <c r="N664" s="3">
        <v>99.01</v>
      </c>
      <c r="O664" s="3">
        <v>17.766497461928939</v>
      </c>
    </row>
    <row r="665" spans="1:16" hidden="1" x14ac:dyDescent="0.25">
      <c r="A665" s="5">
        <v>46160</v>
      </c>
      <c r="B665" s="6" t="s">
        <v>53</v>
      </c>
      <c r="C665" s="3" t="s">
        <v>48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 t="shared" si="97"/>
        <v>BOM</v>
      </c>
      <c r="M665" s="3">
        <v>0</v>
      </c>
      <c r="N665" s="3">
        <v>100</v>
      </c>
      <c r="O665" s="3">
        <v>17.241379310344829</v>
      </c>
    </row>
    <row r="666" spans="1:16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P666"/>
    </row>
    <row r="667" spans="1:16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P667"/>
    </row>
    <row r="668" spans="1:16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P668"/>
    </row>
    <row r="669" spans="1:16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P669"/>
    </row>
    <row r="670" spans="1:16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P670"/>
    </row>
    <row r="671" spans="1:16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P671"/>
    </row>
    <row r="672" spans="1:16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P672"/>
    </row>
    <row r="673" spans="1:15" customFormat="1" hidden="1" x14ac:dyDescent="0.25">
      <c r="A673" s="5"/>
      <c r="B673" s="6"/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3"/>
      <c r="M673" s="3"/>
      <c r="N673" s="3"/>
      <c r="O673" s="3"/>
    </row>
    <row r="674" spans="1:15" customFormat="1" hidden="1" x14ac:dyDescent="0.25">
      <c r="A674" s="5"/>
      <c r="B674" s="6"/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3"/>
      <c r="M674" s="3"/>
      <c r="N674" s="3"/>
      <c r="O674" s="3"/>
    </row>
    <row r="675" spans="1:15" customFormat="1" hidden="1" x14ac:dyDescent="0.25">
      <c r="A675" s="5"/>
      <c r="B675" s="6"/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3"/>
      <c r="M675" s="3"/>
      <c r="N675" s="3"/>
      <c r="O675" s="3"/>
    </row>
    <row r="676" spans="1:15" customFormat="1" hidden="1" x14ac:dyDescent="0.25">
      <c r="A676" s="5"/>
      <c r="B676" s="6"/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3"/>
      <c r="M676" s="3"/>
      <c r="N676" s="3"/>
      <c r="O676" s="3"/>
    </row>
    <row r="677" spans="1:15" customFormat="1" hidden="1" x14ac:dyDescent="0.25">
      <c r="A677" s="5"/>
      <c r="B677" s="6"/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3"/>
      <c r="M677" s="3"/>
      <c r="N677" s="3"/>
      <c r="O677" s="3"/>
    </row>
    <row r="678" spans="1:15" customFormat="1" hidden="1" x14ac:dyDescent="0.25">
      <c r="A678" s="5"/>
      <c r="B678" s="6"/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3"/>
      <c r="M678" s="3"/>
      <c r="N678" s="3"/>
      <c r="O678" s="3"/>
    </row>
    <row r="679" spans="1:15" customFormat="1" hidden="1" x14ac:dyDescent="0.25">
      <c r="A679" s="5"/>
      <c r="B679" s="6"/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3"/>
      <c r="M679" s="3"/>
      <c r="N679" s="3"/>
      <c r="O679" s="3"/>
    </row>
    <row r="680" spans="1:15" customFormat="1" hidden="1" x14ac:dyDescent="0.25">
      <c r="A680" s="5"/>
      <c r="B680" s="6"/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3"/>
      <c r="M680" s="3"/>
      <c r="N680" s="3"/>
      <c r="O680" s="3"/>
    </row>
    <row r="681" spans="1:15" customFormat="1" hidden="1" x14ac:dyDescent="0.25">
      <c r="A681" s="5"/>
      <c r="B681" s="6"/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3"/>
      <c r="M681" s="3"/>
      <c r="N681" s="3"/>
      <c r="O681" s="3"/>
    </row>
    <row r="682" spans="1:15" customFormat="1" hidden="1" x14ac:dyDescent="0.25">
      <c r="A682" s="5"/>
      <c r="B682" s="6"/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3"/>
      <c r="M682" s="3"/>
      <c r="N682" s="3"/>
      <c r="O682" s="3"/>
    </row>
    <row r="683" spans="1:15" customFormat="1" hidden="1" x14ac:dyDescent="0.25">
      <c r="A683" s="5"/>
      <c r="B683" s="6"/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3"/>
      <c r="M683" s="3"/>
      <c r="N683" s="3"/>
      <c r="O683" s="3"/>
    </row>
    <row r="684" spans="1:15" customFormat="1" hidden="1" x14ac:dyDescent="0.25">
      <c r="A684" s="5"/>
      <c r="B684" s="6"/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3"/>
      <c r="M684" s="3"/>
      <c r="N684" s="3"/>
      <c r="O684" s="3"/>
    </row>
    <row r="685" spans="1:15" customFormat="1" hidden="1" x14ac:dyDescent="0.25">
      <c r="A685" s="5"/>
      <c r="B685" s="6"/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3"/>
      <c r="M685" s="3"/>
      <c r="N685" s="3"/>
      <c r="O685" s="3"/>
    </row>
    <row r="686" spans="1:15" customFormat="1" hidden="1" x14ac:dyDescent="0.25">
      <c r="A686" s="5"/>
      <c r="B686" s="6"/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3"/>
      <c r="M686" s="3"/>
      <c r="N686" s="3"/>
      <c r="O686" s="3"/>
    </row>
    <row r="687" spans="1:15" customFormat="1" hidden="1" x14ac:dyDescent="0.25">
      <c r="A687" s="5"/>
      <c r="B687" s="6"/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3"/>
      <c r="M687" s="3"/>
      <c r="N687" s="3"/>
      <c r="O687" s="3"/>
    </row>
    <row r="688" spans="1:15" customFormat="1" hidden="1" x14ac:dyDescent="0.25">
      <c r="A688" s="5"/>
      <c r="B688" s="6"/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3"/>
      <c r="M688" s="3"/>
      <c r="N688" s="3"/>
      <c r="O688" s="3"/>
    </row>
    <row r="689" spans="1:15" customFormat="1" hidden="1" x14ac:dyDescent="0.25">
      <c r="A689" s="5"/>
      <c r="B689" s="6"/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3"/>
      <c r="M689" s="3"/>
      <c r="N689" s="3"/>
      <c r="O689" s="3"/>
    </row>
    <row r="690" spans="1:15" customFormat="1" hidden="1" x14ac:dyDescent="0.25">
      <c r="A690" s="5"/>
      <c r="B690" s="6"/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3"/>
      <c r="M690" s="3"/>
      <c r="N690" s="3"/>
      <c r="O690" s="3"/>
    </row>
    <row r="691" spans="1:15" customFormat="1" hidden="1" x14ac:dyDescent="0.25">
      <c r="A691" s="5"/>
      <c r="B691" s="6"/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3"/>
      <c r="M691" s="3"/>
      <c r="N691" s="3"/>
      <c r="O691" s="3"/>
    </row>
    <row r="692" spans="1:15" customFormat="1" hidden="1" x14ac:dyDescent="0.25">
      <c r="A692" s="5"/>
      <c r="B692" s="6"/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3"/>
      <c r="M692" s="3"/>
      <c r="N692" s="3"/>
      <c r="O692" s="3"/>
    </row>
    <row r="693" spans="1:15" customFormat="1" hidden="1" x14ac:dyDescent="0.25">
      <c r="A693" s="5"/>
      <c r="B693" s="6"/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3"/>
      <c r="M693" s="3"/>
      <c r="N693" s="3"/>
      <c r="O693" s="3"/>
    </row>
    <row r="694" spans="1:15" customFormat="1" hidden="1" x14ac:dyDescent="0.25">
      <c r="A694" s="5"/>
      <c r="B694" s="6"/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3"/>
      <c r="M694" s="3"/>
      <c r="N694" s="3"/>
      <c r="O694" s="3"/>
    </row>
    <row r="695" spans="1:15" customFormat="1" hidden="1" x14ac:dyDescent="0.25">
      <c r="A695" s="5"/>
      <c r="B695" s="6"/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3"/>
      <c r="M695" s="3"/>
      <c r="N695" s="3"/>
      <c r="O695" s="3"/>
    </row>
    <row r="696" spans="1:15" customFormat="1" hidden="1" x14ac:dyDescent="0.25">
      <c r="A696" s="5"/>
      <c r="B696" s="6"/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3"/>
      <c r="M696" s="3"/>
      <c r="N696" s="3"/>
      <c r="O696" s="3"/>
    </row>
    <row r="697" spans="1:15" customFormat="1" hidden="1" x14ac:dyDescent="0.25">
      <c r="A697" s="5"/>
      <c r="B697" s="6"/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3"/>
      <c r="M697" s="3"/>
      <c r="N697" s="3"/>
      <c r="O697" s="3"/>
    </row>
    <row r="698" spans="1:15" customFormat="1" hidden="1" x14ac:dyDescent="0.25">
      <c r="A698" s="5"/>
      <c r="B698" s="6"/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3"/>
      <c r="M698" s="3"/>
      <c r="N698" s="3"/>
      <c r="O698" s="3"/>
    </row>
    <row r="699" spans="1:15" customFormat="1" hidden="1" x14ac:dyDescent="0.25">
      <c r="A699" s="5"/>
      <c r="B699" s="6"/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3"/>
      <c r="M699" s="3"/>
      <c r="N699" s="3"/>
      <c r="O699" s="3"/>
    </row>
    <row r="700" spans="1:15" customFormat="1" hidden="1" x14ac:dyDescent="0.25">
      <c r="A700" s="5"/>
      <c r="B700" s="6"/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3"/>
      <c r="M700" s="3"/>
      <c r="N700" s="3"/>
      <c r="O700" s="3"/>
    </row>
    <row r="701" spans="1:15" customFormat="1" hidden="1" x14ac:dyDescent="0.25">
      <c r="A701" s="5"/>
      <c r="B701" s="6"/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3"/>
      <c r="M701" s="3"/>
      <c r="N701" s="3"/>
      <c r="O701" s="3"/>
    </row>
    <row r="702" spans="1:15" customFormat="1" hidden="1" x14ac:dyDescent="0.25">
      <c r="A702" s="5"/>
      <c r="B702" s="6"/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3"/>
      <c r="M702" s="3"/>
      <c r="N702" s="3"/>
      <c r="O702" s="3"/>
    </row>
    <row r="703" spans="1:15" customFormat="1" hidden="1" x14ac:dyDescent="0.25">
      <c r="A703" s="5"/>
      <c r="B703" s="6"/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3"/>
      <c r="M703" s="3"/>
      <c r="N703" s="3"/>
      <c r="O703" s="3"/>
    </row>
    <row r="704" spans="1:15" customFormat="1" hidden="1" x14ac:dyDescent="0.25">
      <c r="A704" s="5"/>
      <c r="B704" s="6"/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3"/>
      <c r="M704" s="3"/>
      <c r="N704" s="3"/>
      <c r="O704" s="3"/>
    </row>
    <row r="705" spans="1:15" customFormat="1" hidden="1" x14ac:dyDescent="0.25">
      <c r="A705" s="5"/>
      <c r="B705" s="6"/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3"/>
      <c r="M705" s="3"/>
      <c r="N705" s="3"/>
      <c r="O705" s="3"/>
    </row>
    <row r="706" spans="1:15" customFormat="1" hidden="1" x14ac:dyDescent="0.25">
      <c r="A706" s="5"/>
      <c r="B706" s="6"/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3"/>
      <c r="M706" s="3"/>
      <c r="N706" s="3"/>
      <c r="O706" s="3"/>
    </row>
    <row r="707" spans="1:15" customFormat="1" hidden="1" x14ac:dyDescent="0.25">
      <c r="A707" s="5"/>
      <c r="B707" s="6"/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3"/>
      <c r="M707" s="3"/>
      <c r="N707" s="3"/>
      <c r="O707" s="3"/>
    </row>
    <row r="708" spans="1:15" customFormat="1" hidden="1" x14ac:dyDescent="0.25">
      <c r="A708" s="5"/>
      <c r="B708" s="6"/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3"/>
      <c r="M708" s="3"/>
      <c r="N708" s="3"/>
      <c r="O708" s="3"/>
    </row>
    <row r="709" spans="1:15" customFormat="1" hidden="1" x14ac:dyDescent="0.25">
      <c r="A709" s="5"/>
      <c r="B709" s="6"/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/>
      <c r="M709" s="3"/>
      <c r="N709" s="3"/>
      <c r="O709" s="3"/>
    </row>
    <row r="710" spans="1:15" customFormat="1" hidden="1" x14ac:dyDescent="0.25">
      <c r="A710" s="5"/>
      <c r="B710" s="6"/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3"/>
      <c r="M710" s="3"/>
      <c r="N710" s="3"/>
      <c r="O710" s="3"/>
    </row>
    <row r="711" spans="1:15" customFormat="1" hidden="1" x14ac:dyDescent="0.25">
      <c r="A711" s="5"/>
      <c r="B711" s="6"/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3"/>
      <c r="M711" s="3"/>
      <c r="N711" s="3"/>
      <c r="O711" s="3"/>
    </row>
    <row r="712" spans="1:15" customFormat="1" hidden="1" x14ac:dyDescent="0.25">
      <c r="A712" s="5"/>
      <c r="B712" s="6"/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3"/>
      <c r="M712" s="3"/>
      <c r="N712" s="3"/>
      <c r="O712" s="3"/>
    </row>
    <row r="713" spans="1:15" customFormat="1" hidden="1" x14ac:dyDescent="0.25">
      <c r="A713" s="5"/>
      <c r="B713" s="6"/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3"/>
      <c r="M713" s="3"/>
      <c r="N713" s="3"/>
      <c r="O713" s="3"/>
    </row>
    <row r="714" spans="1:15" customFormat="1" hidden="1" x14ac:dyDescent="0.25">
      <c r="A714" s="5"/>
      <c r="B714" s="6"/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/>
      <c r="M714" s="3"/>
      <c r="N714" s="3"/>
      <c r="O714" s="3"/>
    </row>
    <row r="715" spans="1:15" customFormat="1" hidden="1" x14ac:dyDescent="0.25">
      <c r="A715" s="5"/>
      <c r="B715" s="6"/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3"/>
      <c r="M715" s="3"/>
      <c r="N715" s="3"/>
      <c r="O715" s="3"/>
    </row>
    <row r="716" spans="1:15" customFormat="1" hidden="1" x14ac:dyDescent="0.25">
      <c r="A716" s="5"/>
      <c r="B716" s="6"/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3"/>
      <c r="M716" s="3"/>
      <c r="N716" s="3"/>
      <c r="O716" s="3"/>
    </row>
    <row r="717" spans="1:15" customFormat="1" hidden="1" x14ac:dyDescent="0.25">
      <c r="A717" s="5"/>
      <c r="B717" s="6"/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3"/>
      <c r="M717" s="3"/>
      <c r="N717" s="3"/>
      <c r="O717" s="3"/>
    </row>
    <row r="718" spans="1:15" customFormat="1" hidden="1" x14ac:dyDescent="0.25">
      <c r="A718" s="5"/>
      <c r="B718" s="6"/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3"/>
      <c r="M718" s="3"/>
      <c r="N718" s="3"/>
      <c r="O718" s="3"/>
    </row>
    <row r="719" spans="1:15" customFormat="1" hidden="1" x14ac:dyDescent="0.25">
      <c r="A719" s="5"/>
      <c r="B719" s="6"/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3"/>
      <c r="M719" s="3"/>
      <c r="N719" s="3"/>
      <c r="O719" s="3"/>
    </row>
    <row r="720" spans="1:15" customFormat="1" hidden="1" x14ac:dyDescent="0.25">
      <c r="A720" s="5"/>
      <c r="B720" s="6"/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3"/>
      <c r="M720" s="3"/>
      <c r="N720" s="3"/>
      <c r="O720" s="3"/>
    </row>
    <row r="721" spans="1:16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P721"/>
    </row>
    <row r="722" spans="1:16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P722"/>
    </row>
    <row r="723" spans="1:16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P723"/>
    </row>
    <row r="724" spans="1:16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P724"/>
    </row>
    <row r="725" spans="1:16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P725"/>
    </row>
    <row r="726" spans="1:16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P726"/>
    </row>
    <row r="727" spans="1:16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P727"/>
    </row>
    <row r="728" spans="1:16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P728"/>
    </row>
    <row r="729" spans="1:16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P729"/>
    </row>
    <row r="730" spans="1:16" hidden="1" x14ac:dyDescent="0.25">
      <c r="A730" s="5">
        <v>46160</v>
      </c>
      <c r="B730" s="6" t="s">
        <v>54</v>
      </c>
      <c r="C730" s="9" t="s">
        <v>48</v>
      </c>
      <c r="D730" s="3">
        <v>20</v>
      </c>
      <c r="E730" s="3">
        <v>20</v>
      </c>
      <c r="F730" s="3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 t="shared" ref="L730:L745" si="98">IF(K730&lt;-5,"CRÍTICO",IF(K730&lt;0,"ATENÇÃO",IF(K730&lt;=5,"BOM","EXCELENTE")))</f>
        <v>BOM</v>
      </c>
      <c r="M730" s="3">
        <v>21</v>
      </c>
      <c r="N730" s="3">
        <v>98.98</v>
      </c>
      <c r="O730" s="3">
        <v>19.35483870967742</v>
      </c>
    </row>
    <row r="731" spans="1:16" hidden="1" x14ac:dyDescent="0.25">
      <c r="A731" s="5">
        <v>46160</v>
      </c>
      <c r="B731" s="6" t="s">
        <v>55</v>
      </c>
      <c r="C731" s="3" t="s">
        <v>48</v>
      </c>
      <c r="D731" s="3">
        <v>28</v>
      </c>
      <c r="E731" s="3">
        <v>22</v>
      </c>
      <c r="F731" s="3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 t="shared" si="98"/>
        <v>BOM</v>
      </c>
      <c r="M731" s="3">
        <v>19</v>
      </c>
      <c r="N731" s="3">
        <v>98.94</v>
      </c>
      <c r="O731" s="3">
        <v>21.270718232044199</v>
      </c>
    </row>
    <row r="732" spans="1:16" hidden="1" x14ac:dyDescent="0.25">
      <c r="A732" s="5">
        <v>46160</v>
      </c>
      <c r="B732" s="6" t="s">
        <v>56</v>
      </c>
      <c r="C732" s="3" t="s">
        <v>48</v>
      </c>
      <c r="D732" s="3">
        <v>25</v>
      </c>
      <c r="E732" s="3">
        <v>23</v>
      </c>
      <c r="F732" s="3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 t="shared" si="98"/>
        <v>BOM</v>
      </c>
      <c r="M732" s="3">
        <v>20</v>
      </c>
      <c r="N732" s="3">
        <v>99</v>
      </c>
      <c r="O732" s="3">
        <v>22.010869565217391</v>
      </c>
    </row>
    <row r="733" spans="1:16" hidden="1" x14ac:dyDescent="0.25">
      <c r="A733" s="5">
        <v>46160</v>
      </c>
      <c r="B733" s="6" t="s">
        <v>57</v>
      </c>
      <c r="C733" s="3" t="s">
        <v>48</v>
      </c>
      <c r="D733" s="3">
        <v>28</v>
      </c>
      <c r="E733" s="3">
        <v>26</v>
      </c>
      <c r="F733" s="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 t="shared" si="98"/>
        <v>BOM</v>
      </c>
      <c r="M733" s="3">
        <v>23</v>
      </c>
      <c r="N733" s="3">
        <v>100</v>
      </c>
      <c r="O733" s="3">
        <v>25</v>
      </c>
    </row>
    <row r="734" spans="1:16" hidden="1" x14ac:dyDescent="0.25">
      <c r="A734" s="5">
        <v>46160</v>
      </c>
      <c r="B734" s="6" t="s">
        <v>58</v>
      </c>
      <c r="C734" s="3" t="s">
        <v>48</v>
      </c>
      <c r="D734" s="3">
        <v>16</v>
      </c>
      <c r="E734" s="3">
        <v>15</v>
      </c>
      <c r="F734" s="3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 t="shared" si="98"/>
        <v>CRÍTICO</v>
      </c>
      <c r="M734" s="3">
        <v>13</v>
      </c>
      <c r="N734" s="3">
        <v>100</v>
      </c>
      <c r="O734" s="3">
        <v>20.183486238532112</v>
      </c>
    </row>
    <row r="735" spans="1:16" x14ac:dyDescent="0.25">
      <c r="A735" s="7">
        <v>46161</v>
      </c>
      <c r="B735" s="8" t="s">
        <v>47</v>
      </c>
      <c r="C735" s="9" t="s">
        <v>48</v>
      </c>
      <c r="D735" s="3">
        <v>38</v>
      </c>
      <c r="E735" s="3">
        <v>33</v>
      </c>
      <c r="F735" s="3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 t="shared" si="98"/>
        <v>EXCELENTE</v>
      </c>
      <c r="M735" s="3">
        <v>17</v>
      </c>
      <c r="N735" s="3">
        <v>99.18</v>
      </c>
      <c r="O735" s="3">
        <v>24.501424501424498</v>
      </c>
    </row>
    <row r="736" spans="1:16" hidden="1" x14ac:dyDescent="0.25">
      <c r="A736" s="7">
        <v>46161</v>
      </c>
      <c r="B736" s="8" t="s">
        <v>49</v>
      </c>
      <c r="C736" s="9" t="s">
        <v>48</v>
      </c>
      <c r="D736" s="3">
        <v>33</v>
      </c>
      <c r="E736" s="3">
        <v>31</v>
      </c>
      <c r="F736" s="3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 t="shared" si="98"/>
        <v>EXCELENTE</v>
      </c>
      <c r="M736" s="3">
        <v>33</v>
      </c>
      <c r="N736" s="3">
        <v>99.35</v>
      </c>
      <c r="O736" s="3">
        <v>19.852941176470591</v>
      </c>
    </row>
    <row r="737" spans="1:16" hidden="1" x14ac:dyDescent="0.25">
      <c r="A737" s="7">
        <v>46161</v>
      </c>
      <c r="B737" s="8" t="s">
        <v>50</v>
      </c>
      <c r="C737" s="9" t="s">
        <v>48</v>
      </c>
      <c r="D737" s="3">
        <v>33</v>
      </c>
      <c r="E737" s="3">
        <v>32</v>
      </c>
      <c r="F737" s="3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 t="shared" si="98"/>
        <v>EXCELENTE</v>
      </c>
      <c r="M737" s="3">
        <v>29</v>
      </c>
      <c r="N737" s="3">
        <v>99.07</v>
      </c>
      <c r="O737" s="3">
        <v>20.098039215686271</v>
      </c>
    </row>
    <row r="738" spans="1:16" hidden="1" x14ac:dyDescent="0.25">
      <c r="A738" s="7">
        <v>46161</v>
      </c>
      <c r="B738" s="8" t="s">
        <v>51</v>
      </c>
      <c r="C738" s="9" t="s">
        <v>48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 t="shared" si="98"/>
        <v>BOM</v>
      </c>
      <c r="M738" s="3">
        <v>0</v>
      </c>
      <c r="N738" s="3">
        <v>98.81</v>
      </c>
      <c r="O738" s="3">
        <v>22.767857142857139</v>
      </c>
    </row>
    <row r="739" spans="1:16" hidden="1" x14ac:dyDescent="0.25">
      <c r="A739" s="7">
        <v>46161</v>
      </c>
      <c r="B739" s="8" t="s">
        <v>52</v>
      </c>
      <c r="C739" s="9" t="s">
        <v>48</v>
      </c>
      <c r="D739" s="3">
        <v>23</v>
      </c>
      <c r="E739" s="3">
        <v>22</v>
      </c>
      <c r="F739" s="3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 t="shared" si="98"/>
        <v>BOM</v>
      </c>
      <c r="M739" s="3">
        <v>23</v>
      </c>
      <c r="N739" s="3">
        <v>99.01</v>
      </c>
      <c r="O739" s="3">
        <v>17.766497461928939</v>
      </c>
    </row>
    <row r="740" spans="1:16" hidden="1" x14ac:dyDescent="0.25">
      <c r="A740" s="7">
        <v>46161</v>
      </c>
      <c r="B740" s="8" t="s">
        <v>53</v>
      </c>
      <c r="C740" s="9" t="s">
        <v>48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 t="shared" si="98"/>
        <v>BOM</v>
      </c>
      <c r="M740" s="3">
        <v>0</v>
      </c>
      <c r="N740" s="3">
        <v>100</v>
      </c>
      <c r="O740" s="3">
        <v>17.241379310344829</v>
      </c>
    </row>
    <row r="741" spans="1:16" hidden="1" x14ac:dyDescent="0.25">
      <c r="A741" s="7">
        <v>46161</v>
      </c>
      <c r="B741" s="8" t="s">
        <v>54</v>
      </c>
      <c r="C741" s="9" t="s">
        <v>48</v>
      </c>
      <c r="D741" s="3">
        <v>28</v>
      </c>
      <c r="E741" s="3">
        <v>25</v>
      </c>
      <c r="F741" s="3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 t="shared" si="98"/>
        <v>BOM</v>
      </c>
      <c r="M741" s="3">
        <v>22</v>
      </c>
      <c r="N741" s="3">
        <v>98.98</v>
      </c>
      <c r="O741" s="3">
        <v>19.35483870967742</v>
      </c>
    </row>
    <row r="742" spans="1:16" hidden="1" x14ac:dyDescent="0.25">
      <c r="A742" s="7">
        <v>46161</v>
      </c>
      <c r="B742" s="8" t="s">
        <v>55</v>
      </c>
      <c r="C742" s="9" t="s">
        <v>48</v>
      </c>
      <c r="D742" s="3">
        <v>24</v>
      </c>
      <c r="E742" s="3">
        <v>20</v>
      </c>
      <c r="F742" s="3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 t="shared" si="98"/>
        <v>ATENÇÃO</v>
      </c>
      <c r="M742" s="3">
        <v>16</v>
      </c>
      <c r="N742" s="3">
        <v>98.94</v>
      </c>
      <c r="O742" s="3">
        <v>21.270718232044199</v>
      </c>
    </row>
    <row r="743" spans="1:16" hidden="1" x14ac:dyDescent="0.25">
      <c r="A743" s="7">
        <v>46161</v>
      </c>
      <c r="B743" s="8" t="s">
        <v>56</v>
      </c>
      <c r="C743" s="9" t="s">
        <v>48</v>
      </c>
      <c r="D743" s="3">
        <v>28</v>
      </c>
      <c r="E743" s="3">
        <v>25</v>
      </c>
      <c r="F743" s="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 t="shared" si="98"/>
        <v>BOM</v>
      </c>
      <c r="M743" s="3">
        <v>45</v>
      </c>
      <c r="N743" s="3">
        <v>99</v>
      </c>
      <c r="O743" s="3">
        <v>22.010869565217391</v>
      </c>
    </row>
    <row r="744" spans="1:16" hidden="1" x14ac:dyDescent="0.25">
      <c r="A744" s="7">
        <v>46161</v>
      </c>
      <c r="B744" s="8" t="s">
        <v>57</v>
      </c>
      <c r="C744" s="9" t="s">
        <v>48</v>
      </c>
      <c r="D744" s="3">
        <v>22</v>
      </c>
      <c r="E744" s="3">
        <v>21</v>
      </c>
      <c r="F744" s="3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 t="shared" si="98"/>
        <v>BOM</v>
      </c>
      <c r="M744" s="3">
        <v>19</v>
      </c>
      <c r="N744" s="3">
        <v>100</v>
      </c>
      <c r="O744" s="3">
        <v>25</v>
      </c>
    </row>
    <row r="745" spans="1:16" hidden="1" x14ac:dyDescent="0.25">
      <c r="A745" s="7">
        <v>46161</v>
      </c>
      <c r="B745" s="8" t="s">
        <v>58</v>
      </c>
      <c r="C745" s="9" t="s">
        <v>48</v>
      </c>
      <c r="D745" s="3">
        <v>25</v>
      </c>
      <c r="E745" s="3">
        <v>23</v>
      </c>
      <c r="F745" s="3">
        <v>17.03</v>
      </c>
      <c r="G745" s="3">
        <v>0</v>
      </c>
      <c r="H745" s="3">
        <v>0</v>
      </c>
      <c r="I745" s="3">
        <f t="shared" ref="I745:I750" si="99">E745+G745+H745</f>
        <v>23</v>
      </c>
      <c r="J745" s="3">
        <f t="shared" ref="J745:J750" si="100"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 t="shared" ref="K745:K750" si="101">I745-J745</f>
        <v>0</v>
      </c>
      <c r="L745" s="3" t="str">
        <f t="shared" si="98"/>
        <v>BOM</v>
      </c>
      <c r="M745" s="3">
        <v>22</v>
      </c>
      <c r="N745" s="3">
        <v>100</v>
      </c>
      <c r="O745" s="3">
        <v>20.183486238532112</v>
      </c>
    </row>
    <row r="746" spans="1:16" x14ac:dyDescent="0.25">
      <c r="A746" s="7">
        <v>46162</v>
      </c>
      <c r="B746" s="8" t="s">
        <v>47</v>
      </c>
      <c r="C746" s="9" t="s">
        <v>48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 t="shared" si="99"/>
        <v>31</v>
      </c>
      <c r="J746" s="3">
        <f t="shared" si="100"/>
        <v>21</v>
      </c>
      <c r="K746" s="3">
        <f t="shared" si="101"/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99.18</v>
      </c>
      <c r="O746" s="3">
        <v>24.501424501424498</v>
      </c>
    </row>
    <row r="747" spans="1:16" hidden="1" x14ac:dyDescent="0.25">
      <c r="A747" s="11">
        <v>46056</v>
      </c>
      <c r="B747" t="s">
        <v>22</v>
      </c>
      <c r="C747" t="s">
        <v>23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si="99"/>
        <v>31</v>
      </c>
      <c r="J747" s="3">
        <f t="shared" si="100"/>
        <v>21</v>
      </c>
      <c r="K747" s="3">
        <f t="shared" si="101"/>
        <v>10</v>
      </c>
      <c r="L747" s="3" t="str">
        <f>IF(K747&lt;-5,"CRÍTICO",IF(K747&lt;0,"ATENÇÃO",IF(K747&lt;=5,"BOM","EXCELENTE")))</f>
        <v>EXCELENTE</v>
      </c>
      <c r="M747">
        <v>31</v>
      </c>
      <c r="N747">
        <v>96.67</v>
      </c>
      <c r="O747">
        <v>31.451612903225811</v>
      </c>
      <c r="P747"/>
    </row>
    <row r="748" spans="1:16" hidden="1" x14ac:dyDescent="0.25">
      <c r="A748" s="11">
        <v>46057</v>
      </c>
      <c r="B748" t="s">
        <v>22</v>
      </c>
      <c r="C748" t="s">
        <v>23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99"/>
        <v>19</v>
      </c>
      <c r="J748" s="3">
        <f t="shared" si="100"/>
        <v>21</v>
      </c>
      <c r="K748" s="3">
        <f t="shared" si="101"/>
        <v>-2</v>
      </c>
      <c r="L748" s="3" t="str">
        <f>IF(K748&lt;-5,"CRÍTICO",IF(K748&lt;0,"ATENÇÃO",IF(K748&lt;=5,"BOM","EXCELENTE")))</f>
        <v>ATENÇÃO</v>
      </c>
      <c r="M748">
        <v>18</v>
      </c>
      <c r="N748">
        <v>96.67</v>
      </c>
      <c r="O748">
        <v>31.451612903225811</v>
      </c>
      <c r="P748"/>
    </row>
    <row r="749" spans="1:16" hidden="1" x14ac:dyDescent="0.25">
      <c r="A749" s="7">
        <v>46162</v>
      </c>
      <c r="B749" s="8" t="s">
        <v>49</v>
      </c>
      <c r="C749" s="9" t="s">
        <v>48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 t="shared" si="99"/>
        <v>25</v>
      </c>
      <c r="J749" s="3">
        <f t="shared" si="100"/>
        <v>21</v>
      </c>
      <c r="K749" s="3">
        <f t="shared" si="101"/>
        <v>4</v>
      </c>
      <c r="L749" s="3" t="str">
        <f t="shared" ref="L749:L774" si="102">IF(K749&lt;-5,"CRÍTICO",IF(K749&lt;0,"ATENÇÃO",IF(K749&lt;=5,"OPORTUNO","MUITO BOM")))</f>
        <v>OPORTUNO</v>
      </c>
      <c r="M749" s="3">
        <v>29</v>
      </c>
      <c r="N749" s="3">
        <v>99.35</v>
      </c>
      <c r="O749" s="3">
        <v>19.852941176470591</v>
      </c>
    </row>
    <row r="750" spans="1:16" hidden="1" x14ac:dyDescent="0.25">
      <c r="A750" s="7">
        <v>46162</v>
      </c>
      <c r="B750" s="8" t="s">
        <v>50</v>
      </c>
      <c r="C750" s="9" t="s">
        <v>48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 t="shared" si="99"/>
        <v>27</v>
      </c>
      <c r="J750" s="3">
        <f t="shared" si="100"/>
        <v>21</v>
      </c>
      <c r="K750" s="3">
        <f t="shared" si="101"/>
        <v>6</v>
      </c>
      <c r="L750" s="3" t="str">
        <f t="shared" si="102"/>
        <v>MUITO BOM</v>
      </c>
      <c r="M750" s="3">
        <v>25</v>
      </c>
      <c r="N750" s="3">
        <v>99.07</v>
      </c>
      <c r="O750" s="3">
        <v>20.098039215686271</v>
      </c>
    </row>
    <row r="751" spans="1:16" hidden="1" x14ac:dyDescent="0.25">
      <c r="A751" s="7">
        <v>46162</v>
      </c>
      <c r="B751" s="8" t="s">
        <v>51</v>
      </c>
      <c r="C751" s="9" t="s">
        <v>48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 t="shared" si="102"/>
        <v>OPORTUNO</v>
      </c>
      <c r="M751" s="3">
        <v>0</v>
      </c>
      <c r="N751" s="3">
        <v>98.81</v>
      </c>
      <c r="O751" s="3">
        <v>22.767857142857139</v>
      </c>
    </row>
    <row r="752" spans="1:16" hidden="1" x14ac:dyDescent="0.25">
      <c r="A752" s="7">
        <v>46162</v>
      </c>
      <c r="B752" s="8" t="s">
        <v>52</v>
      </c>
      <c r="C752" s="9" t="s">
        <v>48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 t="shared" si="102"/>
        <v>MUITO BOM</v>
      </c>
      <c r="M752" s="3">
        <v>28</v>
      </c>
      <c r="N752" s="3">
        <v>99.01</v>
      </c>
      <c r="O752" s="3">
        <v>17.766497461928939</v>
      </c>
    </row>
    <row r="753" spans="1:15" hidden="1" x14ac:dyDescent="0.25">
      <c r="A753" s="7">
        <v>46162</v>
      </c>
      <c r="B753" s="8" t="s">
        <v>53</v>
      </c>
      <c r="C753" s="9" t="s">
        <v>48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 t="shared" si="102"/>
        <v>OPORTUNO</v>
      </c>
      <c r="M753" s="3">
        <v>0</v>
      </c>
      <c r="N753" s="3">
        <v>100</v>
      </c>
      <c r="O753" s="3">
        <v>17.241379310344829</v>
      </c>
    </row>
    <row r="754" spans="1:15" hidden="1" x14ac:dyDescent="0.25">
      <c r="A754" s="7">
        <v>46162</v>
      </c>
      <c r="B754" s="8" t="s">
        <v>54</v>
      </c>
      <c r="C754" s="9" t="s">
        <v>48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 t="shared" si="102"/>
        <v>OPORTUNO</v>
      </c>
      <c r="M754" s="3">
        <v>22</v>
      </c>
      <c r="N754" s="3">
        <v>98.98</v>
      </c>
      <c r="O754" s="3">
        <v>19.35483870967742</v>
      </c>
    </row>
    <row r="755" spans="1:15" hidden="1" x14ac:dyDescent="0.25">
      <c r="A755" s="7">
        <v>46162</v>
      </c>
      <c r="B755" s="8" t="s">
        <v>55</v>
      </c>
      <c r="C755" s="9" t="s">
        <v>48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 t="shared" si="102"/>
        <v>OPORTUNO</v>
      </c>
      <c r="M755" s="3">
        <v>23</v>
      </c>
      <c r="N755" s="3">
        <v>98.94</v>
      </c>
      <c r="O755" s="3">
        <v>21.270718232044199</v>
      </c>
    </row>
    <row r="756" spans="1:15" hidden="1" x14ac:dyDescent="0.25">
      <c r="A756" s="7">
        <v>46162</v>
      </c>
      <c r="B756" s="8" t="s">
        <v>56</v>
      </c>
      <c r="C756" s="9" t="s">
        <v>48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 t="shared" si="102"/>
        <v>OPORTUNO</v>
      </c>
      <c r="M756" s="3">
        <v>19</v>
      </c>
      <c r="N756" s="3">
        <v>99</v>
      </c>
      <c r="O756" s="3">
        <v>22.010869565217391</v>
      </c>
    </row>
    <row r="757" spans="1:15" hidden="1" x14ac:dyDescent="0.25">
      <c r="A757" s="7">
        <v>46162</v>
      </c>
      <c r="B757" s="8" t="s">
        <v>57</v>
      </c>
      <c r="C757" s="9" t="s">
        <v>48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 t="shared" si="102"/>
        <v>OPORTUNO</v>
      </c>
      <c r="M757" s="3">
        <v>8</v>
      </c>
      <c r="N757" s="3">
        <v>100</v>
      </c>
      <c r="O757" s="3">
        <v>25</v>
      </c>
    </row>
    <row r="758" spans="1:15" hidden="1" x14ac:dyDescent="0.25">
      <c r="A758" s="7">
        <v>46162</v>
      </c>
      <c r="B758" s="8" t="s">
        <v>58</v>
      </c>
      <c r="C758" s="9" t="s">
        <v>48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 t="shared" si="102"/>
        <v>OPORTUNO</v>
      </c>
      <c r="M758" s="3">
        <v>0</v>
      </c>
      <c r="N758" s="3">
        <v>100</v>
      </c>
      <c r="O758" s="3">
        <v>20.183486238532112</v>
      </c>
    </row>
    <row r="759" spans="1:15" x14ac:dyDescent="0.25">
      <c r="A759" s="5">
        <v>46163</v>
      </c>
      <c r="B759" s="6" t="s">
        <v>47</v>
      </c>
      <c r="C759" s="3" t="s">
        <v>48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 t="shared" si="102"/>
        <v>OPORTUNO</v>
      </c>
      <c r="M759" s="3">
        <v>17</v>
      </c>
      <c r="N759" s="3">
        <v>99.18</v>
      </c>
      <c r="O759" s="3">
        <v>24.501424501424498</v>
      </c>
    </row>
    <row r="760" spans="1:15" hidden="1" x14ac:dyDescent="0.25">
      <c r="A760" s="5">
        <v>46163</v>
      </c>
      <c r="B760" s="6" t="s">
        <v>49</v>
      </c>
      <c r="C760" s="3" t="s">
        <v>48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 t="shared" si="102"/>
        <v>MUITO BOM</v>
      </c>
      <c r="M760" s="3">
        <v>28</v>
      </c>
      <c r="N760" s="3">
        <v>99.35</v>
      </c>
      <c r="O760" s="3">
        <v>19.852941176470591</v>
      </c>
    </row>
    <row r="761" spans="1:15" hidden="1" x14ac:dyDescent="0.25">
      <c r="A761" s="5">
        <v>46163</v>
      </c>
      <c r="B761" s="6" t="s">
        <v>50</v>
      </c>
      <c r="C761" s="3" t="s">
        <v>48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 t="shared" si="102"/>
        <v>OPORTUNO</v>
      </c>
      <c r="M761" s="3">
        <v>21</v>
      </c>
      <c r="N761" s="3">
        <v>99.07</v>
      </c>
      <c r="O761" s="3">
        <v>20.098039215686271</v>
      </c>
    </row>
    <row r="762" spans="1:15" hidden="1" x14ac:dyDescent="0.25">
      <c r="A762" s="5">
        <v>46163</v>
      </c>
      <c r="B762" s="6" t="s">
        <v>51</v>
      </c>
      <c r="C762" s="3" t="s">
        <v>48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 t="shared" si="102"/>
        <v>OPORTUNO</v>
      </c>
      <c r="M762" s="3">
        <v>0</v>
      </c>
      <c r="N762" s="3">
        <v>98.81</v>
      </c>
      <c r="O762" s="3">
        <v>22.767857142857139</v>
      </c>
    </row>
    <row r="763" spans="1:15" hidden="1" x14ac:dyDescent="0.25">
      <c r="A763" s="5">
        <v>46163</v>
      </c>
      <c r="B763" s="6" t="s">
        <v>52</v>
      </c>
      <c r="C763" s="3" t="s">
        <v>48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 t="shared" si="102"/>
        <v>MUITO BOM</v>
      </c>
      <c r="M763" s="3">
        <v>25</v>
      </c>
      <c r="N763" s="3">
        <v>99.01</v>
      </c>
      <c r="O763" s="3">
        <v>17.766497461928939</v>
      </c>
    </row>
    <row r="764" spans="1:15" hidden="1" x14ac:dyDescent="0.25">
      <c r="A764" s="5">
        <v>46163</v>
      </c>
      <c r="B764" s="6" t="s">
        <v>53</v>
      </c>
      <c r="C764" s="3" t="s">
        <v>48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 t="shared" si="102"/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54</v>
      </c>
      <c r="C765" s="3" t="s">
        <v>48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 t="shared" si="102"/>
        <v>OPORTUNO</v>
      </c>
      <c r="M765" s="3">
        <v>19</v>
      </c>
      <c r="N765" s="3">
        <v>98.98</v>
      </c>
      <c r="O765" s="3">
        <v>19.35483870967742</v>
      </c>
    </row>
    <row r="766" spans="1:15" hidden="1" x14ac:dyDescent="0.25">
      <c r="A766" s="5">
        <v>46163</v>
      </c>
      <c r="B766" s="6" t="s">
        <v>55</v>
      </c>
      <c r="C766" s="3" t="s">
        <v>48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 t="shared" si="102"/>
        <v>ATENÇÃO</v>
      </c>
      <c r="M766" s="3">
        <v>14</v>
      </c>
      <c r="N766" s="3">
        <v>98.94</v>
      </c>
      <c r="O766" s="3">
        <v>21.270718232044199</v>
      </c>
    </row>
    <row r="767" spans="1:15" hidden="1" x14ac:dyDescent="0.25">
      <c r="A767" s="5">
        <v>46163</v>
      </c>
      <c r="B767" s="6" t="s">
        <v>56</v>
      </c>
      <c r="C767" s="3" t="s">
        <v>48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 t="shared" si="102"/>
        <v>OPORTUNO</v>
      </c>
      <c r="M767" s="3">
        <v>17</v>
      </c>
      <c r="N767" s="3">
        <v>99</v>
      </c>
      <c r="O767" s="3">
        <v>22.010869565217391</v>
      </c>
    </row>
    <row r="768" spans="1:15" hidden="1" x14ac:dyDescent="0.25">
      <c r="A768" s="5">
        <v>46163</v>
      </c>
      <c r="B768" s="6" t="s">
        <v>57</v>
      </c>
      <c r="C768" s="3" t="s">
        <v>48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 t="shared" si="102"/>
        <v>OPORTUNO</v>
      </c>
      <c r="M768" s="3">
        <v>15</v>
      </c>
      <c r="N768" s="3">
        <v>100</v>
      </c>
      <c r="O768" s="3">
        <v>25</v>
      </c>
    </row>
    <row r="769" spans="1:16" hidden="1" x14ac:dyDescent="0.25">
      <c r="A769" s="5">
        <v>46163</v>
      </c>
      <c r="B769" s="6" t="s">
        <v>58</v>
      </c>
      <c r="C769" s="3" t="s">
        <v>48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 t="shared" si="102"/>
        <v>OPORTUNO</v>
      </c>
      <c r="M769" s="3">
        <v>0</v>
      </c>
      <c r="N769" s="3">
        <v>100</v>
      </c>
      <c r="O769" s="3">
        <v>20.183486238532112</v>
      </c>
    </row>
    <row r="770" spans="1:16" x14ac:dyDescent="0.25">
      <c r="A770" s="10">
        <v>46164</v>
      </c>
      <c r="B770" s="6" t="s">
        <v>47</v>
      </c>
      <c r="C770" s="3" t="s">
        <v>48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 t="shared" si="102"/>
        <v>OPORTUNO</v>
      </c>
      <c r="M770" s="3">
        <v>11</v>
      </c>
      <c r="N770" s="3">
        <v>99.18</v>
      </c>
      <c r="O770" s="3">
        <v>24.501424501424498</v>
      </c>
    </row>
    <row r="771" spans="1:16" hidden="1" x14ac:dyDescent="0.25">
      <c r="A771" s="10">
        <v>46164</v>
      </c>
      <c r="B771" s="6" t="s">
        <v>49</v>
      </c>
      <c r="C771" s="3" t="s">
        <v>48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 t="shared" si="102"/>
        <v>MUITO BOM</v>
      </c>
      <c r="M771" s="3">
        <v>24</v>
      </c>
      <c r="N771" s="3">
        <v>99.35</v>
      </c>
      <c r="O771" s="3">
        <v>19.852941176470591</v>
      </c>
    </row>
    <row r="772" spans="1:16" hidden="1" x14ac:dyDescent="0.25">
      <c r="A772" s="10">
        <v>46164</v>
      </c>
      <c r="B772" s="6" t="s">
        <v>50</v>
      </c>
      <c r="C772" s="3" t="s">
        <v>48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 t="shared" si="102"/>
        <v>ATENÇÃO</v>
      </c>
      <c r="M772" s="3">
        <v>12</v>
      </c>
      <c r="N772" s="3">
        <v>99.07</v>
      </c>
      <c r="O772" s="3">
        <v>20.098039215686271</v>
      </c>
    </row>
    <row r="773" spans="1:16" hidden="1" x14ac:dyDescent="0.25">
      <c r="A773" s="10">
        <v>46164</v>
      </c>
      <c r="B773" s="6" t="s">
        <v>51</v>
      </c>
      <c r="C773" s="3" t="s">
        <v>48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 t="shared" si="102"/>
        <v>OPORTUNO</v>
      </c>
      <c r="M773" s="3">
        <v>0</v>
      </c>
      <c r="N773" s="3">
        <v>98.81</v>
      </c>
      <c r="O773" s="3">
        <v>22.767857142857139</v>
      </c>
    </row>
    <row r="774" spans="1:16" hidden="1" x14ac:dyDescent="0.25">
      <c r="A774" s="10">
        <v>46164</v>
      </c>
      <c r="B774" s="6" t="s">
        <v>52</v>
      </c>
      <c r="C774" s="3" t="s">
        <v>48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 t="shared" si="102"/>
        <v>OPORTUNO</v>
      </c>
      <c r="M774" s="3">
        <v>13</v>
      </c>
      <c r="N774" s="3">
        <v>99.01</v>
      </c>
      <c r="O774" s="3">
        <v>17.766497461928939</v>
      </c>
    </row>
    <row r="775" spans="1:16" hidden="1" x14ac:dyDescent="0.25">
      <c r="A775" s="11">
        <v>46024</v>
      </c>
      <c r="B775" t="s">
        <v>47</v>
      </c>
      <c r="C775" t="s">
        <v>48</v>
      </c>
      <c r="D775">
        <v>21</v>
      </c>
      <c r="E775">
        <v>17</v>
      </c>
      <c r="F775">
        <v>12.2</v>
      </c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11</v>
      </c>
      <c r="K775" s="3">
        <f>I775-J775</f>
        <v>6</v>
      </c>
      <c r="L775" s="3" t="str">
        <f t="shared" ref="L775:L838" si="103">IF(K775&lt;-5,"CRÍTICO",IF(K775&lt;0,"ATENÇÃO",IF(K775&lt;=5,"BOM","EXCELENTE")))</f>
        <v>EXCELENTE</v>
      </c>
      <c r="M775">
        <v>15</v>
      </c>
      <c r="N775">
        <v>96.81</v>
      </c>
      <c r="O775">
        <v>27.980535279805348</v>
      </c>
      <c r="P775"/>
    </row>
    <row r="776" spans="1:16" hidden="1" x14ac:dyDescent="0.25">
      <c r="A776" s="11">
        <v>46024</v>
      </c>
      <c r="B776" t="s">
        <v>31</v>
      </c>
      <c r="C776" t="s">
        <v>32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 t="shared" si="103"/>
        <v>BOM</v>
      </c>
      <c r="M776">
        <v>21</v>
      </c>
      <c r="N776">
        <v>98.73</v>
      </c>
      <c r="O776">
        <v>35.756385068762278</v>
      </c>
      <c r="P776"/>
    </row>
    <row r="777" spans="1:16" hidden="1" x14ac:dyDescent="0.25">
      <c r="A777" s="11">
        <v>46024</v>
      </c>
      <c r="B777" t="s">
        <v>59</v>
      </c>
      <c r="C777" t="s">
        <v>23</v>
      </c>
      <c r="D777">
        <v>21</v>
      </c>
      <c r="E777">
        <v>19</v>
      </c>
      <c r="F777">
        <v>20.149999999999999</v>
      </c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9</v>
      </c>
      <c r="K777" s="3">
        <f>I777-J777</f>
        <v>10</v>
      </c>
      <c r="L777" s="3" t="str">
        <f t="shared" si="103"/>
        <v>EXCELENTE</v>
      </c>
      <c r="M777">
        <v>18</v>
      </c>
      <c r="N777">
        <v>98.32</v>
      </c>
      <c r="O777">
        <v>26.763485477178421</v>
      </c>
      <c r="P777"/>
    </row>
    <row r="778" spans="1:16" hidden="1" x14ac:dyDescent="0.25">
      <c r="A778" s="11">
        <v>46024</v>
      </c>
      <c r="B778" t="s">
        <v>33</v>
      </c>
      <c r="C778" t="s">
        <v>32</v>
      </c>
      <c r="D778">
        <v>21</v>
      </c>
      <c r="E778">
        <v>20</v>
      </c>
      <c r="F778">
        <v>21.43</v>
      </c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14</v>
      </c>
      <c r="K778" s="3">
        <f>I778-J778</f>
        <v>6</v>
      </c>
      <c r="L778" s="3" t="str">
        <f t="shared" si="103"/>
        <v>EXCELENTE</v>
      </c>
      <c r="M778">
        <v>17</v>
      </c>
      <c r="N778">
        <v>99.19</v>
      </c>
      <c r="O778">
        <v>27.637130801687761</v>
      </c>
      <c r="P778"/>
    </row>
    <row r="779" spans="1:16" hidden="1" x14ac:dyDescent="0.25">
      <c r="A779" s="11">
        <v>46024</v>
      </c>
      <c r="B779" t="s">
        <v>15</v>
      </c>
      <c r="C779" t="s">
        <v>16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 t="shared" si="103"/>
        <v>BOM</v>
      </c>
      <c r="M779">
        <v>0</v>
      </c>
      <c r="N779">
        <v>100</v>
      </c>
      <c r="O779">
        <v>39.568345323741013</v>
      </c>
      <c r="P779"/>
    </row>
    <row r="780" spans="1:16" hidden="1" x14ac:dyDescent="0.25">
      <c r="A780" s="11">
        <v>46024</v>
      </c>
      <c r="B780" t="s">
        <v>49</v>
      </c>
      <c r="C780" t="s">
        <v>48</v>
      </c>
      <c r="D780">
        <v>28</v>
      </c>
      <c r="E780">
        <v>25</v>
      </c>
      <c r="F780">
        <v>13.37</v>
      </c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14</v>
      </c>
      <c r="L780" s="3" t="str">
        <f t="shared" si="103"/>
        <v>EXCELENTE</v>
      </c>
      <c r="M780">
        <v>23</v>
      </c>
      <c r="N780">
        <v>98.54</v>
      </c>
      <c r="O780">
        <v>28.544776119402989</v>
      </c>
      <c r="P780"/>
    </row>
    <row r="781" spans="1:16" hidden="1" x14ac:dyDescent="0.25">
      <c r="A781" s="11">
        <v>46024</v>
      </c>
      <c r="B781" t="s">
        <v>50</v>
      </c>
      <c r="C781" t="s">
        <v>48</v>
      </c>
      <c r="D781">
        <v>22</v>
      </c>
      <c r="E781">
        <v>19</v>
      </c>
      <c r="F781">
        <v>16.579999999999998</v>
      </c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11</v>
      </c>
      <c r="K781" s="3">
        <f>I781-J781</f>
        <v>8</v>
      </c>
      <c r="L781" s="3" t="str">
        <f t="shared" si="103"/>
        <v>EXCELENTE</v>
      </c>
      <c r="M781">
        <v>20</v>
      </c>
      <c r="N781">
        <v>100</v>
      </c>
      <c r="O781">
        <v>34.366925064599492</v>
      </c>
      <c r="P781"/>
    </row>
    <row r="782" spans="1:16" hidden="1" x14ac:dyDescent="0.25">
      <c r="A782" s="11">
        <v>46024</v>
      </c>
      <c r="B782" t="s">
        <v>17</v>
      </c>
      <c r="C782" t="s">
        <v>16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103"/>
        <v>BOM</v>
      </c>
      <c r="M782">
        <v>0</v>
      </c>
      <c r="N782">
        <v>0</v>
      </c>
      <c r="O782">
        <v>0</v>
      </c>
      <c r="P782"/>
    </row>
    <row r="783" spans="1:16" hidden="1" x14ac:dyDescent="0.25">
      <c r="A783" s="11">
        <v>46024</v>
      </c>
      <c r="B783" t="s">
        <v>60</v>
      </c>
      <c r="C783" t="s">
        <v>23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103"/>
        <v>BOM</v>
      </c>
      <c r="M783">
        <v>0</v>
      </c>
      <c r="N783">
        <v>100</v>
      </c>
      <c r="O783">
        <v>29.518072289156631</v>
      </c>
      <c r="P783"/>
    </row>
    <row r="784" spans="1:16" hidden="1" x14ac:dyDescent="0.25">
      <c r="A784" s="11">
        <v>46024</v>
      </c>
      <c r="B784" t="s">
        <v>34</v>
      </c>
      <c r="C784" t="s">
        <v>32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103"/>
        <v>BOM</v>
      </c>
      <c r="M784">
        <v>0</v>
      </c>
      <c r="N784">
        <v>97.45</v>
      </c>
      <c r="O784">
        <v>41.421143847487002</v>
      </c>
      <c r="P784"/>
    </row>
    <row r="785" spans="1:15" customFormat="1" hidden="1" x14ac:dyDescent="0.25">
      <c r="A785" s="11">
        <v>46024</v>
      </c>
      <c r="B785" t="s">
        <v>51</v>
      </c>
      <c r="C785" t="s">
        <v>48</v>
      </c>
      <c r="D785">
        <v>25</v>
      </c>
      <c r="E785">
        <v>16</v>
      </c>
      <c r="F785">
        <v>8.3699999999999992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 t="shared" si="103"/>
        <v>BOM</v>
      </c>
      <c r="M785">
        <v>13</v>
      </c>
      <c r="N785">
        <v>96.58</v>
      </c>
      <c r="O785">
        <v>30.396475770925111</v>
      </c>
    </row>
    <row r="786" spans="1:15" customFormat="1" hidden="1" x14ac:dyDescent="0.25">
      <c r="A786" s="11">
        <v>46024</v>
      </c>
      <c r="B786" t="s">
        <v>61</v>
      </c>
      <c r="C786" t="s">
        <v>23</v>
      </c>
      <c r="D786">
        <v>14</v>
      </c>
      <c r="E786">
        <v>14</v>
      </c>
      <c r="F786">
        <v>26.53</v>
      </c>
      <c r="G786" s="3"/>
      <c r="H786" s="3"/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9</v>
      </c>
      <c r="K786" s="3">
        <f>I786-J786</f>
        <v>5</v>
      </c>
      <c r="L786" s="3" t="str">
        <f t="shared" si="103"/>
        <v>BOM</v>
      </c>
      <c r="M786">
        <v>14</v>
      </c>
      <c r="N786">
        <v>100</v>
      </c>
      <c r="O786">
        <v>27.44282744282744</v>
      </c>
    </row>
    <row r="787" spans="1:15" customFormat="1" hidden="1" x14ac:dyDescent="0.25">
      <c r="A787" s="11">
        <v>46024</v>
      </c>
      <c r="B787" t="s">
        <v>35</v>
      </c>
      <c r="C787" t="s">
        <v>32</v>
      </c>
      <c r="D787">
        <v>18</v>
      </c>
      <c r="E787">
        <v>16</v>
      </c>
      <c r="F787">
        <v>27.31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103"/>
        <v>BOM</v>
      </c>
      <c r="M787">
        <v>16</v>
      </c>
      <c r="N787">
        <v>99.49</v>
      </c>
      <c r="O787">
        <v>40.200000000000003</v>
      </c>
    </row>
    <row r="788" spans="1:15" customFormat="1" hidden="1" x14ac:dyDescent="0.25">
      <c r="A788" s="11">
        <v>46024</v>
      </c>
      <c r="B788" t="s">
        <v>18</v>
      </c>
      <c r="C788" t="s">
        <v>16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 t="shared" si="103"/>
        <v>BOM</v>
      </c>
      <c r="M788">
        <v>0</v>
      </c>
      <c r="N788">
        <v>100</v>
      </c>
      <c r="O788">
        <v>25</v>
      </c>
    </row>
    <row r="789" spans="1:15" customFormat="1" hidden="1" x14ac:dyDescent="0.25">
      <c r="A789" s="11">
        <v>46024</v>
      </c>
      <c r="B789" t="s">
        <v>52</v>
      </c>
      <c r="C789" t="s">
        <v>48</v>
      </c>
      <c r="D789">
        <v>27</v>
      </c>
      <c r="E789">
        <v>26</v>
      </c>
      <c r="F789">
        <v>12.32</v>
      </c>
      <c r="G789" s="3"/>
      <c r="H789" s="3"/>
      <c r="I789" s="3">
        <f t="shared" ref="I789:I796" si="104">E789+G789+H789</f>
        <v>26</v>
      </c>
      <c r="J789" s="3">
        <f t="shared" ref="J789:J796" si="105"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11</v>
      </c>
      <c r="K789" s="3">
        <f t="shared" ref="K789:K796" si="106">I789-J789</f>
        <v>15</v>
      </c>
      <c r="L789" s="3" t="str">
        <f t="shared" si="103"/>
        <v>EXCELENTE</v>
      </c>
      <c r="M789">
        <v>24</v>
      </c>
      <c r="N789">
        <v>100</v>
      </c>
      <c r="O789">
        <v>34.15094339622641</v>
      </c>
    </row>
    <row r="790" spans="1:15" customFormat="1" hidden="1" x14ac:dyDescent="0.25">
      <c r="A790" s="11">
        <v>46024</v>
      </c>
      <c r="B790" t="s">
        <v>36</v>
      </c>
      <c r="C790" t="s">
        <v>32</v>
      </c>
      <c r="D790">
        <v>17</v>
      </c>
      <c r="E790">
        <v>17</v>
      </c>
      <c r="F790">
        <v>16.5</v>
      </c>
      <c r="G790" s="3"/>
      <c r="H790" s="3"/>
      <c r="I790" s="3">
        <f t="shared" si="104"/>
        <v>17</v>
      </c>
      <c r="J790" s="3">
        <f t="shared" si="105"/>
        <v>14</v>
      </c>
      <c r="K790" s="3">
        <f t="shared" si="106"/>
        <v>3</v>
      </c>
      <c r="L790" s="3" t="str">
        <f t="shared" si="103"/>
        <v>BOM</v>
      </c>
      <c r="M790">
        <v>15</v>
      </c>
      <c r="N790">
        <v>100</v>
      </c>
      <c r="O790">
        <v>32.731376975169297</v>
      </c>
    </row>
    <row r="791" spans="1:15" customFormat="1" hidden="1" x14ac:dyDescent="0.25">
      <c r="A791" s="11">
        <v>46024</v>
      </c>
      <c r="B791" t="s">
        <v>53</v>
      </c>
      <c r="C791" t="s">
        <v>48</v>
      </c>
      <c r="D791">
        <v>27</v>
      </c>
      <c r="E791">
        <v>25</v>
      </c>
      <c r="F791">
        <v>14.1</v>
      </c>
      <c r="G791" s="3"/>
      <c r="H791" s="3"/>
      <c r="I791" s="3">
        <f t="shared" si="104"/>
        <v>25</v>
      </c>
      <c r="J791" s="3">
        <f t="shared" si="105"/>
        <v>11</v>
      </c>
      <c r="K791" s="3">
        <f t="shared" si="106"/>
        <v>14</v>
      </c>
      <c r="L791" s="3" t="str">
        <f t="shared" si="103"/>
        <v>EXCELENTE</v>
      </c>
      <c r="M791">
        <v>21</v>
      </c>
      <c r="N791">
        <v>99.31</v>
      </c>
      <c r="O791">
        <v>30.96234309623431</v>
      </c>
    </row>
    <row r="792" spans="1:15" customFormat="1" hidden="1" x14ac:dyDescent="0.25">
      <c r="A792" s="11">
        <v>46058</v>
      </c>
      <c r="B792" t="s">
        <v>22</v>
      </c>
      <c r="C792" t="s">
        <v>23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 t="shared" si="104"/>
        <v>26</v>
      </c>
      <c r="J792" s="3">
        <f t="shared" si="105"/>
        <v>23</v>
      </c>
      <c r="K792" s="3">
        <f t="shared" si="106"/>
        <v>3</v>
      </c>
      <c r="L792" s="3" t="str">
        <f t="shared" si="103"/>
        <v>BOM</v>
      </c>
      <c r="M792">
        <v>27</v>
      </c>
      <c r="N792">
        <v>96.67</v>
      </c>
      <c r="O792">
        <v>31.451612903225811</v>
      </c>
    </row>
    <row r="793" spans="1:15" customFormat="1" hidden="1" x14ac:dyDescent="0.25">
      <c r="A793" s="11">
        <v>46024</v>
      </c>
      <c r="B793" t="s">
        <v>54</v>
      </c>
      <c r="C793" t="s">
        <v>48</v>
      </c>
      <c r="D793">
        <v>21</v>
      </c>
      <c r="E793">
        <v>21</v>
      </c>
      <c r="F793">
        <v>20.28</v>
      </c>
      <c r="G793" s="3"/>
      <c r="H793" s="3"/>
      <c r="I793" s="3">
        <f t="shared" si="104"/>
        <v>21</v>
      </c>
      <c r="J793" s="3">
        <f t="shared" si="105"/>
        <v>11</v>
      </c>
      <c r="K793" s="3">
        <f t="shared" si="106"/>
        <v>10</v>
      </c>
      <c r="L793" s="3" t="str">
        <f t="shared" si="103"/>
        <v>EXCELENTE</v>
      </c>
      <c r="M793">
        <v>20</v>
      </c>
      <c r="N793">
        <v>100</v>
      </c>
      <c r="O793">
        <v>27.676767676767678</v>
      </c>
    </row>
    <row r="794" spans="1:15" customFormat="1" hidden="1" x14ac:dyDescent="0.25">
      <c r="A794" s="11">
        <v>46024</v>
      </c>
      <c r="B794" t="s">
        <v>37</v>
      </c>
      <c r="C794" t="s">
        <v>32</v>
      </c>
      <c r="D794">
        <v>30</v>
      </c>
      <c r="E794">
        <v>27</v>
      </c>
      <c r="F794">
        <v>12.25</v>
      </c>
      <c r="G794" s="3"/>
      <c r="H794" s="3"/>
      <c r="I794" s="3">
        <f t="shared" si="104"/>
        <v>27</v>
      </c>
      <c r="J794" s="3">
        <f t="shared" si="105"/>
        <v>14</v>
      </c>
      <c r="K794" s="3">
        <f t="shared" si="106"/>
        <v>13</v>
      </c>
      <c r="L794" s="3" t="str">
        <f t="shared" si="103"/>
        <v>EXCELENTE</v>
      </c>
      <c r="M794">
        <v>27</v>
      </c>
      <c r="N794">
        <v>100</v>
      </c>
      <c r="O794">
        <v>31.17723156532988</v>
      </c>
    </row>
    <row r="795" spans="1:15" customFormat="1" hidden="1" x14ac:dyDescent="0.25">
      <c r="A795" s="11">
        <v>46024</v>
      </c>
      <c r="B795" t="s">
        <v>38</v>
      </c>
      <c r="C795" t="s">
        <v>32</v>
      </c>
      <c r="D795">
        <v>14</v>
      </c>
      <c r="E795">
        <v>9</v>
      </c>
      <c r="F795">
        <v>8.59</v>
      </c>
      <c r="G795" s="3"/>
      <c r="H795" s="3"/>
      <c r="I795" s="3">
        <f t="shared" si="104"/>
        <v>9</v>
      </c>
      <c r="J795" s="3">
        <f t="shared" si="105"/>
        <v>14</v>
      </c>
      <c r="K795" s="3">
        <f t="shared" si="106"/>
        <v>-5</v>
      </c>
      <c r="L795" s="3" t="str">
        <f t="shared" si="103"/>
        <v>ATENÇÃO</v>
      </c>
      <c r="M795">
        <v>10</v>
      </c>
      <c r="N795">
        <v>100</v>
      </c>
      <c r="O795">
        <v>27.609427609427609</v>
      </c>
    </row>
    <row r="796" spans="1:15" customFormat="1" hidden="1" x14ac:dyDescent="0.25">
      <c r="A796" s="11">
        <v>46024</v>
      </c>
      <c r="B796" t="s">
        <v>55</v>
      </c>
      <c r="C796" t="s">
        <v>48</v>
      </c>
      <c r="D796">
        <v>28</v>
      </c>
      <c r="E796">
        <v>24</v>
      </c>
      <c r="F796">
        <v>10.210000000000001</v>
      </c>
      <c r="G796" s="3"/>
      <c r="H796" s="3"/>
      <c r="I796" s="3">
        <f t="shared" si="104"/>
        <v>24</v>
      </c>
      <c r="J796" s="3">
        <f t="shared" si="105"/>
        <v>11</v>
      </c>
      <c r="K796" s="3">
        <f t="shared" si="106"/>
        <v>13</v>
      </c>
      <c r="L796" s="3" t="str">
        <f t="shared" si="103"/>
        <v>EXCELENTE</v>
      </c>
      <c r="M796">
        <v>22</v>
      </c>
      <c r="N796">
        <v>96.4</v>
      </c>
      <c r="O796">
        <v>28.764044943820231</v>
      </c>
    </row>
    <row r="797" spans="1:15" customFormat="1" hidden="1" x14ac:dyDescent="0.25">
      <c r="A797" s="11">
        <v>46024</v>
      </c>
      <c r="B797" t="s">
        <v>39</v>
      </c>
      <c r="C797" t="s">
        <v>32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 t="shared" si="103"/>
        <v>BOM</v>
      </c>
      <c r="M797">
        <v>0</v>
      </c>
      <c r="N797">
        <v>100</v>
      </c>
      <c r="O797">
        <v>33.980582524271853</v>
      </c>
    </row>
    <row r="798" spans="1:15" customFormat="1" hidden="1" x14ac:dyDescent="0.25">
      <c r="A798" s="11">
        <v>46024</v>
      </c>
      <c r="B798" t="s">
        <v>25</v>
      </c>
      <c r="C798" t="s">
        <v>26</v>
      </c>
      <c r="D798">
        <v>7</v>
      </c>
      <c r="E798">
        <v>7</v>
      </c>
      <c r="F798">
        <v>29.05</v>
      </c>
      <c r="G798" s="3"/>
      <c r="H798" s="3"/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8</v>
      </c>
      <c r="K798" s="3">
        <f>I798-J798</f>
        <v>-1</v>
      </c>
      <c r="L798" s="3" t="str">
        <f t="shared" si="103"/>
        <v>ATENÇÃO</v>
      </c>
      <c r="M798">
        <v>6</v>
      </c>
      <c r="N798">
        <v>97.56</v>
      </c>
      <c r="O798">
        <v>32.515337423312893</v>
      </c>
    </row>
    <row r="799" spans="1:15" customFormat="1" hidden="1" x14ac:dyDescent="0.25">
      <c r="A799" s="11">
        <v>46024</v>
      </c>
      <c r="B799" t="s">
        <v>40</v>
      </c>
      <c r="C799" t="s">
        <v>32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103"/>
        <v>BOM</v>
      </c>
      <c r="M799">
        <v>12</v>
      </c>
      <c r="N799">
        <v>97.11</v>
      </c>
      <c r="O799">
        <v>37.408312958435211</v>
      </c>
    </row>
    <row r="800" spans="1:15" customFormat="1" hidden="1" x14ac:dyDescent="0.25">
      <c r="A800" s="11">
        <v>46024</v>
      </c>
      <c r="B800" t="s">
        <v>27</v>
      </c>
      <c r="C800" t="s">
        <v>26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103"/>
        <v>BOM</v>
      </c>
      <c r="M800">
        <v>0</v>
      </c>
      <c r="N800">
        <v>0</v>
      </c>
      <c r="O800">
        <v>0</v>
      </c>
    </row>
    <row r="801" spans="1:15" customFormat="1" hidden="1" x14ac:dyDescent="0.25">
      <c r="A801" s="11">
        <v>46024</v>
      </c>
      <c r="B801" t="s">
        <v>41</v>
      </c>
      <c r="C801" t="s">
        <v>32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 t="shared" si="103"/>
        <v>BOM</v>
      </c>
      <c r="M801">
        <v>0</v>
      </c>
      <c r="N801">
        <v>100</v>
      </c>
      <c r="O801">
        <v>30.470347648261761</v>
      </c>
    </row>
    <row r="802" spans="1:15" customFormat="1" hidden="1" x14ac:dyDescent="0.25">
      <c r="A802" s="11">
        <v>46024</v>
      </c>
      <c r="B802" t="s">
        <v>56</v>
      </c>
      <c r="C802" t="s">
        <v>48</v>
      </c>
      <c r="D802">
        <v>18</v>
      </c>
      <c r="E802">
        <v>17</v>
      </c>
      <c r="F802">
        <v>20.36</v>
      </c>
      <c r="G802" s="3"/>
      <c r="H802" s="3"/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11</v>
      </c>
      <c r="K802" s="3">
        <f>I802-J802</f>
        <v>6</v>
      </c>
      <c r="L802" s="3" t="str">
        <f t="shared" si="103"/>
        <v>EXCELENTE</v>
      </c>
      <c r="M802">
        <v>16</v>
      </c>
      <c r="N802">
        <v>100</v>
      </c>
      <c r="O802">
        <v>32.371134020618562</v>
      </c>
    </row>
    <row r="803" spans="1:15" customFormat="1" hidden="1" x14ac:dyDescent="0.25">
      <c r="A803" s="11">
        <v>46024</v>
      </c>
      <c r="B803" t="s">
        <v>57</v>
      </c>
      <c r="C803" t="s">
        <v>48</v>
      </c>
      <c r="D803">
        <v>12</v>
      </c>
      <c r="E803">
        <v>12</v>
      </c>
      <c r="F803">
        <v>29.09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 t="shared" si="103"/>
        <v>BOM</v>
      </c>
      <c r="M803">
        <v>10</v>
      </c>
      <c r="N803">
        <v>98.32</v>
      </c>
      <c r="O803">
        <v>32.318501170960189</v>
      </c>
    </row>
    <row r="804" spans="1:15" customFormat="1" hidden="1" x14ac:dyDescent="0.25">
      <c r="A804" s="11">
        <v>46024</v>
      </c>
      <c r="B804" t="s">
        <v>42</v>
      </c>
      <c r="C804" t="s">
        <v>32</v>
      </c>
      <c r="D804">
        <v>32</v>
      </c>
      <c r="E804">
        <v>21</v>
      </c>
      <c r="F804">
        <v>15.38</v>
      </c>
      <c r="G804" s="3"/>
      <c r="H804" s="3"/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14</v>
      </c>
      <c r="K804" s="3">
        <f>I804-J804</f>
        <v>7</v>
      </c>
      <c r="L804" s="3" t="str">
        <f t="shared" si="103"/>
        <v>EXCELENTE</v>
      </c>
      <c r="M804">
        <v>20</v>
      </c>
      <c r="N804">
        <v>96.43</v>
      </c>
      <c r="O804">
        <v>27.015250544662312</v>
      </c>
    </row>
    <row r="805" spans="1:15" customFormat="1" hidden="1" x14ac:dyDescent="0.25">
      <c r="A805" s="11">
        <v>46024</v>
      </c>
      <c r="B805" t="s">
        <v>62</v>
      </c>
      <c r="C805" t="s">
        <v>23</v>
      </c>
      <c r="D805">
        <v>22</v>
      </c>
      <c r="E805">
        <v>20</v>
      </c>
      <c r="F805">
        <v>17.170000000000002</v>
      </c>
      <c r="G805" s="3"/>
      <c r="H805" s="3"/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9</v>
      </c>
      <c r="K805" s="3">
        <f>I805-J805</f>
        <v>11</v>
      </c>
      <c r="L805" s="3" t="str">
        <f t="shared" si="103"/>
        <v>EXCELENTE</v>
      </c>
      <c r="M805">
        <v>20</v>
      </c>
      <c r="N805">
        <v>98.89</v>
      </c>
      <c r="O805">
        <v>28.021978021978018</v>
      </c>
    </row>
    <row r="806" spans="1:15" customFormat="1" hidden="1" x14ac:dyDescent="0.25">
      <c r="A806" s="11">
        <v>46024</v>
      </c>
      <c r="B806" t="s">
        <v>19</v>
      </c>
      <c r="C806" t="s">
        <v>16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103"/>
        <v>BOM</v>
      </c>
      <c r="M806">
        <v>0</v>
      </c>
      <c r="N806">
        <v>100</v>
      </c>
      <c r="O806">
        <v>33.333333333333329</v>
      </c>
    </row>
    <row r="807" spans="1:15" customFormat="1" hidden="1" x14ac:dyDescent="0.25">
      <c r="A807" s="11">
        <v>46024</v>
      </c>
      <c r="B807" t="s">
        <v>43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103"/>
        <v>BOM</v>
      </c>
      <c r="M807">
        <v>0</v>
      </c>
      <c r="N807">
        <v>100</v>
      </c>
      <c r="O807">
        <v>27.43362831858407</v>
      </c>
    </row>
    <row r="808" spans="1:15" customFormat="1" hidden="1" x14ac:dyDescent="0.25">
      <c r="A808" s="11">
        <v>46024</v>
      </c>
      <c r="B808" t="s">
        <v>44</v>
      </c>
      <c r="C808" t="s">
        <v>32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103"/>
        <v>BOM</v>
      </c>
      <c r="M808">
        <v>0</v>
      </c>
      <c r="N808">
        <v>98.65</v>
      </c>
      <c r="O808">
        <v>30.978260869565219</v>
      </c>
    </row>
    <row r="809" spans="1:15" customFormat="1" hidden="1" x14ac:dyDescent="0.25">
      <c r="A809" s="11">
        <v>46024</v>
      </c>
      <c r="B809" t="s">
        <v>20</v>
      </c>
      <c r="C809" t="s">
        <v>16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103"/>
        <v>BOM</v>
      </c>
      <c r="M809">
        <v>0</v>
      </c>
      <c r="N809">
        <v>100</v>
      </c>
      <c r="O809">
        <v>12</v>
      </c>
    </row>
    <row r="810" spans="1:15" customFormat="1" hidden="1" x14ac:dyDescent="0.25">
      <c r="A810" s="11">
        <v>46024</v>
      </c>
      <c r="B810" t="s">
        <v>28</v>
      </c>
      <c r="C810" t="s">
        <v>26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103"/>
        <v>BOM</v>
      </c>
      <c r="M810">
        <v>0</v>
      </c>
      <c r="N810">
        <v>0</v>
      </c>
      <c r="O810">
        <v>0</v>
      </c>
    </row>
    <row r="811" spans="1:15" customFormat="1" hidden="1" x14ac:dyDescent="0.25">
      <c r="A811" s="11">
        <v>46024</v>
      </c>
      <c r="B811" t="s">
        <v>58</v>
      </c>
      <c r="C811" t="s">
        <v>48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103"/>
        <v>BOM</v>
      </c>
      <c r="M811">
        <v>0</v>
      </c>
      <c r="N811">
        <v>97.56</v>
      </c>
      <c r="O811">
        <v>31.067961165048541</v>
      </c>
    </row>
    <row r="812" spans="1:15" customFormat="1" hidden="1" x14ac:dyDescent="0.25">
      <c r="A812" s="11">
        <v>46024</v>
      </c>
      <c r="B812" t="s">
        <v>29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103"/>
        <v>BOM</v>
      </c>
      <c r="M812">
        <v>0</v>
      </c>
      <c r="N812">
        <v>0</v>
      </c>
      <c r="O812">
        <v>0</v>
      </c>
    </row>
    <row r="813" spans="1:15" customFormat="1" hidden="1" x14ac:dyDescent="0.25">
      <c r="A813" s="11">
        <v>46024</v>
      </c>
      <c r="B813" t="s">
        <v>30</v>
      </c>
      <c r="C813" t="s">
        <v>26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103"/>
        <v>BOM</v>
      </c>
      <c r="M813">
        <v>0</v>
      </c>
      <c r="N813">
        <v>0</v>
      </c>
      <c r="O813">
        <v>0</v>
      </c>
    </row>
    <row r="814" spans="1:15" customFormat="1" hidden="1" x14ac:dyDescent="0.25">
      <c r="A814" s="11">
        <v>46024</v>
      </c>
      <c r="B814" t="s">
        <v>21</v>
      </c>
      <c r="C814" t="s">
        <v>16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103"/>
        <v>BOM</v>
      </c>
      <c r="M814">
        <v>0</v>
      </c>
      <c r="N814">
        <v>0</v>
      </c>
      <c r="O814">
        <v>0</v>
      </c>
    </row>
    <row r="815" spans="1:15" customFormat="1" hidden="1" x14ac:dyDescent="0.25">
      <c r="A815" s="11">
        <v>46024</v>
      </c>
      <c r="B815" t="s">
        <v>63</v>
      </c>
      <c r="C815" t="s">
        <v>23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103"/>
        <v>BOM</v>
      </c>
      <c r="M815">
        <v>0</v>
      </c>
      <c r="N815">
        <v>100</v>
      </c>
      <c r="O815">
        <v>53.846153846153847</v>
      </c>
    </row>
    <row r="816" spans="1:15" customFormat="1" hidden="1" x14ac:dyDescent="0.25">
      <c r="A816" s="11">
        <v>46024</v>
      </c>
      <c r="B816" t="s">
        <v>45</v>
      </c>
      <c r="C816" t="s">
        <v>32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103"/>
        <v>BOM</v>
      </c>
      <c r="M816">
        <v>0</v>
      </c>
      <c r="N816">
        <v>100</v>
      </c>
      <c r="O816">
        <v>44.05594405594406</v>
      </c>
    </row>
    <row r="817" spans="1:15" customFormat="1" hidden="1" x14ac:dyDescent="0.25">
      <c r="A817" s="11">
        <v>46024</v>
      </c>
      <c r="B817" t="s">
        <v>64</v>
      </c>
      <c r="C817" t="s">
        <v>23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 t="shared" si="103"/>
        <v>BOM</v>
      </c>
      <c r="M817">
        <v>0</v>
      </c>
      <c r="N817">
        <v>100</v>
      </c>
      <c r="O817">
        <v>31.872509960159359</v>
      </c>
    </row>
    <row r="818" spans="1:15" customFormat="1" hidden="1" x14ac:dyDescent="0.25">
      <c r="A818" s="11">
        <v>46024</v>
      </c>
      <c r="B818" t="s">
        <v>46</v>
      </c>
      <c r="C818" t="s">
        <v>32</v>
      </c>
      <c r="D818">
        <v>25</v>
      </c>
      <c r="E818">
        <v>24</v>
      </c>
      <c r="F818">
        <v>10.49</v>
      </c>
      <c r="G818" s="3"/>
      <c r="H818" s="3"/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14</v>
      </c>
      <c r="K818" s="3">
        <f>I818-J818</f>
        <v>10</v>
      </c>
      <c r="L818" s="3" t="str">
        <f t="shared" si="103"/>
        <v>EXCELENTE</v>
      </c>
      <c r="M818">
        <v>22</v>
      </c>
      <c r="N818">
        <v>98.41</v>
      </c>
      <c r="O818">
        <v>29.22465208747515</v>
      </c>
    </row>
    <row r="819" spans="1:15" customFormat="1" hidden="1" x14ac:dyDescent="0.25">
      <c r="A819" s="11">
        <v>46027</v>
      </c>
      <c r="B819" t="s">
        <v>47</v>
      </c>
      <c r="C819" t="s">
        <v>48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20</v>
      </c>
      <c r="K819" s="3">
        <f>I819-J819</f>
        <v>5</v>
      </c>
      <c r="L819" s="3" t="str">
        <f t="shared" si="103"/>
        <v>BOM</v>
      </c>
      <c r="M819">
        <v>24</v>
      </c>
      <c r="N819">
        <v>96.81</v>
      </c>
      <c r="O819">
        <v>27.980535279805348</v>
      </c>
    </row>
    <row r="820" spans="1:15" customFormat="1" hidden="1" x14ac:dyDescent="0.25">
      <c r="A820" s="11">
        <v>46027</v>
      </c>
      <c r="B820" t="s">
        <v>31</v>
      </c>
      <c r="C820" t="s">
        <v>32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 t="shared" si="103"/>
        <v>BOM</v>
      </c>
      <c r="M820">
        <v>25</v>
      </c>
      <c r="N820">
        <v>98.73</v>
      </c>
      <c r="O820">
        <v>35.756385068762278</v>
      </c>
    </row>
    <row r="821" spans="1:15" customFormat="1" hidden="1" x14ac:dyDescent="0.25">
      <c r="A821" s="11">
        <v>46027</v>
      </c>
      <c r="B821" t="s">
        <v>59</v>
      </c>
      <c r="C821" t="s">
        <v>23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17</v>
      </c>
      <c r="K821" s="3">
        <f>I821-J821</f>
        <v>15</v>
      </c>
      <c r="L821" s="3" t="str">
        <f t="shared" si="103"/>
        <v>EXCELENTE</v>
      </c>
      <c r="M821">
        <v>29</v>
      </c>
      <c r="N821">
        <v>98.32</v>
      </c>
      <c r="O821">
        <v>26.763485477178421</v>
      </c>
    </row>
    <row r="822" spans="1:15" customFormat="1" hidden="1" x14ac:dyDescent="0.25">
      <c r="A822" s="11">
        <v>46027</v>
      </c>
      <c r="B822" t="s">
        <v>33</v>
      </c>
      <c r="C822" t="s">
        <v>32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25</v>
      </c>
      <c r="K822" s="3">
        <f>I822-J822</f>
        <v>7</v>
      </c>
      <c r="L822" s="3" t="str">
        <f t="shared" si="103"/>
        <v>EXCELENTE</v>
      </c>
      <c r="M822">
        <v>27</v>
      </c>
      <c r="N822">
        <v>99.19</v>
      </c>
      <c r="O822">
        <v>27.637130801687761</v>
      </c>
    </row>
    <row r="823" spans="1:15" customFormat="1" hidden="1" x14ac:dyDescent="0.25">
      <c r="A823" s="11">
        <v>46027</v>
      </c>
      <c r="B823" t="s">
        <v>15</v>
      </c>
      <c r="C823" t="s">
        <v>16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 t="shared" si="103"/>
        <v>BOM</v>
      </c>
      <c r="M823">
        <v>9</v>
      </c>
      <c r="N823">
        <v>100</v>
      </c>
      <c r="O823">
        <v>39.568345323741013</v>
      </c>
    </row>
    <row r="824" spans="1:15" customFormat="1" hidden="1" x14ac:dyDescent="0.25">
      <c r="A824" s="11">
        <v>46027</v>
      </c>
      <c r="B824" t="s">
        <v>49</v>
      </c>
      <c r="C824" t="s">
        <v>48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6</v>
      </c>
      <c r="L824" s="3" t="str">
        <f t="shared" si="103"/>
        <v>EXCELENTE</v>
      </c>
      <c r="M824">
        <v>26</v>
      </c>
      <c r="N824">
        <v>98.54</v>
      </c>
      <c r="O824">
        <v>28.544776119402989</v>
      </c>
    </row>
    <row r="825" spans="1:15" customFormat="1" hidden="1" x14ac:dyDescent="0.25">
      <c r="A825" s="11">
        <v>46027</v>
      </c>
      <c r="B825" t="s">
        <v>50</v>
      </c>
      <c r="C825" t="s">
        <v>48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20</v>
      </c>
      <c r="K825" s="3">
        <f>I825-J825</f>
        <v>11</v>
      </c>
      <c r="L825" s="3" t="str">
        <f t="shared" si="103"/>
        <v>EXCELENTE</v>
      </c>
      <c r="M825">
        <v>27</v>
      </c>
      <c r="N825">
        <v>100</v>
      </c>
      <c r="O825">
        <v>34.366925064599492</v>
      </c>
    </row>
    <row r="826" spans="1:15" customFormat="1" hidden="1" x14ac:dyDescent="0.25">
      <c r="A826" s="11">
        <v>46027</v>
      </c>
      <c r="B826" t="s">
        <v>17</v>
      </c>
      <c r="C826" t="s">
        <v>16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 t="shared" si="103"/>
        <v>BOM</v>
      </c>
      <c r="M826">
        <v>0</v>
      </c>
      <c r="N826">
        <v>0</v>
      </c>
      <c r="O826">
        <v>0</v>
      </c>
    </row>
    <row r="827" spans="1:15" customFormat="1" hidden="1" x14ac:dyDescent="0.25">
      <c r="A827" s="11">
        <v>46027</v>
      </c>
      <c r="B827" t="s">
        <v>60</v>
      </c>
      <c r="C827" t="s">
        <v>23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3</v>
      </c>
      <c r="L827" s="3" t="str">
        <f t="shared" si="103"/>
        <v>BOM</v>
      </c>
      <c r="M827">
        <v>17</v>
      </c>
      <c r="N827">
        <v>100</v>
      </c>
      <c r="O827">
        <v>29.518072289156631</v>
      </c>
    </row>
    <row r="828" spans="1:15" customFormat="1" hidden="1" x14ac:dyDescent="0.25">
      <c r="A828" s="11">
        <v>46027</v>
      </c>
      <c r="B828" t="s">
        <v>34</v>
      </c>
      <c r="C828" t="s">
        <v>32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25</v>
      </c>
      <c r="K828" s="3">
        <f>I828-J828</f>
        <v>15</v>
      </c>
      <c r="L828" s="3" t="str">
        <f t="shared" si="103"/>
        <v>EXCELENTE</v>
      </c>
      <c r="M828">
        <v>38</v>
      </c>
      <c r="N828">
        <v>97.45</v>
      </c>
      <c r="O828">
        <v>41.421143847487002</v>
      </c>
    </row>
    <row r="829" spans="1:15" customFormat="1" hidden="1" x14ac:dyDescent="0.25">
      <c r="A829" s="11">
        <v>46027</v>
      </c>
      <c r="B829" t="s">
        <v>51</v>
      </c>
      <c r="C829" t="s">
        <v>48</v>
      </c>
      <c r="D829">
        <v>33</v>
      </c>
      <c r="E829">
        <v>23</v>
      </c>
      <c r="F829">
        <v>13.36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 t="shared" si="103"/>
        <v>BOM</v>
      </c>
      <c r="M829">
        <v>25</v>
      </c>
      <c r="N829">
        <v>96.58</v>
      </c>
      <c r="O829">
        <v>30.396475770925111</v>
      </c>
    </row>
    <row r="830" spans="1:15" customFormat="1" hidden="1" x14ac:dyDescent="0.25">
      <c r="A830" s="11">
        <v>46027</v>
      </c>
      <c r="B830" t="s">
        <v>61</v>
      </c>
      <c r="C830" t="s">
        <v>23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17</v>
      </c>
      <c r="K830" s="3">
        <f>I830-J830</f>
        <v>5</v>
      </c>
      <c r="L830" s="3" t="str">
        <f t="shared" si="103"/>
        <v>BOM</v>
      </c>
      <c r="M830">
        <v>25</v>
      </c>
      <c r="N830">
        <v>100</v>
      </c>
      <c r="O830">
        <v>27.44282744282744</v>
      </c>
    </row>
    <row r="831" spans="1:15" customFormat="1" hidden="1" x14ac:dyDescent="0.25">
      <c r="A831" s="11">
        <v>46027</v>
      </c>
      <c r="B831" t="s">
        <v>35</v>
      </c>
      <c r="C831" t="s">
        <v>32</v>
      </c>
      <c r="D831">
        <v>22</v>
      </c>
      <c r="E831">
        <v>22</v>
      </c>
      <c r="F831">
        <v>23.55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103"/>
        <v>BOM</v>
      </c>
      <c r="M831">
        <v>24</v>
      </c>
      <c r="N831">
        <v>99.49</v>
      </c>
      <c r="O831">
        <v>40.200000000000003</v>
      </c>
    </row>
    <row r="832" spans="1:15" customFormat="1" hidden="1" x14ac:dyDescent="0.25">
      <c r="A832" s="11">
        <v>46027</v>
      </c>
      <c r="B832" t="s">
        <v>18</v>
      </c>
      <c r="C832" t="s">
        <v>16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 t="shared" si="103"/>
        <v>BOM</v>
      </c>
      <c r="M832">
        <v>0</v>
      </c>
      <c r="N832">
        <v>100</v>
      </c>
      <c r="O832">
        <v>25</v>
      </c>
    </row>
    <row r="833" spans="1:15" customFormat="1" hidden="1" x14ac:dyDescent="0.25">
      <c r="A833" s="11">
        <v>46027</v>
      </c>
      <c r="B833" t="s">
        <v>52</v>
      </c>
      <c r="C833" t="s">
        <v>48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 t="shared" ref="I833:I840" si="107">E833+G833+H833</f>
        <v>38</v>
      </c>
      <c r="J833" s="3">
        <f t="shared" ref="J833:J840" si="108"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20</v>
      </c>
      <c r="K833" s="3">
        <f t="shared" ref="K833:K840" si="109">I833-J833</f>
        <v>18</v>
      </c>
      <c r="L833" s="3" t="str">
        <f t="shared" si="103"/>
        <v>EXCELENTE</v>
      </c>
      <c r="M833">
        <v>34</v>
      </c>
      <c r="N833">
        <v>100</v>
      </c>
      <c r="O833">
        <v>34.15094339622641</v>
      </c>
    </row>
    <row r="834" spans="1:15" customFormat="1" hidden="1" x14ac:dyDescent="0.25">
      <c r="A834" s="11">
        <v>46027</v>
      </c>
      <c r="B834" t="s">
        <v>36</v>
      </c>
      <c r="C834" t="s">
        <v>32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 t="shared" si="107"/>
        <v>29</v>
      </c>
      <c r="J834" s="3">
        <f t="shared" si="108"/>
        <v>25</v>
      </c>
      <c r="K834" s="3">
        <f t="shared" si="109"/>
        <v>4</v>
      </c>
      <c r="L834" s="3" t="str">
        <f t="shared" si="103"/>
        <v>BOM</v>
      </c>
      <c r="M834">
        <v>30</v>
      </c>
      <c r="N834">
        <v>100</v>
      </c>
      <c r="O834">
        <v>32.731376975169297</v>
      </c>
    </row>
    <row r="835" spans="1:15" customFormat="1" hidden="1" x14ac:dyDescent="0.25">
      <c r="A835" s="11">
        <v>46027</v>
      </c>
      <c r="B835" t="s">
        <v>53</v>
      </c>
      <c r="C835" t="s">
        <v>48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 t="shared" si="107"/>
        <v>27</v>
      </c>
      <c r="J835" s="3">
        <f t="shared" si="108"/>
        <v>20</v>
      </c>
      <c r="K835" s="3">
        <f t="shared" si="109"/>
        <v>7</v>
      </c>
      <c r="L835" s="3" t="str">
        <f t="shared" si="103"/>
        <v>EXCELENTE</v>
      </c>
      <c r="M835">
        <v>27</v>
      </c>
      <c r="N835">
        <v>99.31</v>
      </c>
      <c r="O835">
        <v>30.96234309623431</v>
      </c>
    </row>
    <row r="836" spans="1:15" customFormat="1" hidden="1" x14ac:dyDescent="0.25">
      <c r="A836" s="11">
        <v>46059</v>
      </c>
      <c r="B836" t="s">
        <v>22</v>
      </c>
      <c r="C836" t="s">
        <v>23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 t="shared" si="107"/>
        <v>16</v>
      </c>
      <c r="J836" s="3">
        <f t="shared" si="108"/>
        <v>22</v>
      </c>
      <c r="K836" s="3">
        <f t="shared" si="109"/>
        <v>-6</v>
      </c>
      <c r="L836" s="3" t="str">
        <f t="shared" si="103"/>
        <v>CRÍTICO</v>
      </c>
      <c r="M836">
        <v>28</v>
      </c>
      <c r="N836">
        <v>96.67</v>
      </c>
      <c r="O836">
        <v>31.451612903225811</v>
      </c>
    </row>
    <row r="837" spans="1:15" customFormat="1" hidden="1" x14ac:dyDescent="0.25">
      <c r="A837" s="11">
        <v>46027</v>
      </c>
      <c r="B837" t="s">
        <v>54</v>
      </c>
      <c r="C837" t="s">
        <v>48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 t="shared" si="107"/>
        <v>24</v>
      </c>
      <c r="J837" s="3">
        <f t="shared" si="108"/>
        <v>20</v>
      </c>
      <c r="K837" s="3">
        <f t="shared" si="109"/>
        <v>4</v>
      </c>
      <c r="L837" s="3" t="str">
        <f t="shared" si="103"/>
        <v>BOM</v>
      </c>
      <c r="M837">
        <v>25</v>
      </c>
      <c r="N837">
        <v>100</v>
      </c>
      <c r="O837">
        <v>27.676767676767678</v>
      </c>
    </row>
    <row r="838" spans="1:15" customFormat="1" hidden="1" x14ac:dyDescent="0.25">
      <c r="A838" s="11">
        <v>46027</v>
      </c>
      <c r="B838" t="s">
        <v>37</v>
      </c>
      <c r="C838" t="s">
        <v>32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 t="shared" si="107"/>
        <v>44</v>
      </c>
      <c r="J838" s="3">
        <f t="shared" si="108"/>
        <v>25</v>
      </c>
      <c r="K838" s="3">
        <f t="shared" si="109"/>
        <v>19</v>
      </c>
      <c r="L838" s="3" t="str">
        <f t="shared" si="103"/>
        <v>EXCELENTE</v>
      </c>
      <c r="M838">
        <v>46</v>
      </c>
      <c r="N838">
        <v>100</v>
      </c>
      <c r="O838">
        <v>31.17723156532988</v>
      </c>
    </row>
    <row r="839" spans="1:15" customFormat="1" hidden="1" x14ac:dyDescent="0.25">
      <c r="A839" s="11">
        <v>46027</v>
      </c>
      <c r="B839" t="s">
        <v>38</v>
      </c>
      <c r="C839" t="s">
        <v>32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 t="shared" si="107"/>
        <v>12</v>
      </c>
      <c r="J839" s="3">
        <f t="shared" si="108"/>
        <v>25</v>
      </c>
      <c r="K839" s="3">
        <f t="shared" si="109"/>
        <v>-13</v>
      </c>
      <c r="L839" s="3" t="str">
        <f t="shared" ref="L839:L902" si="110">IF(K839&lt;-5,"CRÍTICO",IF(K839&lt;0,"ATENÇÃO",IF(K839&lt;=5,"BOM","EXCELENTE")))</f>
        <v>CRÍTICO</v>
      </c>
      <c r="M839">
        <v>11</v>
      </c>
      <c r="N839">
        <v>100</v>
      </c>
      <c r="O839">
        <v>27.609427609427609</v>
      </c>
    </row>
    <row r="840" spans="1:15" customFormat="1" hidden="1" x14ac:dyDescent="0.25">
      <c r="A840" s="11">
        <v>46027</v>
      </c>
      <c r="B840" t="s">
        <v>55</v>
      </c>
      <c r="C840" t="s">
        <v>48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 t="shared" si="107"/>
        <v>30</v>
      </c>
      <c r="J840" s="3">
        <f t="shared" si="108"/>
        <v>20</v>
      </c>
      <c r="K840" s="3">
        <f t="shared" si="109"/>
        <v>10</v>
      </c>
      <c r="L840" s="3" t="str">
        <f t="shared" si="110"/>
        <v>EXCELENTE</v>
      </c>
      <c r="M840">
        <v>29</v>
      </c>
      <c r="N840">
        <v>96.4</v>
      </c>
      <c r="O840">
        <v>28.764044943820231</v>
      </c>
    </row>
    <row r="841" spans="1:15" customFormat="1" hidden="1" x14ac:dyDescent="0.25">
      <c r="A841" s="11">
        <v>46027</v>
      </c>
      <c r="B841" t="s">
        <v>39</v>
      </c>
      <c r="C841" t="s">
        <v>32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 t="shared" si="110"/>
        <v>BOM</v>
      </c>
      <c r="M841">
        <v>21</v>
      </c>
      <c r="N841">
        <v>100</v>
      </c>
      <c r="O841">
        <v>33.980582524271853</v>
      </c>
    </row>
    <row r="842" spans="1:15" customFormat="1" hidden="1" x14ac:dyDescent="0.25">
      <c r="A842" s="11">
        <v>46027</v>
      </c>
      <c r="B842" t="s">
        <v>25</v>
      </c>
      <c r="C842" t="s">
        <v>26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14</v>
      </c>
      <c r="K842" s="3">
        <f>I842-J842</f>
        <v>-8</v>
      </c>
      <c r="L842" s="3" t="str">
        <f t="shared" si="110"/>
        <v>CRÍTICO</v>
      </c>
      <c r="M842">
        <v>6</v>
      </c>
      <c r="N842">
        <v>97.56</v>
      </c>
      <c r="O842">
        <v>32.515337423312893</v>
      </c>
    </row>
    <row r="843" spans="1:15" customFormat="1" hidden="1" x14ac:dyDescent="0.25">
      <c r="A843" s="11">
        <v>46027</v>
      </c>
      <c r="B843" t="s">
        <v>40</v>
      </c>
      <c r="C843" t="s">
        <v>32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10"/>
        <v>BOM</v>
      </c>
      <c r="M843">
        <v>15</v>
      </c>
      <c r="N843">
        <v>97.11</v>
      </c>
      <c r="O843">
        <v>37.408312958435211</v>
      </c>
    </row>
    <row r="844" spans="1:15" customFormat="1" hidden="1" x14ac:dyDescent="0.25">
      <c r="A844" s="11">
        <v>46027</v>
      </c>
      <c r="B844" t="s">
        <v>27</v>
      </c>
      <c r="C844" t="s">
        <v>26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 t="shared" si="110"/>
        <v>BOM</v>
      </c>
      <c r="M844">
        <v>0</v>
      </c>
      <c r="N844">
        <v>0</v>
      </c>
      <c r="O844">
        <v>0</v>
      </c>
    </row>
    <row r="845" spans="1:15" customFormat="1" hidden="1" x14ac:dyDescent="0.25">
      <c r="A845" s="11">
        <v>46027</v>
      </c>
      <c r="B845" t="s">
        <v>41</v>
      </c>
      <c r="C845" t="s">
        <v>32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4</v>
      </c>
      <c r="L845" s="3" t="str">
        <f t="shared" si="110"/>
        <v>BOM</v>
      </c>
      <c r="M845">
        <v>25</v>
      </c>
      <c r="N845">
        <v>100</v>
      </c>
      <c r="O845">
        <v>30.470347648261761</v>
      </c>
    </row>
    <row r="846" spans="1:15" customFormat="1" hidden="1" x14ac:dyDescent="0.25">
      <c r="A846" s="11">
        <v>46027</v>
      </c>
      <c r="B846" t="s">
        <v>56</v>
      </c>
      <c r="C846" t="s">
        <v>48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20</v>
      </c>
      <c r="K846" s="3">
        <f>I846-J846</f>
        <v>8</v>
      </c>
      <c r="L846" s="3" t="str">
        <f t="shared" si="110"/>
        <v>EXCELENTE</v>
      </c>
      <c r="M846">
        <v>28</v>
      </c>
      <c r="N846">
        <v>100</v>
      </c>
      <c r="O846">
        <v>32.371134020618562</v>
      </c>
    </row>
    <row r="847" spans="1:15" customFormat="1" hidden="1" x14ac:dyDescent="0.25">
      <c r="A847" s="11">
        <v>46027</v>
      </c>
      <c r="B847" t="s">
        <v>57</v>
      </c>
      <c r="C847" t="s">
        <v>48</v>
      </c>
      <c r="D847">
        <v>28</v>
      </c>
      <c r="E847">
        <v>26</v>
      </c>
      <c r="F847">
        <v>17.28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 t="shared" si="110"/>
        <v>BOM</v>
      </c>
      <c r="M847">
        <v>26</v>
      </c>
      <c r="N847">
        <v>98.32</v>
      </c>
      <c r="O847">
        <v>32.318501170960189</v>
      </c>
    </row>
    <row r="848" spans="1:15" customFormat="1" hidden="1" x14ac:dyDescent="0.25">
      <c r="A848" s="11">
        <v>46027</v>
      </c>
      <c r="B848" t="s">
        <v>42</v>
      </c>
      <c r="C848" t="s">
        <v>32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25</v>
      </c>
      <c r="K848" s="3">
        <f>I848-J848</f>
        <v>15</v>
      </c>
      <c r="L848" s="3" t="str">
        <f t="shared" si="110"/>
        <v>EXCELENTE</v>
      </c>
      <c r="M848">
        <v>37</v>
      </c>
      <c r="N848">
        <v>96.43</v>
      </c>
      <c r="O848">
        <v>27.015250544662312</v>
      </c>
    </row>
    <row r="849" spans="1:15" customFormat="1" hidden="1" x14ac:dyDescent="0.25">
      <c r="A849" s="11">
        <v>46027</v>
      </c>
      <c r="B849" t="s">
        <v>62</v>
      </c>
      <c r="C849" t="s">
        <v>23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17</v>
      </c>
      <c r="K849" s="3">
        <f>I849-J849</f>
        <v>11</v>
      </c>
      <c r="L849" s="3" t="str">
        <f t="shared" si="110"/>
        <v>EXCELENTE</v>
      </c>
      <c r="M849">
        <v>25</v>
      </c>
      <c r="N849">
        <v>98.89</v>
      </c>
      <c r="O849">
        <v>28.021978021978018</v>
      </c>
    </row>
    <row r="850" spans="1:15" customFormat="1" hidden="1" x14ac:dyDescent="0.25">
      <c r="A850" s="11">
        <v>46027</v>
      </c>
      <c r="B850" t="s">
        <v>19</v>
      </c>
      <c r="C850" t="s">
        <v>16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 t="shared" si="110"/>
        <v>BOM</v>
      </c>
      <c r="M850">
        <v>9</v>
      </c>
      <c r="N850">
        <v>100</v>
      </c>
      <c r="O850">
        <v>33.333333333333329</v>
      </c>
    </row>
    <row r="851" spans="1:15" customFormat="1" hidden="1" x14ac:dyDescent="0.25">
      <c r="A851" s="11">
        <v>46027</v>
      </c>
      <c r="B851" t="s">
        <v>43</v>
      </c>
      <c r="C851" t="s">
        <v>32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 t="shared" si="110"/>
        <v>BOM</v>
      </c>
      <c r="M851">
        <v>0</v>
      </c>
      <c r="N851">
        <v>100</v>
      </c>
      <c r="O851">
        <v>27.43362831858407</v>
      </c>
    </row>
    <row r="852" spans="1:15" customFormat="1" hidden="1" x14ac:dyDescent="0.25">
      <c r="A852" s="11">
        <v>46027</v>
      </c>
      <c r="B852" t="s">
        <v>44</v>
      </c>
      <c r="C852" t="s">
        <v>32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25</v>
      </c>
      <c r="K852" s="3">
        <f>I852-J852</f>
        <v>7</v>
      </c>
      <c r="L852" s="3" t="str">
        <f t="shared" si="110"/>
        <v>EXCELENTE</v>
      </c>
      <c r="M852">
        <v>32</v>
      </c>
      <c r="N852">
        <v>98.65</v>
      </c>
      <c r="O852">
        <v>30.978260869565219</v>
      </c>
    </row>
    <row r="853" spans="1:15" customFormat="1" hidden="1" x14ac:dyDescent="0.25">
      <c r="A853" s="11">
        <v>46027</v>
      </c>
      <c r="B853" t="s">
        <v>20</v>
      </c>
      <c r="C853" t="s">
        <v>16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10"/>
        <v>BOM</v>
      </c>
      <c r="M853">
        <v>0</v>
      </c>
      <c r="N853">
        <v>100</v>
      </c>
      <c r="O853">
        <v>12</v>
      </c>
    </row>
    <row r="854" spans="1:15" customFormat="1" hidden="1" x14ac:dyDescent="0.25">
      <c r="A854" s="11">
        <v>46027</v>
      </c>
      <c r="B854" t="s">
        <v>28</v>
      </c>
      <c r="C854" t="s">
        <v>26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10"/>
        <v>BOM</v>
      </c>
      <c r="M854">
        <v>0</v>
      </c>
      <c r="N854">
        <v>0</v>
      </c>
      <c r="O854">
        <v>0</v>
      </c>
    </row>
    <row r="855" spans="1:15" customFormat="1" hidden="1" x14ac:dyDescent="0.25">
      <c r="A855" s="11">
        <v>46027</v>
      </c>
      <c r="B855" t="s">
        <v>58</v>
      </c>
      <c r="C855" t="s">
        <v>48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10"/>
        <v>BOM</v>
      </c>
      <c r="M855">
        <v>0</v>
      </c>
      <c r="N855">
        <v>97.56</v>
      </c>
      <c r="O855">
        <v>31.067961165048541</v>
      </c>
    </row>
    <row r="856" spans="1:15" customFormat="1" hidden="1" x14ac:dyDescent="0.25">
      <c r="A856" s="11">
        <v>46027</v>
      </c>
      <c r="B856" t="s">
        <v>29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10"/>
        <v>BOM</v>
      </c>
      <c r="M856">
        <v>0</v>
      </c>
      <c r="N856">
        <v>0</v>
      </c>
      <c r="O856">
        <v>0</v>
      </c>
    </row>
    <row r="857" spans="1:15" customFormat="1" hidden="1" x14ac:dyDescent="0.25">
      <c r="A857" s="11">
        <v>46027</v>
      </c>
      <c r="B857" t="s">
        <v>30</v>
      </c>
      <c r="C857" t="s">
        <v>26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10"/>
        <v>BOM</v>
      </c>
      <c r="M857">
        <v>0</v>
      </c>
      <c r="N857">
        <v>0</v>
      </c>
      <c r="O857">
        <v>0</v>
      </c>
    </row>
    <row r="858" spans="1:15" customFormat="1" hidden="1" x14ac:dyDescent="0.25">
      <c r="A858" s="11">
        <v>46027</v>
      </c>
      <c r="B858" t="s">
        <v>21</v>
      </c>
      <c r="C858" t="s">
        <v>16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10"/>
        <v>BOM</v>
      </c>
      <c r="M858">
        <v>0</v>
      </c>
      <c r="N858">
        <v>0</v>
      </c>
      <c r="O858">
        <v>0</v>
      </c>
    </row>
    <row r="859" spans="1:15" customFormat="1" hidden="1" x14ac:dyDescent="0.25">
      <c r="A859" s="11">
        <v>46027</v>
      </c>
      <c r="B859" t="s">
        <v>63</v>
      </c>
      <c r="C859" t="s">
        <v>23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10"/>
        <v>BOM</v>
      </c>
      <c r="M859">
        <v>0</v>
      </c>
      <c r="N859">
        <v>100</v>
      </c>
      <c r="O859">
        <v>53.846153846153847</v>
      </c>
    </row>
    <row r="860" spans="1:15" customFormat="1" hidden="1" x14ac:dyDescent="0.25">
      <c r="A860" s="11">
        <v>46027</v>
      </c>
      <c r="B860" t="s">
        <v>45</v>
      </c>
      <c r="C860" t="s">
        <v>32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 t="shared" si="110"/>
        <v>BOM</v>
      </c>
      <c r="M860">
        <v>0</v>
      </c>
      <c r="N860">
        <v>100</v>
      </c>
      <c r="O860">
        <v>44.05594405594406</v>
      </c>
    </row>
    <row r="861" spans="1:15" customFormat="1" hidden="1" x14ac:dyDescent="0.25">
      <c r="A861" s="11">
        <v>46027</v>
      </c>
      <c r="B861" t="s">
        <v>64</v>
      </c>
      <c r="C861" t="s">
        <v>23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17</v>
      </c>
      <c r="K861" s="3">
        <f>I861-J861</f>
        <v>2</v>
      </c>
      <c r="L861" s="3" t="str">
        <f t="shared" si="110"/>
        <v>BOM</v>
      </c>
      <c r="M861">
        <v>18</v>
      </c>
      <c r="N861">
        <v>100</v>
      </c>
      <c r="O861">
        <v>31.872509960159359</v>
      </c>
    </row>
    <row r="862" spans="1:15" customFormat="1" hidden="1" x14ac:dyDescent="0.25">
      <c r="A862" s="11">
        <v>46027</v>
      </c>
      <c r="B862" t="s">
        <v>46</v>
      </c>
      <c r="C862" t="s">
        <v>32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25</v>
      </c>
      <c r="K862" s="3">
        <f>I862-J862</f>
        <v>3</v>
      </c>
      <c r="L862" s="3" t="str">
        <f t="shared" si="110"/>
        <v>BOM</v>
      </c>
      <c r="M862">
        <v>27</v>
      </c>
      <c r="N862">
        <v>98.41</v>
      </c>
      <c r="O862">
        <v>29.22465208747515</v>
      </c>
    </row>
    <row r="863" spans="1:15" customFormat="1" hidden="1" x14ac:dyDescent="0.25">
      <c r="A863" s="11">
        <v>46028</v>
      </c>
      <c r="B863" t="s">
        <v>47</v>
      </c>
      <c r="C863" t="s">
        <v>48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20</v>
      </c>
      <c r="K863" s="3">
        <f>I863-J863</f>
        <v>5</v>
      </c>
      <c r="L863" s="3" t="str">
        <f t="shared" si="110"/>
        <v>BOM</v>
      </c>
      <c r="M863">
        <v>17</v>
      </c>
      <c r="N863">
        <v>96.81</v>
      </c>
      <c r="O863">
        <v>27.980535279805348</v>
      </c>
    </row>
    <row r="864" spans="1:15" customFormat="1" hidden="1" x14ac:dyDescent="0.25">
      <c r="A864" s="11">
        <v>46028</v>
      </c>
      <c r="B864" t="s">
        <v>31</v>
      </c>
      <c r="C864" t="s">
        <v>32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 t="shared" si="110"/>
        <v>BOM</v>
      </c>
      <c r="M864">
        <v>30</v>
      </c>
      <c r="N864">
        <v>98.73</v>
      </c>
      <c r="O864">
        <v>35.756385068762278</v>
      </c>
    </row>
    <row r="865" spans="1:15" customFormat="1" hidden="1" x14ac:dyDescent="0.25">
      <c r="A865" s="11">
        <v>46028</v>
      </c>
      <c r="B865" t="s">
        <v>59</v>
      </c>
      <c r="C865" t="s">
        <v>23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17</v>
      </c>
      <c r="K865" s="3">
        <f>I865-J865</f>
        <v>13</v>
      </c>
      <c r="L865" s="3" t="str">
        <f t="shared" si="110"/>
        <v>EXCELENTE</v>
      </c>
      <c r="M865">
        <v>33</v>
      </c>
      <c r="N865">
        <v>98.32</v>
      </c>
      <c r="O865">
        <v>26.763485477178421</v>
      </c>
    </row>
    <row r="866" spans="1:15" customFormat="1" hidden="1" x14ac:dyDescent="0.25">
      <c r="A866" s="11">
        <v>46028</v>
      </c>
      <c r="B866" t="s">
        <v>33</v>
      </c>
      <c r="C866" t="s">
        <v>32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25</v>
      </c>
      <c r="K866" s="3">
        <f>I866-J866</f>
        <v>11</v>
      </c>
      <c r="L866" s="3" t="str">
        <f t="shared" si="110"/>
        <v>EXCELENTE</v>
      </c>
      <c r="M866">
        <v>34</v>
      </c>
      <c r="N866">
        <v>99.19</v>
      </c>
      <c r="O866">
        <v>27.637130801687761</v>
      </c>
    </row>
    <row r="867" spans="1:15" customFormat="1" hidden="1" x14ac:dyDescent="0.25">
      <c r="A867" s="11">
        <v>46028</v>
      </c>
      <c r="B867" t="s">
        <v>15</v>
      </c>
      <c r="C867" t="s">
        <v>16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 t="shared" si="110"/>
        <v>BOM</v>
      </c>
      <c r="M867">
        <v>8</v>
      </c>
      <c r="N867">
        <v>100</v>
      </c>
      <c r="O867">
        <v>39.568345323741013</v>
      </c>
    </row>
    <row r="868" spans="1:15" customFormat="1" hidden="1" x14ac:dyDescent="0.25">
      <c r="A868" s="11">
        <v>46028</v>
      </c>
      <c r="B868" t="s">
        <v>49</v>
      </c>
      <c r="C868" t="s">
        <v>48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5</v>
      </c>
      <c r="L868" s="3" t="str">
        <f t="shared" si="110"/>
        <v>BOM</v>
      </c>
      <c r="M868">
        <v>26</v>
      </c>
      <c r="N868">
        <v>98.54</v>
      </c>
      <c r="O868">
        <v>28.544776119402989</v>
      </c>
    </row>
    <row r="869" spans="1:15" customFormat="1" hidden="1" x14ac:dyDescent="0.25">
      <c r="A869" s="11">
        <v>46028</v>
      </c>
      <c r="B869" t="s">
        <v>50</v>
      </c>
      <c r="C869" t="s">
        <v>48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20</v>
      </c>
      <c r="K869" s="3">
        <f>I869-J869</f>
        <v>-14</v>
      </c>
      <c r="L869" s="3" t="str">
        <f t="shared" si="110"/>
        <v>CRÍTICO</v>
      </c>
      <c r="M869">
        <v>6</v>
      </c>
      <c r="N869">
        <v>100</v>
      </c>
      <c r="O869">
        <v>34.366925064599492</v>
      </c>
    </row>
    <row r="870" spans="1:15" customFormat="1" hidden="1" x14ac:dyDescent="0.25">
      <c r="A870" s="11">
        <v>46028</v>
      </c>
      <c r="B870" t="s">
        <v>17</v>
      </c>
      <c r="C870" t="s">
        <v>16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 t="shared" si="110"/>
        <v>BOM</v>
      </c>
      <c r="M870">
        <v>0</v>
      </c>
      <c r="N870">
        <v>0</v>
      </c>
      <c r="O870">
        <v>0</v>
      </c>
    </row>
    <row r="871" spans="1:15" customFormat="1" hidden="1" x14ac:dyDescent="0.25">
      <c r="A871" s="11">
        <v>46028</v>
      </c>
      <c r="B871" t="s">
        <v>60</v>
      </c>
      <c r="C871" t="s">
        <v>23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4</v>
      </c>
      <c r="L871" s="3" t="str">
        <f t="shared" si="110"/>
        <v>BOM</v>
      </c>
      <c r="M871">
        <v>20</v>
      </c>
      <c r="N871">
        <v>100</v>
      </c>
      <c r="O871">
        <v>29.518072289156631</v>
      </c>
    </row>
    <row r="872" spans="1:15" customFormat="1" hidden="1" x14ac:dyDescent="0.25">
      <c r="A872" s="11">
        <v>46028</v>
      </c>
      <c r="B872" t="s">
        <v>34</v>
      </c>
      <c r="C872" t="s">
        <v>32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25</v>
      </c>
      <c r="K872" s="3">
        <f>I872-J872</f>
        <v>16</v>
      </c>
      <c r="L872" s="3" t="str">
        <f t="shared" si="110"/>
        <v>EXCELENTE</v>
      </c>
      <c r="M872">
        <v>38</v>
      </c>
      <c r="N872">
        <v>97.45</v>
      </c>
      <c r="O872">
        <v>41.421143847487002</v>
      </c>
    </row>
    <row r="873" spans="1:15" customFormat="1" hidden="1" x14ac:dyDescent="0.25">
      <c r="A873" s="11">
        <v>46028</v>
      </c>
      <c r="B873" t="s">
        <v>51</v>
      </c>
      <c r="C873" t="s">
        <v>48</v>
      </c>
      <c r="D873">
        <v>29</v>
      </c>
      <c r="E873">
        <v>25</v>
      </c>
      <c r="F873">
        <v>19.059999999999999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 t="shared" si="110"/>
        <v>BOM</v>
      </c>
      <c r="M873">
        <v>27</v>
      </c>
      <c r="N873">
        <v>96.58</v>
      </c>
      <c r="O873">
        <v>30.396475770925111</v>
      </c>
    </row>
    <row r="874" spans="1:15" customFormat="1" hidden="1" x14ac:dyDescent="0.25">
      <c r="A874" s="11">
        <v>46028</v>
      </c>
      <c r="B874" t="s">
        <v>61</v>
      </c>
      <c r="C874" t="s">
        <v>23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17</v>
      </c>
      <c r="K874" s="3">
        <f>I874-J874</f>
        <v>6</v>
      </c>
      <c r="L874" s="3" t="str">
        <f t="shared" si="110"/>
        <v>EXCELENTE</v>
      </c>
      <c r="M874">
        <v>24</v>
      </c>
      <c r="N874">
        <v>100</v>
      </c>
      <c r="O874">
        <v>27.44282744282744</v>
      </c>
    </row>
    <row r="875" spans="1:15" customFormat="1" hidden="1" x14ac:dyDescent="0.25">
      <c r="A875" s="11">
        <v>46028</v>
      </c>
      <c r="B875" t="s">
        <v>35</v>
      </c>
      <c r="C875" t="s">
        <v>32</v>
      </c>
      <c r="D875">
        <v>27</v>
      </c>
      <c r="E875">
        <v>26</v>
      </c>
      <c r="F875">
        <v>26.51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10"/>
        <v>BOM</v>
      </c>
      <c r="M875">
        <v>27</v>
      </c>
      <c r="N875">
        <v>99.49</v>
      </c>
      <c r="O875">
        <v>40.200000000000003</v>
      </c>
    </row>
    <row r="876" spans="1:15" customFormat="1" hidden="1" x14ac:dyDescent="0.25">
      <c r="A876" s="11">
        <v>46028</v>
      </c>
      <c r="B876" t="s">
        <v>18</v>
      </c>
      <c r="C876" t="s">
        <v>16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 t="shared" si="110"/>
        <v>BOM</v>
      </c>
      <c r="M876">
        <v>0</v>
      </c>
      <c r="N876">
        <v>100</v>
      </c>
      <c r="O876">
        <v>25</v>
      </c>
    </row>
    <row r="877" spans="1:15" customFormat="1" hidden="1" x14ac:dyDescent="0.25">
      <c r="A877" s="11">
        <v>46028</v>
      </c>
      <c r="B877" t="s">
        <v>52</v>
      </c>
      <c r="C877" t="s">
        <v>48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 t="shared" ref="I877:I884" si="111">E877+G877+H877</f>
        <v>27</v>
      </c>
      <c r="J877" s="3">
        <f t="shared" ref="J877:J884" si="112"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20</v>
      </c>
      <c r="K877" s="3">
        <f t="shared" ref="K877:K884" si="113">I877-J877</f>
        <v>7</v>
      </c>
      <c r="L877" s="3" t="str">
        <f t="shared" si="110"/>
        <v>EXCELENTE</v>
      </c>
      <c r="M877">
        <v>27</v>
      </c>
      <c r="N877">
        <v>100</v>
      </c>
      <c r="O877">
        <v>34.15094339622641</v>
      </c>
    </row>
    <row r="878" spans="1:15" customFormat="1" hidden="1" x14ac:dyDescent="0.25">
      <c r="A878" s="11">
        <v>46028</v>
      </c>
      <c r="B878" t="s">
        <v>36</v>
      </c>
      <c r="C878" t="s">
        <v>32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 t="shared" si="111"/>
        <v>17</v>
      </c>
      <c r="J878" s="3">
        <f t="shared" si="112"/>
        <v>25</v>
      </c>
      <c r="K878" s="3">
        <f t="shared" si="113"/>
        <v>-8</v>
      </c>
      <c r="L878" s="3" t="str">
        <f t="shared" si="110"/>
        <v>CRÍTICO</v>
      </c>
      <c r="M878">
        <v>15</v>
      </c>
      <c r="N878">
        <v>100</v>
      </c>
      <c r="O878">
        <v>32.731376975169297</v>
      </c>
    </row>
    <row r="879" spans="1:15" customFormat="1" hidden="1" x14ac:dyDescent="0.25">
      <c r="A879" s="11">
        <v>46028</v>
      </c>
      <c r="B879" t="s">
        <v>53</v>
      </c>
      <c r="C879" t="s">
        <v>48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 t="shared" si="111"/>
        <v>45</v>
      </c>
      <c r="J879" s="3">
        <f t="shared" si="112"/>
        <v>20</v>
      </c>
      <c r="K879" s="3">
        <f t="shared" si="113"/>
        <v>25</v>
      </c>
      <c r="L879" s="3" t="str">
        <f t="shared" si="110"/>
        <v>EXCELENTE</v>
      </c>
      <c r="M879">
        <v>38</v>
      </c>
      <c r="N879">
        <v>99.31</v>
      </c>
      <c r="O879">
        <v>30.96234309623431</v>
      </c>
    </row>
    <row r="880" spans="1:15" customFormat="1" hidden="1" x14ac:dyDescent="0.25">
      <c r="A880" s="11">
        <v>46062</v>
      </c>
      <c r="B880" t="s">
        <v>22</v>
      </c>
      <c r="C880" t="s">
        <v>23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 t="shared" si="111"/>
        <v>13</v>
      </c>
      <c r="J880" s="3">
        <f t="shared" si="112"/>
        <v>18</v>
      </c>
      <c r="K880" s="3">
        <f t="shared" si="113"/>
        <v>-5</v>
      </c>
      <c r="L880" s="3" t="str">
        <f t="shared" si="110"/>
        <v>ATENÇÃO</v>
      </c>
      <c r="M880">
        <v>25</v>
      </c>
      <c r="N880">
        <v>96.67</v>
      </c>
      <c r="O880">
        <v>31.451612903225811</v>
      </c>
    </row>
    <row r="881" spans="1:15" customFormat="1" hidden="1" x14ac:dyDescent="0.25">
      <c r="A881" s="11">
        <v>46028</v>
      </c>
      <c r="B881" t="s">
        <v>54</v>
      </c>
      <c r="C881" t="s">
        <v>48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 t="shared" si="111"/>
        <v>21</v>
      </c>
      <c r="J881" s="3">
        <f t="shared" si="112"/>
        <v>20</v>
      </c>
      <c r="K881" s="3">
        <f t="shared" si="113"/>
        <v>1</v>
      </c>
      <c r="L881" s="3" t="str">
        <f t="shared" si="110"/>
        <v>BOM</v>
      </c>
      <c r="M881">
        <v>20</v>
      </c>
      <c r="N881">
        <v>100</v>
      </c>
      <c r="O881">
        <v>27.676767676767678</v>
      </c>
    </row>
    <row r="882" spans="1:15" customFormat="1" hidden="1" x14ac:dyDescent="0.25">
      <c r="A882" s="11">
        <v>46028</v>
      </c>
      <c r="B882" t="s">
        <v>37</v>
      </c>
      <c r="C882" t="s">
        <v>32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 t="shared" si="111"/>
        <v>46</v>
      </c>
      <c r="J882" s="3">
        <f t="shared" si="112"/>
        <v>25</v>
      </c>
      <c r="K882" s="3">
        <f t="shared" si="113"/>
        <v>21</v>
      </c>
      <c r="L882" s="3" t="str">
        <f t="shared" si="110"/>
        <v>EXCELENTE</v>
      </c>
      <c r="M882">
        <v>49</v>
      </c>
      <c r="N882">
        <v>100</v>
      </c>
      <c r="O882">
        <v>31.17723156532988</v>
      </c>
    </row>
    <row r="883" spans="1:15" customFormat="1" hidden="1" x14ac:dyDescent="0.25">
      <c r="A883" s="11">
        <v>46028</v>
      </c>
      <c r="B883" t="s">
        <v>38</v>
      </c>
      <c r="C883" t="s">
        <v>32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 t="shared" si="111"/>
        <v>41</v>
      </c>
      <c r="J883" s="3">
        <f t="shared" si="112"/>
        <v>25</v>
      </c>
      <c r="K883" s="3">
        <f t="shared" si="113"/>
        <v>16</v>
      </c>
      <c r="L883" s="3" t="str">
        <f t="shared" si="110"/>
        <v>EXCELENTE</v>
      </c>
      <c r="M883">
        <v>38</v>
      </c>
      <c r="N883">
        <v>100</v>
      </c>
      <c r="O883">
        <v>27.609427609427609</v>
      </c>
    </row>
    <row r="884" spans="1:15" customFormat="1" hidden="1" x14ac:dyDescent="0.25">
      <c r="A884" s="11">
        <v>46028</v>
      </c>
      <c r="B884" t="s">
        <v>55</v>
      </c>
      <c r="C884" t="s">
        <v>48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 t="shared" si="111"/>
        <v>30</v>
      </c>
      <c r="J884" s="3">
        <f t="shared" si="112"/>
        <v>20</v>
      </c>
      <c r="K884" s="3">
        <f t="shared" si="113"/>
        <v>10</v>
      </c>
      <c r="L884" s="3" t="str">
        <f t="shared" si="110"/>
        <v>EXCELENTE</v>
      </c>
      <c r="M884">
        <v>28</v>
      </c>
      <c r="N884">
        <v>96.4</v>
      </c>
      <c r="O884">
        <v>28.764044943820231</v>
      </c>
    </row>
    <row r="885" spans="1:15" customFormat="1" hidden="1" x14ac:dyDescent="0.25">
      <c r="A885" s="11">
        <v>46028</v>
      </c>
      <c r="B885" t="s">
        <v>39</v>
      </c>
      <c r="C885" t="s">
        <v>32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 t="shared" si="110"/>
        <v>BOM</v>
      </c>
      <c r="M885">
        <v>26</v>
      </c>
      <c r="N885">
        <v>100</v>
      </c>
      <c r="O885">
        <v>33.980582524271853</v>
      </c>
    </row>
    <row r="886" spans="1:15" customFormat="1" hidden="1" x14ac:dyDescent="0.25">
      <c r="A886" s="11">
        <v>46028</v>
      </c>
      <c r="B886" t="s">
        <v>25</v>
      </c>
      <c r="C886" t="s">
        <v>26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14</v>
      </c>
      <c r="K886" s="3">
        <f>I886-J886</f>
        <v>-11</v>
      </c>
      <c r="L886" s="3" t="str">
        <f t="shared" si="110"/>
        <v>CRÍTICO</v>
      </c>
      <c r="M886">
        <v>3</v>
      </c>
      <c r="N886">
        <v>97.56</v>
      </c>
      <c r="O886">
        <v>32.515337423312893</v>
      </c>
    </row>
    <row r="887" spans="1:15" customFormat="1" hidden="1" x14ac:dyDescent="0.25">
      <c r="A887" s="11">
        <v>46028</v>
      </c>
      <c r="B887" t="s">
        <v>40</v>
      </c>
      <c r="C887" t="s">
        <v>32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10"/>
        <v>BOM</v>
      </c>
      <c r="M887">
        <v>46</v>
      </c>
      <c r="N887">
        <v>97.11</v>
      </c>
      <c r="O887">
        <v>37.408312958435211</v>
      </c>
    </row>
    <row r="888" spans="1:15" customFormat="1" hidden="1" x14ac:dyDescent="0.25">
      <c r="A888" s="11">
        <v>46028</v>
      </c>
      <c r="B888" t="s">
        <v>27</v>
      </c>
      <c r="C888" t="s">
        <v>26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 t="shared" si="110"/>
        <v>BOM</v>
      </c>
      <c r="M888">
        <v>0</v>
      </c>
      <c r="N888">
        <v>0</v>
      </c>
      <c r="O888">
        <v>0</v>
      </c>
    </row>
    <row r="889" spans="1:15" customFormat="1" hidden="1" x14ac:dyDescent="0.25">
      <c r="A889" s="11">
        <v>46028</v>
      </c>
      <c r="B889" t="s">
        <v>41</v>
      </c>
      <c r="C889" t="s">
        <v>32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16</v>
      </c>
      <c r="L889" s="3" t="str">
        <f t="shared" si="110"/>
        <v>EXCELENTE</v>
      </c>
      <c r="M889">
        <v>37</v>
      </c>
      <c r="N889">
        <v>100</v>
      </c>
      <c r="O889">
        <v>30.470347648261761</v>
      </c>
    </row>
    <row r="890" spans="1:15" customFormat="1" hidden="1" x14ac:dyDescent="0.25">
      <c r="A890" s="11">
        <v>46028</v>
      </c>
      <c r="B890" t="s">
        <v>56</v>
      </c>
      <c r="C890" t="s">
        <v>48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20</v>
      </c>
      <c r="K890" s="3">
        <f>I890-J890</f>
        <v>9</v>
      </c>
      <c r="L890" s="3" t="str">
        <f t="shared" si="110"/>
        <v>EXCELENTE</v>
      </c>
      <c r="M890">
        <v>28</v>
      </c>
      <c r="N890">
        <v>100</v>
      </c>
      <c r="O890">
        <v>32.371134020618562</v>
      </c>
    </row>
    <row r="891" spans="1:15" customFormat="1" hidden="1" x14ac:dyDescent="0.25">
      <c r="A891" s="11">
        <v>46028</v>
      </c>
      <c r="B891" t="s">
        <v>57</v>
      </c>
      <c r="C891" t="s">
        <v>48</v>
      </c>
      <c r="D891">
        <v>33</v>
      </c>
      <c r="E891">
        <v>32</v>
      </c>
      <c r="F891">
        <v>17.16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 t="shared" si="110"/>
        <v>BOM</v>
      </c>
      <c r="M891">
        <v>26</v>
      </c>
      <c r="N891">
        <v>98.32</v>
      </c>
      <c r="O891">
        <v>32.318501170960189</v>
      </c>
    </row>
    <row r="892" spans="1:15" customFormat="1" hidden="1" x14ac:dyDescent="0.25">
      <c r="A892" s="11">
        <v>46028</v>
      </c>
      <c r="B892" t="s">
        <v>42</v>
      </c>
      <c r="C892" t="s">
        <v>32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25</v>
      </c>
      <c r="K892" s="3">
        <f>I892-J892</f>
        <v>-9</v>
      </c>
      <c r="L892" s="3" t="str">
        <f t="shared" si="110"/>
        <v>CRÍTICO</v>
      </c>
      <c r="M892">
        <v>13</v>
      </c>
      <c r="N892">
        <v>96.43</v>
      </c>
      <c r="O892">
        <v>27.015250544662312</v>
      </c>
    </row>
    <row r="893" spans="1:15" customFormat="1" hidden="1" x14ac:dyDescent="0.25">
      <c r="A893" s="11">
        <v>46028</v>
      </c>
      <c r="B893" t="s">
        <v>62</v>
      </c>
      <c r="C893" t="s">
        <v>23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17</v>
      </c>
      <c r="K893" s="3">
        <f>I893-J893</f>
        <v>4</v>
      </c>
      <c r="L893" s="3" t="str">
        <f t="shared" si="110"/>
        <v>BOM</v>
      </c>
      <c r="M893">
        <v>19</v>
      </c>
      <c r="N893">
        <v>98.89</v>
      </c>
      <c r="O893">
        <v>28.021978021978018</v>
      </c>
    </row>
    <row r="894" spans="1:15" customFormat="1" hidden="1" x14ac:dyDescent="0.25">
      <c r="A894" s="11">
        <v>46028</v>
      </c>
      <c r="B894" t="s">
        <v>19</v>
      </c>
      <c r="C894" t="s">
        <v>16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 t="shared" si="110"/>
        <v>BOM</v>
      </c>
      <c r="M894">
        <v>8</v>
      </c>
      <c r="N894">
        <v>100</v>
      </c>
      <c r="O894">
        <v>33.333333333333329</v>
      </c>
    </row>
    <row r="895" spans="1:15" customFormat="1" hidden="1" x14ac:dyDescent="0.25">
      <c r="A895" s="11">
        <v>46028</v>
      </c>
      <c r="B895" t="s">
        <v>43</v>
      </c>
      <c r="C895" t="s">
        <v>32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 t="shared" si="110"/>
        <v>BOM</v>
      </c>
      <c r="M895">
        <v>0</v>
      </c>
      <c r="N895">
        <v>100</v>
      </c>
      <c r="O895">
        <v>27.43362831858407</v>
      </c>
    </row>
    <row r="896" spans="1:15" customFormat="1" hidden="1" x14ac:dyDescent="0.25">
      <c r="A896" s="11">
        <v>46028</v>
      </c>
      <c r="B896" t="s">
        <v>44</v>
      </c>
      <c r="C896" t="s">
        <v>32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25</v>
      </c>
      <c r="K896" s="3">
        <f>I896-J896</f>
        <v>17</v>
      </c>
      <c r="L896" s="3" t="str">
        <f t="shared" si="110"/>
        <v>EXCELENTE</v>
      </c>
      <c r="M896">
        <v>45</v>
      </c>
      <c r="N896">
        <v>98.65</v>
      </c>
      <c r="O896">
        <v>30.978260869565219</v>
      </c>
    </row>
    <row r="897" spans="1:15" customFormat="1" hidden="1" x14ac:dyDescent="0.25">
      <c r="A897" s="11">
        <v>46028</v>
      </c>
      <c r="B897" t="s">
        <v>20</v>
      </c>
      <c r="C897" t="s">
        <v>16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10"/>
        <v>BOM</v>
      </c>
      <c r="M897">
        <v>0</v>
      </c>
      <c r="N897">
        <v>100</v>
      </c>
      <c r="O897">
        <v>12</v>
      </c>
    </row>
    <row r="898" spans="1:15" customFormat="1" hidden="1" x14ac:dyDescent="0.25">
      <c r="A898" s="11">
        <v>46028</v>
      </c>
      <c r="B898" t="s">
        <v>28</v>
      </c>
      <c r="C898" t="s">
        <v>26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10"/>
        <v>BOM</v>
      </c>
      <c r="M898">
        <v>0</v>
      </c>
      <c r="N898">
        <v>0</v>
      </c>
      <c r="O898">
        <v>0</v>
      </c>
    </row>
    <row r="899" spans="1:15" customFormat="1" hidden="1" x14ac:dyDescent="0.25">
      <c r="A899" s="11">
        <v>46028</v>
      </c>
      <c r="B899" t="s">
        <v>58</v>
      </c>
      <c r="C899" t="s">
        <v>48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10"/>
        <v>BOM</v>
      </c>
      <c r="M899">
        <v>0</v>
      </c>
      <c r="N899">
        <v>97.56</v>
      </c>
      <c r="O899">
        <v>31.067961165048541</v>
      </c>
    </row>
    <row r="900" spans="1:15" customFormat="1" hidden="1" x14ac:dyDescent="0.25">
      <c r="A900" s="11">
        <v>46028</v>
      </c>
      <c r="B900" t="s">
        <v>29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10"/>
        <v>BOM</v>
      </c>
      <c r="M900">
        <v>0</v>
      </c>
      <c r="N900">
        <v>0</v>
      </c>
      <c r="O900">
        <v>0</v>
      </c>
    </row>
    <row r="901" spans="1:15" customFormat="1" hidden="1" x14ac:dyDescent="0.25">
      <c r="A901" s="11">
        <v>46028</v>
      </c>
      <c r="B901" t="s">
        <v>30</v>
      </c>
      <c r="C901" t="s">
        <v>26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10"/>
        <v>BOM</v>
      </c>
      <c r="M901">
        <v>0</v>
      </c>
      <c r="N901">
        <v>0</v>
      </c>
      <c r="O901">
        <v>0</v>
      </c>
    </row>
    <row r="902" spans="1:15" customFormat="1" hidden="1" x14ac:dyDescent="0.25">
      <c r="A902" s="11">
        <v>46028</v>
      </c>
      <c r="B902" t="s">
        <v>21</v>
      </c>
      <c r="C902" t="s">
        <v>16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si="110"/>
        <v>BOM</v>
      </c>
      <c r="M902">
        <v>0</v>
      </c>
      <c r="N902">
        <v>0</v>
      </c>
      <c r="O902">
        <v>0</v>
      </c>
    </row>
    <row r="903" spans="1:15" customFormat="1" hidden="1" x14ac:dyDescent="0.25">
      <c r="A903" s="11">
        <v>46028</v>
      </c>
      <c r="B903" t="s">
        <v>63</v>
      </c>
      <c r="C903" t="s">
        <v>23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ref="L903:L966" si="114">IF(K903&lt;-5,"CRÍTICO",IF(K903&lt;0,"ATENÇÃO",IF(K903&lt;=5,"BOM","EXCELENTE")))</f>
        <v>BOM</v>
      </c>
      <c r="M903">
        <v>0</v>
      </c>
      <c r="N903">
        <v>100</v>
      </c>
      <c r="O903">
        <v>53.846153846153847</v>
      </c>
    </row>
    <row r="904" spans="1:15" customFormat="1" hidden="1" x14ac:dyDescent="0.25">
      <c r="A904" s="11">
        <v>46028</v>
      </c>
      <c r="B904" t="s">
        <v>45</v>
      </c>
      <c r="C904" t="s">
        <v>32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 t="shared" si="114"/>
        <v>BOM</v>
      </c>
      <c r="M904">
        <v>0</v>
      </c>
      <c r="N904">
        <v>100</v>
      </c>
      <c r="O904">
        <v>44.05594405594406</v>
      </c>
    </row>
    <row r="905" spans="1:15" customFormat="1" hidden="1" x14ac:dyDescent="0.25">
      <c r="A905" s="11">
        <v>46028</v>
      </c>
      <c r="B905" t="s">
        <v>64</v>
      </c>
      <c r="C905" t="s">
        <v>23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17</v>
      </c>
      <c r="K905" s="3">
        <f>I905-J905</f>
        <v>-6</v>
      </c>
      <c r="L905" s="3" t="str">
        <f t="shared" si="114"/>
        <v>CRÍTICO</v>
      </c>
      <c r="M905">
        <v>12</v>
      </c>
      <c r="N905">
        <v>100</v>
      </c>
      <c r="O905">
        <v>31.872509960159359</v>
      </c>
    </row>
    <row r="906" spans="1:15" customFormat="1" hidden="1" x14ac:dyDescent="0.25">
      <c r="A906" s="11">
        <v>46028</v>
      </c>
      <c r="B906" t="s">
        <v>46</v>
      </c>
      <c r="C906" t="s">
        <v>32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25</v>
      </c>
      <c r="K906" s="3">
        <f>I906-J906</f>
        <v>2</v>
      </c>
      <c r="L906" s="3" t="str">
        <f t="shared" si="114"/>
        <v>BOM</v>
      </c>
      <c r="M906">
        <v>25</v>
      </c>
      <c r="N906">
        <v>98.41</v>
      </c>
      <c r="O906">
        <v>29.22465208747515</v>
      </c>
    </row>
    <row r="907" spans="1:15" customFormat="1" hidden="1" x14ac:dyDescent="0.25">
      <c r="A907" s="11">
        <v>46029</v>
      </c>
      <c r="B907" t="s">
        <v>47</v>
      </c>
      <c r="C907" t="s">
        <v>48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21</v>
      </c>
      <c r="K907" s="3">
        <f>I907-J907</f>
        <v>2</v>
      </c>
      <c r="L907" s="3" t="str">
        <f t="shared" si="114"/>
        <v>BOM</v>
      </c>
      <c r="M907">
        <v>19</v>
      </c>
      <c r="N907">
        <v>96.81</v>
      </c>
      <c r="O907">
        <v>27.980535279805348</v>
      </c>
    </row>
    <row r="908" spans="1:15" customFormat="1" hidden="1" x14ac:dyDescent="0.25">
      <c r="A908" s="11">
        <v>46029</v>
      </c>
      <c r="B908" t="s">
        <v>31</v>
      </c>
      <c r="C908" t="s">
        <v>32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 t="shared" si="114"/>
        <v>BOM</v>
      </c>
      <c r="M908">
        <v>26</v>
      </c>
      <c r="N908">
        <v>98.73</v>
      </c>
      <c r="O908">
        <v>35.756385068762278</v>
      </c>
    </row>
    <row r="909" spans="1:15" customFormat="1" hidden="1" x14ac:dyDescent="0.25">
      <c r="A909" s="11">
        <v>46029</v>
      </c>
      <c r="B909" t="s">
        <v>59</v>
      </c>
      <c r="C909" t="s">
        <v>23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17</v>
      </c>
      <c r="K909" s="3">
        <f>I909-J909</f>
        <v>8</v>
      </c>
      <c r="L909" s="3" t="str">
        <f t="shared" si="114"/>
        <v>EXCELENTE</v>
      </c>
      <c r="M909">
        <v>24</v>
      </c>
      <c r="N909">
        <v>98.32</v>
      </c>
      <c r="O909">
        <v>26.763485477178421</v>
      </c>
    </row>
    <row r="910" spans="1:15" customFormat="1" hidden="1" x14ac:dyDescent="0.25">
      <c r="A910" s="11">
        <v>46029</v>
      </c>
      <c r="B910" t="s">
        <v>33</v>
      </c>
      <c r="C910" t="s">
        <v>32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26</v>
      </c>
      <c r="K910" s="3">
        <f>I910-J910</f>
        <v>4</v>
      </c>
      <c r="L910" s="3" t="str">
        <f t="shared" si="114"/>
        <v>BOM</v>
      </c>
      <c r="M910">
        <v>28</v>
      </c>
      <c r="N910">
        <v>99.19</v>
      </c>
      <c r="O910">
        <v>27.637130801687761</v>
      </c>
    </row>
    <row r="911" spans="1:15" customFormat="1" hidden="1" x14ac:dyDescent="0.25">
      <c r="A911" s="11">
        <v>46029</v>
      </c>
      <c r="B911" t="s">
        <v>15</v>
      </c>
      <c r="C911" t="s">
        <v>16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8</v>
      </c>
      <c r="K911" s="3">
        <f>I911-J911</f>
        <v>6</v>
      </c>
      <c r="L911" s="3" t="str">
        <f t="shared" si="114"/>
        <v>EXCELENTE</v>
      </c>
      <c r="M911">
        <v>13</v>
      </c>
      <c r="N911">
        <v>100</v>
      </c>
      <c r="O911">
        <v>39.568345323741013</v>
      </c>
    </row>
    <row r="912" spans="1:15" customFormat="1" hidden="1" x14ac:dyDescent="0.25">
      <c r="A912" s="11">
        <v>46029</v>
      </c>
      <c r="B912" t="s">
        <v>49</v>
      </c>
      <c r="C912" t="s">
        <v>48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7</v>
      </c>
      <c r="L912" s="3" t="str">
        <f t="shared" si="114"/>
        <v>EXCELENTE</v>
      </c>
      <c r="M912">
        <v>26</v>
      </c>
      <c r="N912">
        <v>98.54</v>
      </c>
      <c r="O912">
        <v>28.544776119402989</v>
      </c>
    </row>
    <row r="913" spans="1:15" customFormat="1" hidden="1" x14ac:dyDescent="0.25">
      <c r="A913" s="11">
        <v>46029</v>
      </c>
      <c r="B913" t="s">
        <v>50</v>
      </c>
      <c r="C913" t="s">
        <v>48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21</v>
      </c>
      <c r="K913" s="3">
        <f>I913-J913</f>
        <v>2</v>
      </c>
      <c r="L913" s="3" t="str">
        <f t="shared" si="114"/>
        <v>BOM</v>
      </c>
      <c r="M913">
        <v>20</v>
      </c>
      <c r="N913">
        <v>100</v>
      </c>
      <c r="O913">
        <v>34.366925064599492</v>
      </c>
    </row>
    <row r="914" spans="1:15" customFormat="1" hidden="1" x14ac:dyDescent="0.25">
      <c r="A914" s="11">
        <v>46029</v>
      </c>
      <c r="B914" t="s">
        <v>17</v>
      </c>
      <c r="C914" t="s">
        <v>16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 t="shared" si="114"/>
        <v>BOM</v>
      </c>
      <c r="M914">
        <v>0</v>
      </c>
      <c r="N914">
        <v>0</v>
      </c>
      <c r="O914">
        <v>0</v>
      </c>
    </row>
    <row r="915" spans="1:15" customFormat="1" hidden="1" x14ac:dyDescent="0.25">
      <c r="A915" s="11">
        <v>46029</v>
      </c>
      <c r="B915" t="s">
        <v>60</v>
      </c>
      <c r="C915" t="s">
        <v>23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0</v>
      </c>
      <c r="L915" s="3" t="str">
        <f t="shared" si="114"/>
        <v>BOM</v>
      </c>
      <c r="M915">
        <v>14</v>
      </c>
      <c r="N915">
        <v>100</v>
      </c>
      <c r="O915">
        <v>29.518072289156631</v>
      </c>
    </row>
    <row r="916" spans="1:15" customFormat="1" hidden="1" x14ac:dyDescent="0.25">
      <c r="A916" s="11">
        <v>46029</v>
      </c>
      <c r="B916" t="s">
        <v>34</v>
      </c>
      <c r="C916" t="s">
        <v>32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26</v>
      </c>
      <c r="K916" s="3">
        <f>I916-J916</f>
        <v>19</v>
      </c>
      <c r="L916" s="3" t="str">
        <f t="shared" si="114"/>
        <v>EXCELENTE</v>
      </c>
      <c r="M916">
        <v>42</v>
      </c>
      <c r="N916">
        <v>97.45</v>
      </c>
      <c r="O916">
        <v>41.421143847487002</v>
      </c>
    </row>
    <row r="917" spans="1:15" customFormat="1" hidden="1" x14ac:dyDescent="0.25">
      <c r="A917" s="11">
        <v>46029</v>
      </c>
      <c r="B917" t="s">
        <v>51</v>
      </c>
      <c r="C917" t="s">
        <v>48</v>
      </c>
      <c r="D917">
        <v>37</v>
      </c>
      <c r="E917">
        <v>33</v>
      </c>
      <c r="F917">
        <v>15.37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 t="shared" si="114"/>
        <v>BOM</v>
      </c>
      <c r="M917">
        <v>26</v>
      </c>
      <c r="N917">
        <v>96.58</v>
      </c>
      <c r="O917">
        <v>30.396475770925111</v>
      </c>
    </row>
    <row r="918" spans="1:15" customFormat="1" hidden="1" x14ac:dyDescent="0.25">
      <c r="A918" s="11">
        <v>46029</v>
      </c>
      <c r="B918" t="s">
        <v>61</v>
      </c>
      <c r="C918" t="s">
        <v>23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17</v>
      </c>
      <c r="K918" s="3">
        <f>I918-J918</f>
        <v>10</v>
      </c>
      <c r="L918" s="3" t="str">
        <f t="shared" si="114"/>
        <v>EXCELENTE</v>
      </c>
      <c r="M918">
        <v>25</v>
      </c>
      <c r="N918">
        <v>100</v>
      </c>
      <c r="O918">
        <v>27.44282744282744</v>
      </c>
    </row>
    <row r="919" spans="1:15" customFormat="1" hidden="1" x14ac:dyDescent="0.25">
      <c r="A919" s="11">
        <v>46029</v>
      </c>
      <c r="B919" t="s">
        <v>35</v>
      </c>
      <c r="C919" t="s">
        <v>32</v>
      </c>
      <c r="D919">
        <v>34</v>
      </c>
      <c r="E919">
        <v>33</v>
      </c>
      <c r="F919">
        <v>21.41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14"/>
        <v>BOM</v>
      </c>
      <c r="M919">
        <v>33</v>
      </c>
      <c r="N919">
        <v>99.49</v>
      </c>
      <c r="O919">
        <v>40.200000000000003</v>
      </c>
    </row>
    <row r="920" spans="1:15" customFormat="1" hidden="1" x14ac:dyDescent="0.25">
      <c r="A920" s="11">
        <v>46029</v>
      </c>
      <c r="B920" t="s">
        <v>18</v>
      </c>
      <c r="C920" t="s">
        <v>16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 t="shared" si="114"/>
        <v>BOM</v>
      </c>
      <c r="M920">
        <v>0</v>
      </c>
      <c r="N920">
        <v>100</v>
      </c>
      <c r="O920">
        <v>25</v>
      </c>
    </row>
    <row r="921" spans="1:15" customFormat="1" hidden="1" x14ac:dyDescent="0.25">
      <c r="A921" s="11">
        <v>46029</v>
      </c>
      <c r="B921" t="s">
        <v>52</v>
      </c>
      <c r="C921" t="s">
        <v>48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 t="shared" ref="I921:I928" si="115">E921+G921+H921</f>
        <v>33</v>
      </c>
      <c r="J921" s="3">
        <f t="shared" ref="J921:J928" si="116"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21</v>
      </c>
      <c r="K921" s="3">
        <f t="shared" ref="K921:K928" si="117">I921-J921</f>
        <v>12</v>
      </c>
      <c r="L921" s="3" t="str">
        <f t="shared" si="114"/>
        <v>EXCELENTE</v>
      </c>
      <c r="M921">
        <v>27</v>
      </c>
      <c r="N921">
        <v>100</v>
      </c>
      <c r="O921">
        <v>34.15094339622641</v>
      </c>
    </row>
    <row r="922" spans="1:15" customFormat="1" hidden="1" x14ac:dyDescent="0.25">
      <c r="A922" s="11">
        <v>46029</v>
      </c>
      <c r="B922" t="s">
        <v>36</v>
      </c>
      <c r="C922" t="s">
        <v>32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 t="shared" si="115"/>
        <v>31</v>
      </c>
      <c r="J922" s="3">
        <f t="shared" si="116"/>
        <v>26</v>
      </c>
      <c r="K922" s="3">
        <f t="shared" si="117"/>
        <v>5</v>
      </c>
      <c r="L922" s="3" t="str">
        <f t="shared" si="114"/>
        <v>BOM</v>
      </c>
      <c r="M922">
        <v>32</v>
      </c>
      <c r="N922">
        <v>100</v>
      </c>
      <c r="O922">
        <v>32.731376975169297</v>
      </c>
    </row>
    <row r="923" spans="1:15" customFormat="1" hidden="1" x14ac:dyDescent="0.25">
      <c r="A923" s="11">
        <v>46029</v>
      </c>
      <c r="B923" t="s">
        <v>53</v>
      </c>
      <c r="C923" t="s">
        <v>48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 t="shared" si="115"/>
        <v>31</v>
      </c>
      <c r="J923" s="3">
        <f t="shared" si="116"/>
        <v>21</v>
      </c>
      <c r="K923" s="3">
        <f t="shared" si="117"/>
        <v>10</v>
      </c>
      <c r="L923" s="3" t="str">
        <f t="shared" si="114"/>
        <v>EXCELENTE</v>
      </c>
      <c r="M923">
        <v>29</v>
      </c>
      <c r="N923">
        <v>99.31</v>
      </c>
      <c r="O923">
        <v>30.96234309623431</v>
      </c>
    </row>
    <row r="924" spans="1:15" customFormat="1" hidden="1" x14ac:dyDescent="0.25">
      <c r="A924" s="11">
        <v>46063</v>
      </c>
      <c r="B924" t="s">
        <v>22</v>
      </c>
      <c r="C924" t="s">
        <v>23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 t="shared" si="115"/>
        <v>6</v>
      </c>
      <c r="J924" s="3">
        <f t="shared" si="116"/>
        <v>20</v>
      </c>
      <c r="K924" s="3">
        <f t="shared" si="117"/>
        <v>-14</v>
      </c>
      <c r="L924" s="3" t="str">
        <f t="shared" si="114"/>
        <v>CRÍTICO</v>
      </c>
      <c r="M924">
        <v>28</v>
      </c>
      <c r="N924">
        <v>96.67</v>
      </c>
      <c r="O924">
        <v>31.451612903225811</v>
      </c>
    </row>
    <row r="925" spans="1:15" customFormat="1" hidden="1" x14ac:dyDescent="0.25">
      <c r="A925" s="11">
        <v>46029</v>
      </c>
      <c r="B925" t="s">
        <v>54</v>
      </c>
      <c r="C925" t="s">
        <v>48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 t="shared" si="115"/>
        <v>25</v>
      </c>
      <c r="J925" s="3">
        <f t="shared" si="116"/>
        <v>21</v>
      </c>
      <c r="K925" s="3">
        <f t="shared" si="117"/>
        <v>4</v>
      </c>
      <c r="L925" s="3" t="str">
        <f t="shared" si="114"/>
        <v>BOM</v>
      </c>
      <c r="M925">
        <v>27</v>
      </c>
      <c r="N925">
        <v>100</v>
      </c>
      <c r="O925">
        <v>27.676767676767678</v>
      </c>
    </row>
    <row r="926" spans="1:15" customFormat="1" hidden="1" x14ac:dyDescent="0.25">
      <c r="A926" s="11">
        <v>46029</v>
      </c>
      <c r="B926" t="s">
        <v>37</v>
      </c>
      <c r="C926" t="s">
        <v>32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 t="shared" si="115"/>
        <v>53</v>
      </c>
      <c r="J926" s="3">
        <f t="shared" si="116"/>
        <v>26</v>
      </c>
      <c r="K926" s="3">
        <f t="shared" si="117"/>
        <v>27</v>
      </c>
      <c r="L926" s="3" t="str">
        <f t="shared" si="114"/>
        <v>EXCELENTE</v>
      </c>
      <c r="M926">
        <v>51</v>
      </c>
      <c r="N926">
        <v>100</v>
      </c>
      <c r="O926">
        <v>31.17723156532988</v>
      </c>
    </row>
    <row r="927" spans="1:15" customFormat="1" hidden="1" x14ac:dyDescent="0.25">
      <c r="A927" s="11">
        <v>46029</v>
      </c>
      <c r="B927" t="s">
        <v>38</v>
      </c>
      <c r="C927" t="s">
        <v>32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 t="shared" si="115"/>
        <v>27</v>
      </c>
      <c r="J927" s="3">
        <f t="shared" si="116"/>
        <v>26</v>
      </c>
      <c r="K927" s="3">
        <f t="shared" si="117"/>
        <v>1</v>
      </c>
      <c r="L927" s="3" t="str">
        <f t="shared" si="114"/>
        <v>BOM</v>
      </c>
      <c r="M927">
        <v>24</v>
      </c>
      <c r="N927">
        <v>100</v>
      </c>
      <c r="O927">
        <v>27.609427609427609</v>
      </c>
    </row>
    <row r="928" spans="1:15" customFormat="1" hidden="1" x14ac:dyDescent="0.25">
      <c r="A928" s="11">
        <v>46029</v>
      </c>
      <c r="B928" t="s">
        <v>55</v>
      </c>
      <c r="C928" t="s">
        <v>48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 t="shared" si="115"/>
        <v>27</v>
      </c>
      <c r="J928" s="3">
        <f t="shared" si="116"/>
        <v>21</v>
      </c>
      <c r="K928" s="3">
        <f t="shared" si="117"/>
        <v>6</v>
      </c>
      <c r="L928" s="3" t="str">
        <f t="shared" si="114"/>
        <v>EXCELENTE</v>
      </c>
      <c r="M928">
        <v>26</v>
      </c>
      <c r="N928">
        <v>96.4</v>
      </c>
      <c r="O928">
        <v>28.764044943820231</v>
      </c>
    </row>
    <row r="929" spans="1:15" customFormat="1" hidden="1" x14ac:dyDescent="0.25">
      <c r="A929" s="11">
        <v>46029</v>
      </c>
      <c r="B929" t="s">
        <v>39</v>
      </c>
      <c r="C929" t="s">
        <v>32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 t="shared" si="114"/>
        <v>BOM</v>
      </c>
      <c r="M929">
        <v>28</v>
      </c>
      <c r="N929">
        <v>100</v>
      </c>
      <c r="O929">
        <v>33.980582524271853</v>
      </c>
    </row>
    <row r="930" spans="1:15" customFormat="1" hidden="1" x14ac:dyDescent="0.25">
      <c r="A930" s="11">
        <v>46029</v>
      </c>
      <c r="B930" t="s">
        <v>25</v>
      </c>
      <c r="C930" t="s">
        <v>26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15</v>
      </c>
      <c r="K930" s="3">
        <f>I930-J930</f>
        <v>-7</v>
      </c>
      <c r="L930" s="3" t="str">
        <f t="shared" si="114"/>
        <v>CRÍTICO</v>
      </c>
      <c r="M930">
        <v>7</v>
      </c>
      <c r="N930">
        <v>97.56</v>
      </c>
      <c r="O930">
        <v>32.515337423312893</v>
      </c>
    </row>
    <row r="931" spans="1:15" customFormat="1" hidden="1" x14ac:dyDescent="0.25">
      <c r="A931" s="11">
        <v>46029</v>
      </c>
      <c r="B931" t="s">
        <v>40</v>
      </c>
      <c r="C931" t="s">
        <v>32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26</v>
      </c>
      <c r="K931" s="3">
        <f>I931-J931</f>
        <v>-11</v>
      </c>
      <c r="L931" s="3" t="str">
        <f t="shared" si="114"/>
        <v>CRÍTICO</v>
      </c>
      <c r="M931">
        <v>15</v>
      </c>
      <c r="N931">
        <v>97.11</v>
      </c>
      <c r="O931">
        <v>37.408312958435211</v>
      </c>
    </row>
    <row r="932" spans="1:15" customFormat="1" hidden="1" x14ac:dyDescent="0.25">
      <c r="A932" s="11">
        <v>46029</v>
      </c>
      <c r="B932" t="s">
        <v>27</v>
      </c>
      <c r="C932" t="s">
        <v>26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 t="shared" si="114"/>
        <v>BOM</v>
      </c>
      <c r="M932">
        <v>0</v>
      </c>
      <c r="N932">
        <v>0</v>
      </c>
      <c r="O932">
        <v>0</v>
      </c>
    </row>
    <row r="933" spans="1:15" customFormat="1" hidden="1" x14ac:dyDescent="0.25">
      <c r="A933" s="11">
        <v>46029</v>
      </c>
      <c r="B933" t="s">
        <v>41</v>
      </c>
      <c r="C933" t="s">
        <v>32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4</v>
      </c>
      <c r="L933" s="3" t="str">
        <f t="shared" si="114"/>
        <v>BOM</v>
      </c>
      <c r="M933">
        <v>33</v>
      </c>
      <c r="N933">
        <v>100</v>
      </c>
      <c r="O933">
        <v>30.470347648261761</v>
      </c>
    </row>
    <row r="934" spans="1:15" customFormat="1" hidden="1" x14ac:dyDescent="0.25">
      <c r="A934" s="11">
        <v>46029</v>
      </c>
      <c r="B934" t="s">
        <v>56</v>
      </c>
      <c r="C934" t="s">
        <v>48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21</v>
      </c>
      <c r="K934" s="3">
        <f>I934-J934</f>
        <v>5</v>
      </c>
      <c r="L934" s="3" t="str">
        <f t="shared" si="114"/>
        <v>BOM</v>
      </c>
      <c r="M934">
        <v>23</v>
      </c>
      <c r="N934">
        <v>100</v>
      </c>
      <c r="O934">
        <v>32.371134020618562</v>
      </c>
    </row>
    <row r="935" spans="1:15" customFormat="1" hidden="1" x14ac:dyDescent="0.25">
      <c r="A935" s="11">
        <v>46029</v>
      </c>
      <c r="B935" t="s">
        <v>57</v>
      </c>
      <c r="C935" t="s">
        <v>48</v>
      </c>
      <c r="D935">
        <v>21</v>
      </c>
      <c r="E935">
        <v>21</v>
      </c>
      <c r="F935">
        <v>20.100000000000001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 t="shared" si="114"/>
        <v>BOM</v>
      </c>
      <c r="M935">
        <v>18</v>
      </c>
      <c r="N935">
        <v>98.32</v>
      </c>
      <c r="O935">
        <v>32.318501170960189</v>
      </c>
    </row>
    <row r="936" spans="1:15" customFormat="1" hidden="1" x14ac:dyDescent="0.25">
      <c r="A936" s="11">
        <v>46029</v>
      </c>
      <c r="B936" t="s">
        <v>42</v>
      </c>
      <c r="C936" t="s">
        <v>32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26</v>
      </c>
      <c r="K936" s="3">
        <f>I936-J936</f>
        <v>17</v>
      </c>
      <c r="L936" s="3" t="str">
        <f t="shared" si="114"/>
        <v>EXCELENTE</v>
      </c>
      <c r="M936">
        <v>39</v>
      </c>
      <c r="N936">
        <v>96.43</v>
      </c>
      <c r="O936">
        <v>27.015250544662312</v>
      </c>
    </row>
    <row r="937" spans="1:15" customFormat="1" hidden="1" x14ac:dyDescent="0.25">
      <c r="A937" s="11">
        <v>46029</v>
      </c>
      <c r="B937" t="s">
        <v>62</v>
      </c>
      <c r="C937" t="s">
        <v>23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17</v>
      </c>
      <c r="K937" s="3">
        <f>I937-J937</f>
        <v>9</v>
      </c>
      <c r="L937" s="3" t="str">
        <f t="shared" si="114"/>
        <v>EXCELENTE</v>
      </c>
      <c r="M937">
        <v>22</v>
      </c>
      <c r="N937">
        <v>98.89</v>
      </c>
      <c r="O937">
        <v>28.021978021978018</v>
      </c>
    </row>
    <row r="938" spans="1:15" customFormat="1" hidden="1" x14ac:dyDescent="0.25">
      <c r="A938" s="11">
        <v>46029</v>
      </c>
      <c r="B938" t="s">
        <v>19</v>
      </c>
      <c r="C938" t="s">
        <v>16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8</v>
      </c>
      <c r="K938" s="3">
        <f>I938-J938</f>
        <v>9</v>
      </c>
      <c r="L938" s="3" t="str">
        <f t="shared" si="114"/>
        <v>EXCELENTE</v>
      </c>
      <c r="M938">
        <v>14</v>
      </c>
      <c r="N938">
        <v>100</v>
      </c>
      <c r="O938">
        <v>33.333333333333329</v>
      </c>
    </row>
    <row r="939" spans="1:15" customFormat="1" hidden="1" x14ac:dyDescent="0.25">
      <c r="A939" s="11">
        <v>46029</v>
      </c>
      <c r="B939" t="s">
        <v>43</v>
      </c>
      <c r="C939" t="s">
        <v>32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 t="shared" si="114"/>
        <v>BOM</v>
      </c>
      <c r="M939">
        <v>0</v>
      </c>
      <c r="N939">
        <v>100</v>
      </c>
      <c r="O939">
        <v>27.43362831858407</v>
      </c>
    </row>
    <row r="940" spans="1:15" customFormat="1" hidden="1" x14ac:dyDescent="0.25">
      <c r="A940" s="11">
        <v>46029</v>
      </c>
      <c r="B940" t="s">
        <v>44</v>
      </c>
      <c r="C940" t="s">
        <v>32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26</v>
      </c>
      <c r="K940" s="3">
        <f>I940-J940</f>
        <v>4</v>
      </c>
      <c r="L940" s="3" t="str">
        <f t="shared" si="114"/>
        <v>BOM</v>
      </c>
      <c r="M940">
        <v>27</v>
      </c>
      <c r="N940">
        <v>98.65</v>
      </c>
      <c r="O940">
        <v>30.978260869565219</v>
      </c>
    </row>
    <row r="941" spans="1:15" customFormat="1" hidden="1" x14ac:dyDescent="0.25">
      <c r="A941" s="11">
        <v>46029</v>
      </c>
      <c r="B941" t="s">
        <v>20</v>
      </c>
      <c r="C941" t="s">
        <v>16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14"/>
        <v>BOM</v>
      </c>
      <c r="M941">
        <v>0</v>
      </c>
      <c r="N941">
        <v>100</v>
      </c>
      <c r="O941">
        <v>12</v>
      </c>
    </row>
    <row r="942" spans="1:15" customFormat="1" hidden="1" x14ac:dyDescent="0.25">
      <c r="A942" s="11">
        <v>46029</v>
      </c>
      <c r="B942" t="s">
        <v>28</v>
      </c>
      <c r="C942" t="s">
        <v>26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14"/>
        <v>BOM</v>
      </c>
      <c r="M942">
        <v>0</v>
      </c>
      <c r="N942">
        <v>0</v>
      </c>
      <c r="O942">
        <v>0</v>
      </c>
    </row>
    <row r="943" spans="1:15" customFormat="1" hidden="1" x14ac:dyDescent="0.25">
      <c r="A943" s="11">
        <v>46029</v>
      </c>
      <c r="B943" t="s">
        <v>58</v>
      </c>
      <c r="C943" t="s">
        <v>48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14"/>
        <v>BOM</v>
      </c>
      <c r="M943">
        <v>0</v>
      </c>
      <c r="N943">
        <v>97.56</v>
      </c>
      <c r="O943">
        <v>31.067961165048541</v>
      </c>
    </row>
    <row r="944" spans="1:15" customFormat="1" hidden="1" x14ac:dyDescent="0.25">
      <c r="A944" s="11">
        <v>46029</v>
      </c>
      <c r="B944" t="s">
        <v>29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14"/>
        <v>BOM</v>
      </c>
      <c r="M944">
        <v>0</v>
      </c>
      <c r="N944">
        <v>0</v>
      </c>
      <c r="O944">
        <v>0</v>
      </c>
    </row>
    <row r="945" spans="1:15" customFormat="1" hidden="1" x14ac:dyDescent="0.25">
      <c r="A945" s="11">
        <v>46029</v>
      </c>
      <c r="B945" t="s">
        <v>30</v>
      </c>
      <c r="C945" t="s">
        <v>26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14"/>
        <v>BOM</v>
      </c>
      <c r="M945">
        <v>0</v>
      </c>
      <c r="N945">
        <v>0</v>
      </c>
      <c r="O945">
        <v>0</v>
      </c>
    </row>
    <row r="946" spans="1:15" customFormat="1" hidden="1" x14ac:dyDescent="0.25">
      <c r="A946" s="11">
        <v>46029</v>
      </c>
      <c r="B946" t="s">
        <v>21</v>
      </c>
      <c r="C946" t="s">
        <v>16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14"/>
        <v>BOM</v>
      </c>
      <c r="M946">
        <v>0</v>
      </c>
      <c r="N946">
        <v>0</v>
      </c>
      <c r="O946">
        <v>0</v>
      </c>
    </row>
    <row r="947" spans="1:15" customFormat="1" hidden="1" x14ac:dyDescent="0.25">
      <c r="A947" s="11">
        <v>46029</v>
      </c>
      <c r="B947" t="s">
        <v>63</v>
      </c>
      <c r="C947" t="s">
        <v>23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14"/>
        <v>BOM</v>
      </c>
      <c r="M947">
        <v>0</v>
      </c>
      <c r="N947">
        <v>100</v>
      </c>
      <c r="O947">
        <v>53.846153846153847</v>
      </c>
    </row>
    <row r="948" spans="1:15" customFormat="1" hidden="1" x14ac:dyDescent="0.25">
      <c r="A948" s="11">
        <v>46029</v>
      </c>
      <c r="B948" t="s">
        <v>45</v>
      </c>
      <c r="C948" t="s">
        <v>32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 t="shared" si="114"/>
        <v>BOM</v>
      </c>
      <c r="M948">
        <v>0</v>
      </c>
      <c r="N948">
        <v>100</v>
      </c>
      <c r="O948">
        <v>44.05594405594406</v>
      </c>
    </row>
    <row r="949" spans="1:15" customFormat="1" hidden="1" x14ac:dyDescent="0.25">
      <c r="A949" s="11">
        <v>46029</v>
      </c>
      <c r="B949" t="s">
        <v>64</v>
      </c>
      <c r="C949" t="s">
        <v>23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17</v>
      </c>
      <c r="K949" s="3">
        <f>I949-J949</f>
        <v>0</v>
      </c>
      <c r="L949" s="3" t="str">
        <f t="shared" si="114"/>
        <v>BOM</v>
      </c>
      <c r="M949">
        <v>16</v>
      </c>
      <c r="N949">
        <v>100</v>
      </c>
      <c r="O949">
        <v>31.872509960159359</v>
      </c>
    </row>
    <row r="950" spans="1:15" customFormat="1" hidden="1" x14ac:dyDescent="0.25">
      <c r="A950" s="11">
        <v>46029</v>
      </c>
      <c r="B950" t="s">
        <v>46</v>
      </c>
      <c r="C950" t="s">
        <v>32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26</v>
      </c>
      <c r="K950" s="3">
        <f>I950-J950</f>
        <v>0</v>
      </c>
      <c r="L950" s="3" t="str">
        <f t="shared" si="114"/>
        <v>BOM</v>
      </c>
      <c r="M950">
        <v>23</v>
      </c>
      <c r="N950">
        <v>98.41</v>
      </c>
      <c r="O950">
        <v>29.22465208747515</v>
      </c>
    </row>
    <row r="951" spans="1:15" customFormat="1" hidden="1" x14ac:dyDescent="0.25">
      <c r="A951" s="11">
        <v>46030</v>
      </c>
      <c r="B951" t="s">
        <v>47</v>
      </c>
      <c r="C951" t="s">
        <v>48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19</v>
      </c>
      <c r="K951" s="3">
        <f>I951-J951</f>
        <v>8</v>
      </c>
      <c r="L951" s="3" t="str">
        <f t="shared" si="114"/>
        <v>EXCELENTE</v>
      </c>
      <c r="M951">
        <v>21</v>
      </c>
      <c r="N951">
        <v>96.81</v>
      </c>
      <c r="O951">
        <v>27.980535279805348</v>
      </c>
    </row>
    <row r="952" spans="1:15" customFormat="1" hidden="1" x14ac:dyDescent="0.25">
      <c r="A952" s="11">
        <v>46030</v>
      </c>
      <c r="B952" t="s">
        <v>31</v>
      </c>
      <c r="C952" t="s">
        <v>32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 t="shared" si="114"/>
        <v>BOM</v>
      </c>
      <c r="M952">
        <v>23</v>
      </c>
      <c r="N952">
        <v>98.73</v>
      </c>
      <c r="O952">
        <v>35.756385068762278</v>
      </c>
    </row>
    <row r="953" spans="1:15" customFormat="1" hidden="1" x14ac:dyDescent="0.25">
      <c r="A953" s="11">
        <v>46030</v>
      </c>
      <c r="B953" t="s">
        <v>59</v>
      </c>
      <c r="C953" t="s">
        <v>23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16</v>
      </c>
      <c r="K953" s="3">
        <f>I953-J953</f>
        <v>1</v>
      </c>
      <c r="L953" s="3" t="str">
        <f t="shared" si="114"/>
        <v>BOM</v>
      </c>
      <c r="M953">
        <v>17</v>
      </c>
      <c r="N953">
        <v>98.32</v>
      </c>
      <c r="O953">
        <v>26.763485477178421</v>
      </c>
    </row>
    <row r="954" spans="1:15" customFormat="1" hidden="1" x14ac:dyDescent="0.25">
      <c r="A954" s="11">
        <v>46030</v>
      </c>
      <c r="B954" t="s">
        <v>33</v>
      </c>
      <c r="C954" t="s">
        <v>32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24</v>
      </c>
      <c r="K954" s="3">
        <f>I954-J954</f>
        <v>17</v>
      </c>
      <c r="L954" s="3" t="str">
        <f t="shared" si="114"/>
        <v>EXCELENTE</v>
      </c>
      <c r="M954">
        <v>36</v>
      </c>
      <c r="N954">
        <v>99.19</v>
      </c>
      <c r="O954">
        <v>27.637130801687761</v>
      </c>
    </row>
    <row r="955" spans="1:15" customFormat="1" hidden="1" x14ac:dyDescent="0.25">
      <c r="A955" s="11">
        <v>46030</v>
      </c>
      <c r="B955" t="s">
        <v>15</v>
      </c>
      <c r="C955" t="s">
        <v>16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7</v>
      </c>
      <c r="K955" s="3">
        <f>I955-J955</f>
        <v>2</v>
      </c>
      <c r="L955" s="3" t="str">
        <f t="shared" si="114"/>
        <v>BOM</v>
      </c>
      <c r="M955">
        <v>7</v>
      </c>
      <c r="N955">
        <v>100</v>
      </c>
      <c r="O955">
        <v>39.568345323741013</v>
      </c>
    </row>
    <row r="956" spans="1:15" customFormat="1" hidden="1" x14ac:dyDescent="0.25">
      <c r="A956" s="11">
        <v>46030</v>
      </c>
      <c r="B956" t="s">
        <v>49</v>
      </c>
      <c r="C956" t="s">
        <v>48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12</v>
      </c>
      <c r="L956" s="3" t="str">
        <f t="shared" si="114"/>
        <v>EXCELENTE</v>
      </c>
      <c r="M956">
        <v>31</v>
      </c>
      <c r="N956">
        <v>98.54</v>
      </c>
      <c r="O956">
        <v>28.544776119402989</v>
      </c>
    </row>
    <row r="957" spans="1:15" customFormat="1" hidden="1" x14ac:dyDescent="0.25">
      <c r="A957" s="11">
        <v>46030</v>
      </c>
      <c r="B957" t="s">
        <v>50</v>
      </c>
      <c r="C957" t="s">
        <v>48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19</v>
      </c>
      <c r="K957" s="3">
        <f>I957-J957</f>
        <v>-3</v>
      </c>
      <c r="L957" s="3" t="str">
        <f t="shared" si="114"/>
        <v>ATENÇÃO</v>
      </c>
      <c r="M957">
        <v>16</v>
      </c>
      <c r="N957">
        <v>100</v>
      </c>
      <c r="O957">
        <v>34.366925064599492</v>
      </c>
    </row>
    <row r="958" spans="1:15" customFormat="1" hidden="1" x14ac:dyDescent="0.25">
      <c r="A958" s="11">
        <v>46030</v>
      </c>
      <c r="B958" t="s">
        <v>17</v>
      </c>
      <c r="C958" t="s">
        <v>16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 t="shared" si="114"/>
        <v>BOM</v>
      </c>
      <c r="M958">
        <v>0</v>
      </c>
      <c r="N958">
        <v>0</v>
      </c>
      <c r="O958">
        <v>0</v>
      </c>
    </row>
    <row r="959" spans="1:15" customFormat="1" hidden="1" x14ac:dyDescent="0.25">
      <c r="A959" s="11">
        <v>46030</v>
      </c>
      <c r="B959" t="s">
        <v>60</v>
      </c>
      <c r="C959" t="s">
        <v>23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13</v>
      </c>
      <c r="L959" s="3" t="str">
        <f t="shared" si="114"/>
        <v>EXCELENTE</v>
      </c>
      <c r="M959">
        <v>22</v>
      </c>
      <c r="N959">
        <v>100</v>
      </c>
      <c r="O959">
        <v>29.518072289156631</v>
      </c>
    </row>
    <row r="960" spans="1:15" customFormat="1" hidden="1" x14ac:dyDescent="0.25">
      <c r="A960" s="11">
        <v>46030</v>
      </c>
      <c r="B960" t="s">
        <v>34</v>
      </c>
      <c r="C960" t="s">
        <v>32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24</v>
      </c>
      <c r="K960" s="3">
        <f>I960-J960</f>
        <v>5</v>
      </c>
      <c r="L960" s="3" t="str">
        <f t="shared" si="114"/>
        <v>BOM</v>
      </c>
      <c r="M960">
        <v>29</v>
      </c>
      <c r="N960">
        <v>97.45</v>
      </c>
      <c r="O960">
        <v>41.421143847487002</v>
      </c>
    </row>
    <row r="961" spans="1:15" customFormat="1" hidden="1" x14ac:dyDescent="0.25">
      <c r="A961" s="11">
        <v>46030</v>
      </c>
      <c r="B961" t="s">
        <v>51</v>
      </c>
      <c r="C961" t="s">
        <v>48</v>
      </c>
      <c r="D961">
        <v>33</v>
      </c>
      <c r="E961">
        <v>28</v>
      </c>
      <c r="F961">
        <v>17.260000000000002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 t="shared" si="114"/>
        <v>BOM</v>
      </c>
      <c r="M961">
        <v>23</v>
      </c>
      <c r="N961">
        <v>96.58</v>
      </c>
      <c r="O961">
        <v>30.396475770925111</v>
      </c>
    </row>
    <row r="962" spans="1:15" customFormat="1" hidden="1" x14ac:dyDescent="0.25">
      <c r="A962" s="11">
        <v>46030</v>
      </c>
      <c r="B962" t="s">
        <v>61</v>
      </c>
      <c r="C962" t="s">
        <v>23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16</v>
      </c>
      <c r="K962" s="3">
        <f>I962-J962</f>
        <v>8</v>
      </c>
      <c r="L962" s="3" t="str">
        <f t="shared" si="114"/>
        <v>EXCELENTE</v>
      </c>
      <c r="M962">
        <v>22</v>
      </c>
      <c r="N962">
        <v>100</v>
      </c>
      <c r="O962">
        <v>27.44282744282744</v>
      </c>
    </row>
    <row r="963" spans="1:15" customFormat="1" hidden="1" x14ac:dyDescent="0.25">
      <c r="A963" s="11">
        <v>46030</v>
      </c>
      <c r="B963" t="s">
        <v>35</v>
      </c>
      <c r="C963" t="s">
        <v>32</v>
      </c>
      <c r="D963">
        <v>29</v>
      </c>
      <c r="E963">
        <v>28</v>
      </c>
      <c r="F963">
        <v>26.59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14"/>
        <v>BOM</v>
      </c>
      <c r="M963">
        <v>28</v>
      </c>
      <c r="N963">
        <v>99.49</v>
      </c>
      <c r="O963">
        <v>40.200000000000003</v>
      </c>
    </row>
    <row r="964" spans="1:15" customFormat="1" hidden="1" x14ac:dyDescent="0.25">
      <c r="A964" s="11">
        <v>46030</v>
      </c>
      <c r="B964" t="s">
        <v>18</v>
      </c>
      <c r="C964" t="s">
        <v>16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 t="shared" si="114"/>
        <v>BOM</v>
      </c>
      <c r="M964">
        <v>0</v>
      </c>
      <c r="N964">
        <v>100</v>
      </c>
      <c r="O964">
        <v>25</v>
      </c>
    </row>
    <row r="965" spans="1:15" customFormat="1" hidden="1" x14ac:dyDescent="0.25">
      <c r="A965" s="11">
        <v>46030</v>
      </c>
      <c r="B965" t="s">
        <v>52</v>
      </c>
      <c r="C965" t="s">
        <v>48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 t="shared" ref="I965:I972" si="118">E965+G965+H965</f>
        <v>26</v>
      </c>
      <c r="J965" s="3">
        <f t="shared" ref="J965:J972" si="119"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 t="shared" ref="K965:K972" si="120">I965-J965</f>
        <v>7</v>
      </c>
      <c r="L965" s="3" t="str">
        <f t="shared" si="114"/>
        <v>EXCELENTE</v>
      </c>
      <c r="M965">
        <v>26</v>
      </c>
      <c r="N965">
        <v>100</v>
      </c>
      <c r="O965">
        <v>34.15094339622641</v>
      </c>
    </row>
    <row r="966" spans="1:15" customFormat="1" hidden="1" x14ac:dyDescent="0.25">
      <c r="A966" s="11">
        <v>46030</v>
      </c>
      <c r="B966" t="s">
        <v>36</v>
      </c>
      <c r="C966" t="s">
        <v>32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 t="shared" si="118"/>
        <v>15</v>
      </c>
      <c r="J966" s="3">
        <f t="shared" si="119"/>
        <v>24</v>
      </c>
      <c r="K966" s="3">
        <f t="shared" si="120"/>
        <v>-9</v>
      </c>
      <c r="L966" s="3" t="str">
        <f t="shared" si="114"/>
        <v>CRÍTICO</v>
      </c>
      <c r="M966">
        <v>17</v>
      </c>
      <c r="N966">
        <v>100</v>
      </c>
      <c r="O966">
        <v>32.731376975169297</v>
      </c>
    </row>
    <row r="967" spans="1:15" customFormat="1" hidden="1" x14ac:dyDescent="0.25">
      <c r="A967" s="11">
        <v>46030</v>
      </c>
      <c r="B967" t="s">
        <v>53</v>
      </c>
      <c r="C967" t="s">
        <v>48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 t="shared" si="118"/>
        <v>33</v>
      </c>
      <c r="J967" s="3">
        <f t="shared" si="119"/>
        <v>19</v>
      </c>
      <c r="K967" s="3">
        <f t="shared" si="120"/>
        <v>14</v>
      </c>
      <c r="L967" s="3" t="str">
        <f t="shared" ref="L967:L1030" si="121">IF(K967&lt;-5,"CRÍTICO",IF(K967&lt;0,"ATENÇÃO",IF(K967&lt;=5,"BOM","EXCELENTE")))</f>
        <v>EXCELENTE</v>
      </c>
      <c r="M967">
        <v>32</v>
      </c>
      <c r="N967">
        <v>99.31</v>
      </c>
      <c r="O967">
        <v>30.96234309623431</v>
      </c>
    </row>
    <row r="968" spans="1:15" customFormat="1" hidden="1" x14ac:dyDescent="0.25">
      <c r="A968" s="11">
        <v>46064</v>
      </c>
      <c r="B968" t="s">
        <v>22</v>
      </c>
      <c r="C968" t="s">
        <v>23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 t="shared" si="118"/>
        <v>2</v>
      </c>
      <c r="J968" s="3">
        <f t="shared" si="119"/>
        <v>19</v>
      </c>
      <c r="K968" s="3">
        <f t="shared" si="120"/>
        <v>-17</v>
      </c>
      <c r="L968" s="3" t="str">
        <f t="shared" si="121"/>
        <v>CRÍTICO</v>
      </c>
      <c r="M968">
        <v>28</v>
      </c>
      <c r="N968">
        <v>96.67</v>
      </c>
      <c r="O968">
        <v>31.451612903225811</v>
      </c>
    </row>
    <row r="969" spans="1:15" customFormat="1" hidden="1" x14ac:dyDescent="0.25">
      <c r="A969" s="11">
        <v>46030</v>
      </c>
      <c r="B969" t="s">
        <v>54</v>
      </c>
      <c r="C969" t="s">
        <v>48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 t="shared" si="118"/>
        <v>36</v>
      </c>
      <c r="J969" s="3">
        <f t="shared" si="119"/>
        <v>19</v>
      </c>
      <c r="K969" s="3">
        <f t="shared" si="120"/>
        <v>17</v>
      </c>
      <c r="L969" s="3" t="str">
        <f t="shared" si="121"/>
        <v>EXCELENTE</v>
      </c>
      <c r="M969">
        <v>28</v>
      </c>
      <c r="N969">
        <v>100</v>
      </c>
      <c r="O969">
        <v>27.676767676767678</v>
      </c>
    </row>
    <row r="970" spans="1:15" customFormat="1" hidden="1" x14ac:dyDescent="0.25">
      <c r="A970" s="11">
        <v>46030</v>
      </c>
      <c r="B970" t="s">
        <v>37</v>
      </c>
      <c r="C970" t="s">
        <v>32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 t="shared" si="118"/>
        <v>44</v>
      </c>
      <c r="J970" s="3">
        <f t="shared" si="119"/>
        <v>24</v>
      </c>
      <c r="K970" s="3">
        <f t="shared" si="120"/>
        <v>20</v>
      </c>
      <c r="L970" s="3" t="str">
        <f t="shared" si="121"/>
        <v>EXCELENTE</v>
      </c>
      <c r="M970">
        <v>42</v>
      </c>
      <c r="N970">
        <v>100</v>
      </c>
      <c r="O970">
        <v>31.17723156532988</v>
      </c>
    </row>
    <row r="971" spans="1:15" customFormat="1" hidden="1" x14ac:dyDescent="0.25">
      <c r="A971" s="11">
        <v>46030</v>
      </c>
      <c r="B971" t="s">
        <v>38</v>
      </c>
      <c r="C971" t="s">
        <v>32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 t="shared" si="118"/>
        <v>21</v>
      </c>
      <c r="J971" s="3">
        <f t="shared" si="119"/>
        <v>24</v>
      </c>
      <c r="K971" s="3">
        <f t="shared" si="120"/>
        <v>-3</v>
      </c>
      <c r="L971" s="3" t="str">
        <f t="shared" si="121"/>
        <v>ATENÇÃO</v>
      </c>
      <c r="M971">
        <v>16</v>
      </c>
      <c r="N971">
        <v>100</v>
      </c>
      <c r="O971">
        <v>27.609427609427609</v>
      </c>
    </row>
    <row r="972" spans="1:15" customFormat="1" hidden="1" x14ac:dyDescent="0.25">
      <c r="A972" s="11">
        <v>46030</v>
      </c>
      <c r="B972" t="s">
        <v>55</v>
      </c>
      <c r="C972" t="s">
        <v>48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 t="shared" si="118"/>
        <v>22</v>
      </c>
      <c r="J972" s="3">
        <f t="shared" si="119"/>
        <v>19</v>
      </c>
      <c r="K972" s="3">
        <f t="shared" si="120"/>
        <v>3</v>
      </c>
      <c r="L972" s="3" t="str">
        <f t="shared" si="121"/>
        <v>BOM</v>
      </c>
      <c r="M972">
        <v>22</v>
      </c>
      <c r="N972">
        <v>96.4</v>
      </c>
      <c r="O972">
        <v>28.764044943820231</v>
      </c>
    </row>
    <row r="973" spans="1:15" customFormat="1" hidden="1" x14ac:dyDescent="0.25">
      <c r="A973" s="11">
        <v>46030</v>
      </c>
      <c r="B973" t="s">
        <v>39</v>
      </c>
      <c r="C973" t="s">
        <v>32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 t="shared" si="121"/>
        <v>BOM</v>
      </c>
      <c r="M973">
        <v>25</v>
      </c>
      <c r="N973">
        <v>100</v>
      </c>
      <c r="O973">
        <v>33.980582524271853</v>
      </c>
    </row>
    <row r="974" spans="1:15" customFormat="1" hidden="1" x14ac:dyDescent="0.25">
      <c r="A974" s="11">
        <v>46030</v>
      </c>
      <c r="B974" t="s">
        <v>25</v>
      </c>
      <c r="C974" t="s">
        <v>26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14</v>
      </c>
      <c r="K974" s="3">
        <f>I974-J974</f>
        <v>-6</v>
      </c>
      <c r="L974" s="3" t="str">
        <f t="shared" si="121"/>
        <v>CRÍTICO</v>
      </c>
      <c r="M974">
        <v>8</v>
      </c>
      <c r="N974">
        <v>97.56</v>
      </c>
      <c r="O974">
        <v>32.515337423312893</v>
      </c>
    </row>
    <row r="975" spans="1:15" customFormat="1" hidden="1" x14ac:dyDescent="0.25">
      <c r="A975" s="11">
        <v>46030</v>
      </c>
      <c r="B975" t="s">
        <v>40</v>
      </c>
      <c r="C975" t="s">
        <v>32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24</v>
      </c>
      <c r="K975" s="3">
        <f>I975-J975</f>
        <v>-2</v>
      </c>
      <c r="L975" s="3" t="str">
        <f t="shared" si="121"/>
        <v>ATENÇÃO</v>
      </c>
      <c r="M975">
        <v>21</v>
      </c>
      <c r="N975">
        <v>97.11</v>
      </c>
      <c r="O975">
        <v>37.408312958435211</v>
      </c>
    </row>
    <row r="976" spans="1:15" customFormat="1" hidden="1" x14ac:dyDescent="0.25">
      <c r="A976" s="11">
        <v>46030</v>
      </c>
      <c r="B976" t="s">
        <v>27</v>
      </c>
      <c r="C976" t="s">
        <v>26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 t="shared" si="121"/>
        <v>BOM</v>
      </c>
      <c r="M976">
        <v>0</v>
      </c>
      <c r="N976">
        <v>0</v>
      </c>
      <c r="O976">
        <v>0</v>
      </c>
    </row>
    <row r="977" spans="1:15" customFormat="1" hidden="1" x14ac:dyDescent="0.25">
      <c r="A977" s="11">
        <v>46030</v>
      </c>
      <c r="B977" t="s">
        <v>41</v>
      </c>
      <c r="C977" t="s">
        <v>32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5</v>
      </c>
      <c r="L977" s="3" t="str">
        <f t="shared" si="121"/>
        <v>BOM</v>
      </c>
      <c r="M977">
        <v>31</v>
      </c>
      <c r="N977">
        <v>100</v>
      </c>
      <c r="O977">
        <v>30.470347648261761</v>
      </c>
    </row>
    <row r="978" spans="1:15" customFormat="1" hidden="1" x14ac:dyDescent="0.25">
      <c r="A978" s="11">
        <v>46030</v>
      </c>
      <c r="B978" t="s">
        <v>56</v>
      </c>
      <c r="C978" t="s">
        <v>48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19</v>
      </c>
      <c r="K978" s="3">
        <f>I978-J978</f>
        <v>12</v>
      </c>
      <c r="L978" s="3" t="str">
        <f t="shared" si="121"/>
        <v>EXCELENTE</v>
      </c>
      <c r="M978">
        <v>18</v>
      </c>
      <c r="N978">
        <v>100</v>
      </c>
      <c r="O978">
        <v>32.371134020618562</v>
      </c>
    </row>
    <row r="979" spans="1:15" customFormat="1" hidden="1" x14ac:dyDescent="0.25">
      <c r="A979" s="11">
        <v>46030</v>
      </c>
      <c r="B979" t="s">
        <v>57</v>
      </c>
      <c r="C979" t="s">
        <v>48</v>
      </c>
      <c r="D979">
        <v>28</v>
      </c>
      <c r="E979">
        <v>27</v>
      </c>
      <c r="F979">
        <v>20.25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 t="shared" si="121"/>
        <v>BOM</v>
      </c>
      <c r="M979">
        <v>20</v>
      </c>
      <c r="N979">
        <v>98.32</v>
      </c>
      <c r="O979">
        <v>32.318501170960189</v>
      </c>
    </row>
    <row r="980" spans="1:15" customFormat="1" hidden="1" x14ac:dyDescent="0.25">
      <c r="A980" s="11">
        <v>46030</v>
      </c>
      <c r="B980" t="s">
        <v>42</v>
      </c>
      <c r="C980" t="s">
        <v>32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24</v>
      </c>
      <c r="K980" s="3">
        <f>I980-J980</f>
        <v>7</v>
      </c>
      <c r="L980" s="3" t="str">
        <f t="shared" si="121"/>
        <v>EXCELENTE</v>
      </c>
      <c r="M980">
        <v>29</v>
      </c>
      <c r="N980">
        <v>96.43</v>
      </c>
      <c r="O980">
        <v>27.015250544662312</v>
      </c>
    </row>
    <row r="981" spans="1:15" customFormat="1" hidden="1" x14ac:dyDescent="0.25">
      <c r="A981" s="11">
        <v>46030</v>
      </c>
      <c r="B981" t="s">
        <v>62</v>
      </c>
      <c r="C981" t="s">
        <v>23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16</v>
      </c>
      <c r="K981" s="3">
        <f>I981-J981</f>
        <v>-2</v>
      </c>
      <c r="L981" s="3" t="str">
        <f t="shared" si="121"/>
        <v>ATENÇÃO</v>
      </c>
      <c r="M981">
        <v>16</v>
      </c>
      <c r="N981">
        <v>98.89</v>
      </c>
      <c r="O981">
        <v>28.021978021978018</v>
      </c>
    </row>
    <row r="982" spans="1:15" customFormat="1" hidden="1" x14ac:dyDescent="0.25">
      <c r="A982" s="11">
        <v>46030</v>
      </c>
      <c r="B982" t="s">
        <v>19</v>
      </c>
      <c r="C982" t="s">
        <v>16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7</v>
      </c>
      <c r="K982" s="3">
        <f>I982-J982</f>
        <v>5</v>
      </c>
      <c r="L982" s="3" t="str">
        <f t="shared" si="121"/>
        <v>BOM</v>
      </c>
      <c r="M982">
        <v>10</v>
      </c>
      <c r="N982">
        <v>100</v>
      </c>
      <c r="O982">
        <v>33.333333333333329</v>
      </c>
    </row>
    <row r="983" spans="1:15" customFormat="1" hidden="1" x14ac:dyDescent="0.25">
      <c r="A983" s="11">
        <v>46030</v>
      </c>
      <c r="B983" t="s">
        <v>43</v>
      </c>
      <c r="C983" t="s">
        <v>32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 t="shared" si="121"/>
        <v>BOM</v>
      </c>
      <c r="M983">
        <v>0</v>
      </c>
      <c r="N983">
        <v>100</v>
      </c>
      <c r="O983">
        <v>27.43362831858407</v>
      </c>
    </row>
    <row r="984" spans="1:15" customFormat="1" hidden="1" x14ac:dyDescent="0.25">
      <c r="A984" s="11">
        <v>46030</v>
      </c>
      <c r="B984" t="s">
        <v>44</v>
      </c>
      <c r="C984" t="s">
        <v>32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24</v>
      </c>
      <c r="K984" s="3">
        <f>I984-J984</f>
        <v>8</v>
      </c>
      <c r="L984" s="3" t="str">
        <f t="shared" si="121"/>
        <v>EXCELENTE</v>
      </c>
      <c r="M984">
        <v>24</v>
      </c>
      <c r="N984">
        <v>98.65</v>
      </c>
      <c r="O984">
        <v>30.978260869565219</v>
      </c>
    </row>
    <row r="985" spans="1:15" customFormat="1" hidden="1" x14ac:dyDescent="0.25">
      <c r="A985" s="11">
        <v>46030</v>
      </c>
      <c r="B985" t="s">
        <v>20</v>
      </c>
      <c r="C985" t="s">
        <v>16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21"/>
        <v>BOM</v>
      </c>
      <c r="M985">
        <v>0</v>
      </c>
      <c r="N985">
        <v>100</v>
      </c>
      <c r="O985">
        <v>12</v>
      </c>
    </row>
    <row r="986" spans="1:15" customFormat="1" hidden="1" x14ac:dyDescent="0.25">
      <c r="A986" s="11">
        <v>46030</v>
      </c>
      <c r="B986" t="s">
        <v>28</v>
      </c>
      <c r="C986" t="s">
        <v>26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21"/>
        <v>BOM</v>
      </c>
      <c r="M986">
        <v>0</v>
      </c>
      <c r="N986">
        <v>0</v>
      </c>
      <c r="O986">
        <v>0</v>
      </c>
    </row>
    <row r="987" spans="1:15" customFormat="1" hidden="1" x14ac:dyDescent="0.25">
      <c r="A987" s="11">
        <v>46030</v>
      </c>
      <c r="B987" t="s">
        <v>58</v>
      </c>
      <c r="C987" t="s">
        <v>48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21"/>
        <v>BOM</v>
      </c>
      <c r="M987">
        <v>0</v>
      </c>
      <c r="N987">
        <v>97.56</v>
      </c>
      <c r="O987">
        <v>31.067961165048541</v>
      </c>
    </row>
    <row r="988" spans="1:15" customFormat="1" hidden="1" x14ac:dyDescent="0.25">
      <c r="A988" s="11">
        <v>46030</v>
      </c>
      <c r="B988" t="s">
        <v>29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21"/>
        <v>BOM</v>
      </c>
      <c r="M988">
        <v>0</v>
      </c>
      <c r="N988">
        <v>0</v>
      </c>
      <c r="O988">
        <v>0</v>
      </c>
    </row>
    <row r="989" spans="1:15" customFormat="1" hidden="1" x14ac:dyDescent="0.25">
      <c r="A989" s="11">
        <v>46030</v>
      </c>
      <c r="B989" t="s">
        <v>30</v>
      </c>
      <c r="C989" t="s">
        <v>26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21"/>
        <v>BOM</v>
      </c>
      <c r="M989">
        <v>0</v>
      </c>
      <c r="N989">
        <v>0</v>
      </c>
      <c r="O989">
        <v>0</v>
      </c>
    </row>
    <row r="990" spans="1:15" customFormat="1" hidden="1" x14ac:dyDescent="0.25">
      <c r="A990" s="11">
        <v>46030</v>
      </c>
      <c r="B990" t="s">
        <v>21</v>
      </c>
      <c r="C990" t="s">
        <v>16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21"/>
        <v>BOM</v>
      </c>
      <c r="M990">
        <v>0</v>
      </c>
      <c r="N990">
        <v>0</v>
      </c>
      <c r="O990">
        <v>0</v>
      </c>
    </row>
    <row r="991" spans="1:15" customFormat="1" hidden="1" x14ac:dyDescent="0.25">
      <c r="A991" s="11">
        <v>46030</v>
      </c>
      <c r="B991" t="s">
        <v>63</v>
      </c>
      <c r="C991" t="s">
        <v>23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21"/>
        <v>BOM</v>
      </c>
      <c r="M991">
        <v>0</v>
      </c>
      <c r="N991">
        <v>100</v>
      </c>
      <c r="O991">
        <v>53.846153846153847</v>
      </c>
    </row>
    <row r="992" spans="1:15" customFormat="1" hidden="1" x14ac:dyDescent="0.25">
      <c r="A992" s="11">
        <v>46030</v>
      </c>
      <c r="B992" t="s">
        <v>45</v>
      </c>
      <c r="C992" t="s">
        <v>32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 t="shared" si="121"/>
        <v>BOM</v>
      </c>
      <c r="M992">
        <v>0</v>
      </c>
      <c r="N992">
        <v>100</v>
      </c>
      <c r="O992">
        <v>44.05594405594406</v>
      </c>
    </row>
    <row r="993" spans="1:15" customFormat="1" hidden="1" x14ac:dyDescent="0.25">
      <c r="A993" s="11">
        <v>46030</v>
      </c>
      <c r="B993" t="s">
        <v>64</v>
      </c>
      <c r="C993" t="s">
        <v>23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16</v>
      </c>
      <c r="K993" s="3">
        <f>I993-J993</f>
        <v>-6</v>
      </c>
      <c r="L993" s="3" t="str">
        <f t="shared" si="121"/>
        <v>CRÍTICO</v>
      </c>
      <c r="M993">
        <v>8</v>
      </c>
      <c r="N993">
        <v>100</v>
      </c>
      <c r="O993">
        <v>31.872509960159359</v>
      </c>
    </row>
    <row r="994" spans="1:15" customFormat="1" hidden="1" x14ac:dyDescent="0.25">
      <c r="A994" s="11">
        <v>46030</v>
      </c>
      <c r="B994" t="s">
        <v>46</v>
      </c>
      <c r="C994" t="s">
        <v>32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24</v>
      </c>
      <c r="K994" s="3">
        <f>I994-J994</f>
        <v>2</v>
      </c>
      <c r="L994" s="3" t="str">
        <f t="shared" si="121"/>
        <v>BOM</v>
      </c>
      <c r="M994">
        <v>24</v>
      </c>
      <c r="N994">
        <v>98.41</v>
      </c>
      <c r="O994">
        <v>29.22465208747515</v>
      </c>
    </row>
    <row r="995" spans="1:15" customFormat="1" hidden="1" x14ac:dyDescent="0.25">
      <c r="A995" s="11">
        <v>46031</v>
      </c>
      <c r="B995" t="s">
        <v>47</v>
      </c>
      <c r="C995" t="s">
        <v>48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16</v>
      </c>
      <c r="K995" s="3">
        <f>I995-J995</f>
        <v>3</v>
      </c>
      <c r="L995" s="3" t="str">
        <f t="shared" si="121"/>
        <v>BOM</v>
      </c>
      <c r="M995">
        <v>10</v>
      </c>
      <c r="N995">
        <v>96.81</v>
      </c>
      <c r="O995">
        <v>27.980535279805348</v>
      </c>
    </row>
    <row r="996" spans="1:15" customFormat="1" hidden="1" x14ac:dyDescent="0.25">
      <c r="A996" s="11">
        <v>46031</v>
      </c>
      <c r="B996" t="s">
        <v>31</v>
      </c>
      <c r="C996" t="s">
        <v>32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 t="shared" si="121"/>
        <v>BOM</v>
      </c>
      <c r="M996">
        <v>28</v>
      </c>
      <c r="N996">
        <v>98.73</v>
      </c>
      <c r="O996">
        <v>35.756385068762278</v>
      </c>
    </row>
    <row r="997" spans="1:15" customFormat="1" hidden="1" x14ac:dyDescent="0.25">
      <c r="A997" s="11">
        <v>46031</v>
      </c>
      <c r="B997" t="s">
        <v>59</v>
      </c>
      <c r="C997" t="s">
        <v>23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13</v>
      </c>
      <c r="K997" s="3">
        <f>I997-J997</f>
        <v>10</v>
      </c>
      <c r="L997" s="3" t="str">
        <f t="shared" si="121"/>
        <v>EXCELENTE</v>
      </c>
      <c r="M997">
        <v>25</v>
      </c>
      <c r="N997">
        <v>98.32</v>
      </c>
      <c r="O997">
        <v>26.763485477178421</v>
      </c>
    </row>
    <row r="998" spans="1:15" customFormat="1" hidden="1" x14ac:dyDescent="0.25">
      <c r="A998" s="11">
        <v>46031</v>
      </c>
      <c r="B998" t="s">
        <v>33</v>
      </c>
      <c r="C998" t="s">
        <v>32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20</v>
      </c>
      <c r="K998" s="3">
        <f>I998-J998</f>
        <v>4</v>
      </c>
      <c r="L998" s="3" t="str">
        <f t="shared" si="121"/>
        <v>BOM</v>
      </c>
      <c r="M998">
        <v>22</v>
      </c>
      <c r="N998">
        <v>99.19</v>
      </c>
      <c r="O998">
        <v>27.637130801687761</v>
      </c>
    </row>
    <row r="999" spans="1:15" customFormat="1" hidden="1" x14ac:dyDescent="0.25">
      <c r="A999" s="11">
        <v>46031</v>
      </c>
      <c r="B999" t="s">
        <v>15</v>
      </c>
      <c r="C999" t="s">
        <v>16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6</v>
      </c>
      <c r="K999" s="3">
        <f>I999-J999</f>
        <v>5</v>
      </c>
      <c r="L999" s="3" t="str">
        <f t="shared" si="121"/>
        <v>BOM</v>
      </c>
      <c r="M999">
        <v>9</v>
      </c>
      <c r="N999">
        <v>100</v>
      </c>
      <c r="O999">
        <v>39.568345323741013</v>
      </c>
    </row>
    <row r="1000" spans="1:15" customFormat="1" hidden="1" x14ac:dyDescent="0.25">
      <c r="A1000" s="11">
        <v>46031</v>
      </c>
      <c r="B1000" t="s">
        <v>49</v>
      </c>
      <c r="C1000" t="s">
        <v>48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21"/>
        <v>BOM</v>
      </c>
      <c r="M1000">
        <v>16</v>
      </c>
      <c r="N1000">
        <v>98.54</v>
      </c>
      <c r="O1000">
        <v>28.544776119402989</v>
      </c>
    </row>
    <row r="1001" spans="1:15" customFormat="1" hidden="1" x14ac:dyDescent="0.25">
      <c r="A1001" s="11">
        <v>46031</v>
      </c>
      <c r="B1001" t="s">
        <v>50</v>
      </c>
      <c r="C1001" t="s">
        <v>48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16</v>
      </c>
      <c r="K1001" s="3">
        <f>I1001-J1001</f>
        <v>0</v>
      </c>
      <c r="L1001" s="3" t="str">
        <f t="shared" si="121"/>
        <v>BOM</v>
      </c>
      <c r="M1001">
        <v>16</v>
      </c>
      <c r="N1001">
        <v>100</v>
      </c>
      <c r="O1001">
        <v>34.366925064599492</v>
      </c>
    </row>
    <row r="1002" spans="1:15" customFormat="1" hidden="1" x14ac:dyDescent="0.25">
      <c r="A1002" s="11">
        <v>46031</v>
      </c>
      <c r="B1002" t="s">
        <v>17</v>
      </c>
      <c r="C1002" t="s">
        <v>16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 t="shared" si="121"/>
        <v>BOM</v>
      </c>
      <c r="M1002">
        <v>0</v>
      </c>
      <c r="N1002">
        <v>0</v>
      </c>
      <c r="O1002">
        <v>0</v>
      </c>
    </row>
    <row r="1003" spans="1:15" customFormat="1" hidden="1" x14ac:dyDescent="0.25">
      <c r="A1003" s="11">
        <v>46031</v>
      </c>
      <c r="B1003" t="s">
        <v>60</v>
      </c>
      <c r="C1003" t="s">
        <v>23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2</v>
      </c>
      <c r="L1003" s="3" t="str">
        <f t="shared" si="121"/>
        <v>BOM</v>
      </c>
      <c r="M1003">
        <v>14</v>
      </c>
      <c r="N1003">
        <v>100</v>
      </c>
      <c r="O1003">
        <v>29.518072289156631</v>
      </c>
    </row>
    <row r="1004" spans="1:15" customFormat="1" hidden="1" x14ac:dyDescent="0.25">
      <c r="A1004" s="11">
        <v>46031</v>
      </c>
      <c r="B1004" t="s">
        <v>34</v>
      </c>
      <c r="C1004" t="s">
        <v>32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20</v>
      </c>
      <c r="K1004" s="3">
        <f>I1004-J1004</f>
        <v>7</v>
      </c>
      <c r="L1004" s="3" t="str">
        <f t="shared" si="121"/>
        <v>EXCELENTE</v>
      </c>
      <c r="M1004">
        <v>27</v>
      </c>
      <c r="N1004">
        <v>97.45</v>
      </c>
      <c r="O1004">
        <v>41.421143847487002</v>
      </c>
    </row>
    <row r="1005" spans="1:15" customFormat="1" hidden="1" x14ac:dyDescent="0.25">
      <c r="A1005" s="11">
        <v>46031</v>
      </c>
      <c r="B1005" t="s">
        <v>51</v>
      </c>
      <c r="C1005" t="s">
        <v>48</v>
      </c>
      <c r="D1005">
        <v>26</v>
      </c>
      <c r="E1005">
        <v>18</v>
      </c>
      <c r="F1005">
        <v>15.06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 t="shared" si="121"/>
        <v>BOM</v>
      </c>
      <c r="M1005">
        <v>15</v>
      </c>
      <c r="N1005">
        <v>96.58</v>
      </c>
      <c r="O1005">
        <v>30.396475770925111</v>
      </c>
    </row>
    <row r="1006" spans="1:15" customFormat="1" hidden="1" x14ac:dyDescent="0.25">
      <c r="A1006" s="11">
        <v>46031</v>
      </c>
      <c r="B1006" t="s">
        <v>61</v>
      </c>
      <c r="C1006" t="s">
        <v>23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13</v>
      </c>
      <c r="K1006" s="3">
        <f>I1006-J1006</f>
        <v>7</v>
      </c>
      <c r="L1006" s="3" t="str">
        <f t="shared" si="121"/>
        <v>EXCELENTE</v>
      </c>
      <c r="M1006">
        <v>22</v>
      </c>
      <c r="N1006">
        <v>100</v>
      </c>
      <c r="O1006">
        <v>27.44282744282744</v>
      </c>
    </row>
    <row r="1007" spans="1:15" customFormat="1" hidden="1" x14ac:dyDescent="0.25">
      <c r="A1007" s="11">
        <v>46031</v>
      </c>
      <c r="B1007" t="s">
        <v>35</v>
      </c>
      <c r="C1007" t="s">
        <v>32</v>
      </c>
      <c r="D1007">
        <v>19</v>
      </c>
      <c r="E1007">
        <v>18</v>
      </c>
      <c r="F1007">
        <v>25.36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21"/>
        <v>BOM</v>
      </c>
      <c r="M1007">
        <v>18</v>
      </c>
      <c r="N1007">
        <v>99.49</v>
      </c>
      <c r="O1007">
        <v>40.200000000000003</v>
      </c>
    </row>
    <row r="1008" spans="1:15" customFormat="1" hidden="1" x14ac:dyDescent="0.25">
      <c r="A1008" s="11">
        <v>46031</v>
      </c>
      <c r="B1008" t="s">
        <v>18</v>
      </c>
      <c r="C1008" t="s">
        <v>16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 t="shared" si="121"/>
        <v>BOM</v>
      </c>
      <c r="M1008">
        <v>0</v>
      </c>
      <c r="N1008">
        <v>100</v>
      </c>
      <c r="O1008">
        <v>25</v>
      </c>
    </row>
    <row r="1009" spans="1:15" customFormat="1" hidden="1" x14ac:dyDescent="0.25">
      <c r="A1009" s="11">
        <v>46031</v>
      </c>
      <c r="B1009" t="s">
        <v>52</v>
      </c>
      <c r="C1009" t="s">
        <v>48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 t="shared" ref="I1009:I1016" si="122">E1009+G1009+H1009</f>
        <v>24</v>
      </c>
      <c r="J1009" s="3">
        <f t="shared" ref="J1009:J1016" si="123"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16</v>
      </c>
      <c r="K1009" s="3">
        <f t="shared" ref="K1009:K1016" si="124">I1009-J1009</f>
        <v>8</v>
      </c>
      <c r="L1009" s="3" t="str">
        <f t="shared" si="121"/>
        <v>EXCELENTE</v>
      </c>
      <c r="M1009">
        <v>17</v>
      </c>
      <c r="N1009">
        <v>100</v>
      </c>
      <c r="O1009">
        <v>34.15094339622641</v>
      </c>
    </row>
    <row r="1010" spans="1:15" customFormat="1" hidden="1" x14ac:dyDescent="0.25">
      <c r="A1010" s="11">
        <v>46031</v>
      </c>
      <c r="B1010" t="s">
        <v>36</v>
      </c>
      <c r="C1010" t="s">
        <v>32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 t="shared" si="122"/>
        <v>19</v>
      </c>
      <c r="J1010" s="3">
        <f t="shared" si="123"/>
        <v>20</v>
      </c>
      <c r="K1010" s="3">
        <f t="shared" si="124"/>
        <v>-1</v>
      </c>
      <c r="L1010" s="3" t="str">
        <f t="shared" si="121"/>
        <v>ATENÇÃO</v>
      </c>
      <c r="M1010">
        <v>18</v>
      </c>
      <c r="N1010">
        <v>100</v>
      </c>
      <c r="O1010">
        <v>32.731376975169297</v>
      </c>
    </row>
    <row r="1011" spans="1:15" customFormat="1" hidden="1" x14ac:dyDescent="0.25">
      <c r="A1011" s="11">
        <v>46031</v>
      </c>
      <c r="B1011" t="s">
        <v>53</v>
      </c>
      <c r="C1011" t="s">
        <v>48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 t="shared" si="122"/>
        <v>25</v>
      </c>
      <c r="J1011" s="3">
        <f t="shared" si="123"/>
        <v>16</v>
      </c>
      <c r="K1011" s="3">
        <f t="shared" si="124"/>
        <v>9</v>
      </c>
      <c r="L1011" s="3" t="str">
        <f t="shared" si="121"/>
        <v>EXCELENTE</v>
      </c>
      <c r="M1011">
        <v>24</v>
      </c>
      <c r="N1011">
        <v>99.31</v>
      </c>
      <c r="O1011">
        <v>30.96234309623431</v>
      </c>
    </row>
    <row r="1012" spans="1:15" customFormat="1" hidden="1" x14ac:dyDescent="0.25">
      <c r="A1012" s="11">
        <v>46065</v>
      </c>
      <c r="B1012" t="s">
        <v>22</v>
      </c>
      <c r="C1012" t="s">
        <v>23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 t="shared" si="122"/>
        <v>5</v>
      </c>
      <c r="J1012" s="3">
        <f t="shared" si="123"/>
        <v>17</v>
      </c>
      <c r="K1012" s="3">
        <f t="shared" si="124"/>
        <v>-12</v>
      </c>
      <c r="L1012" s="3" t="str">
        <f t="shared" si="121"/>
        <v>CRÍTICO</v>
      </c>
      <c r="M1012">
        <v>22</v>
      </c>
      <c r="N1012">
        <v>96.67</v>
      </c>
      <c r="O1012">
        <v>31.451612903225811</v>
      </c>
    </row>
    <row r="1013" spans="1:15" customFormat="1" hidden="1" x14ac:dyDescent="0.25">
      <c r="A1013" s="11">
        <v>46031</v>
      </c>
      <c r="B1013" t="s">
        <v>54</v>
      </c>
      <c r="C1013" t="s">
        <v>48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 t="shared" si="122"/>
        <v>26</v>
      </c>
      <c r="J1013" s="3">
        <f t="shared" si="123"/>
        <v>16</v>
      </c>
      <c r="K1013" s="3">
        <f t="shared" si="124"/>
        <v>10</v>
      </c>
      <c r="L1013" s="3" t="str">
        <f t="shared" si="121"/>
        <v>EXCELENTE</v>
      </c>
      <c r="M1013">
        <v>23</v>
      </c>
      <c r="N1013">
        <v>100</v>
      </c>
      <c r="O1013">
        <v>27.676767676767678</v>
      </c>
    </row>
    <row r="1014" spans="1:15" customFormat="1" hidden="1" x14ac:dyDescent="0.25">
      <c r="A1014" s="11">
        <v>46031</v>
      </c>
      <c r="B1014" t="s">
        <v>37</v>
      </c>
      <c r="C1014" t="s">
        <v>32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 t="shared" si="122"/>
        <v>27</v>
      </c>
      <c r="J1014" s="3">
        <f t="shared" si="123"/>
        <v>20</v>
      </c>
      <c r="K1014" s="3">
        <f t="shared" si="124"/>
        <v>7</v>
      </c>
      <c r="L1014" s="3" t="str">
        <f t="shared" si="121"/>
        <v>EXCELENTE</v>
      </c>
      <c r="M1014">
        <v>28</v>
      </c>
      <c r="N1014">
        <v>100</v>
      </c>
      <c r="O1014">
        <v>31.17723156532988</v>
      </c>
    </row>
    <row r="1015" spans="1:15" customFormat="1" hidden="1" x14ac:dyDescent="0.25">
      <c r="A1015" s="11">
        <v>46031</v>
      </c>
      <c r="B1015" t="s">
        <v>38</v>
      </c>
      <c r="C1015" t="s">
        <v>32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 t="shared" si="122"/>
        <v>21</v>
      </c>
      <c r="J1015" s="3">
        <f t="shared" si="123"/>
        <v>20</v>
      </c>
      <c r="K1015" s="3">
        <f t="shared" si="124"/>
        <v>1</v>
      </c>
      <c r="L1015" s="3" t="str">
        <f t="shared" si="121"/>
        <v>BOM</v>
      </c>
      <c r="M1015">
        <v>21</v>
      </c>
      <c r="N1015">
        <v>100</v>
      </c>
      <c r="O1015">
        <v>27.609427609427609</v>
      </c>
    </row>
    <row r="1016" spans="1:15" customFormat="1" hidden="1" x14ac:dyDescent="0.25">
      <c r="A1016" s="11">
        <v>46031</v>
      </c>
      <c r="B1016" t="s">
        <v>55</v>
      </c>
      <c r="C1016" t="s">
        <v>48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 t="shared" si="122"/>
        <v>19</v>
      </c>
      <c r="J1016" s="3">
        <f t="shared" si="123"/>
        <v>16</v>
      </c>
      <c r="K1016" s="3">
        <f t="shared" si="124"/>
        <v>3</v>
      </c>
      <c r="L1016" s="3" t="str">
        <f t="shared" si="121"/>
        <v>BOM</v>
      </c>
      <c r="M1016">
        <v>19</v>
      </c>
      <c r="N1016">
        <v>96.4</v>
      </c>
      <c r="O1016">
        <v>28.764044943820231</v>
      </c>
    </row>
    <row r="1017" spans="1:15" customFormat="1" hidden="1" x14ac:dyDescent="0.25">
      <c r="A1017" s="11">
        <v>46031</v>
      </c>
      <c r="B1017" t="s">
        <v>39</v>
      </c>
      <c r="C1017" t="s">
        <v>32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 t="shared" si="121"/>
        <v>BOM</v>
      </c>
      <c r="M1017">
        <v>15</v>
      </c>
      <c r="N1017">
        <v>100</v>
      </c>
      <c r="O1017">
        <v>33.980582524271853</v>
      </c>
    </row>
    <row r="1018" spans="1:15" customFormat="1" hidden="1" x14ac:dyDescent="0.25">
      <c r="A1018" s="11">
        <v>46031</v>
      </c>
      <c r="B1018" t="s">
        <v>25</v>
      </c>
      <c r="C1018" t="s">
        <v>26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12</v>
      </c>
      <c r="K1018" s="3">
        <f>I1018-J1018</f>
        <v>-4</v>
      </c>
      <c r="L1018" s="3" t="str">
        <f t="shared" si="121"/>
        <v>ATENÇÃO</v>
      </c>
      <c r="M1018">
        <v>8</v>
      </c>
      <c r="N1018">
        <v>97.56</v>
      </c>
      <c r="O1018">
        <v>32.515337423312893</v>
      </c>
    </row>
    <row r="1019" spans="1:15" customFormat="1" hidden="1" x14ac:dyDescent="0.25">
      <c r="A1019" s="11">
        <v>46031</v>
      </c>
      <c r="B1019" t="s">
        <v>40</v>
      </c>
      <c r="C1019" t="s">
        <v>32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20</v>
      </c>
      <c r="K1019" s="3">
        <f>I1019-J1019</f>
        <v>-1</v>
      </c>
      <c r="L1019" s="3" t="str">
        <f t="shared" si="121"/>
        <v>ATENÇÃO</v>
      </c>
      <c r="M1019">
        <v>18</v>
      </c>
      <c r="N1019">
        <v>97.11</v>
      </c>
      <c r="O1019">
        <v>37.408312958435211</v>
      </c>
    </row>
    <row r="1020" spans="1:15" customFormat="1" hidden="1" x14ac:dyDescent="0.25">
      <c r="A1020" s="11">
        <v>46031</v>
      </c>
      <c r="B1020" t="s">
        <v>27</v>
      </c>
      <c r="C1020" t="s">
        <v>26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 t="shared" si="121"/>
        <v>BOM</v>
      </c>
      <c r="M1020">
        <v>0</v>
      </c>
      <c r="N1020">
        <v>0</v>
      </c>
      <c r="O1020">
        <v>0</v>
      </c>
    </row>
    <row r="1021" spans="1:15" customFormat="1" hidden="1" x14ac:dyDescent="0.25">
      <c r="A1021" s="11">
        <v>46031</v>
      </c>
      <c r="B1021" t="s">
        <v>41</v>
      </c>
      <c r="C1021" t="s">
        <v>32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4</v>
      </c>
      <c r="L1021" s="3" t="str">
        <f t="shared" si="121"/>
        <v>BOM</v>
      </c>
      <c r="M1021">
        <v>26</v>
      </c>
      <c r="N1021">
        <v>100</v>
      </c>
      <c r="O1021">
        <v>30.470347648261761</v>
      </c>
    </row>
    <row r="1022" spans="1:15" customFormat="1" hidden="1" x14ac:dyDescent="0.25">
      <c r="A1022" s="11">
        <v>46031</v>
      </c>
      <c r="B1022" t="s">
        <v>56</v>
      </c>
      <c r="C1022" t="s">
        <v>48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16</v>
      </c>
      <c r="K1022" s="3">
        <f>I1022-J1022</f>
        <v>12</v>
      </c>
      <c r="L1022" s="3" t="str">
        <f t="shared" si="121"/>
        <v>EXCELENTE</v>
      </c>
      <c r="M1022">
        <v>24</v>
      </c>
      <c r="N1022">
        <v>100</v>
      </c>
      <c r="O1022">
        <v>32.371134020618562</v>
      </c>
    </row>
    <row r="1023" spans="1:15" customFormat="1" hidden="1" x14ac:dyDescent="0.25">
      <c r="A1023" s="11">
        <v>46031</v>
      </c>
      <c r="B1023" t="s">
        <v>57</v>
      </c>
      <c r="C1023" t="s">
        <v>48</v>
      </c>
      <c r="D1023">
        <v>21</v>
      </c>
      <c r="E1023">
        <v>17</v>
      </c>
      <c r="F1023">
        <v>17.12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 t="shared" si="121"/>
        <v>BOM</v>
      </c>
      <c r="M1023">
        <v>16</v>
      </c>
      <c r="N1023">
        <v>98.32</v>
      </c>
      <c r="O1023">
        <v>32.318501170960189</v>
      </c>
    </row>
    <row r="1024" spans="1:15" customFormat="1" hidden="1" x14ac:dyDescent="0.25">
      <c r="A1024" s="11">
        <v>46031</v>
      </c>
      <c r="B1024" t="s">
        <v>42</v>
      </c>
      <c r="C1024" t="s">
        <v>32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20</v>
      </c>
      <c r="K1024" s="3">
        <f>I1024-J1024</f>
        <v>14</v>
      </c>
      <c r="L1024" s="3" t="str">
        <f t="shared" si="121"/>
        <v>EXCELENTE</v>
      </c>
      <c r="M1024">
        <v>29</v>
      </c>
      <c r="N1024">
        <v>96.43</v>
      </c>
      <c r="O1024">
        <v>27.015250544662312</v>
      </c>
    </row>
    <row r="1025" spans="1:15" customFormat="1" hidden="1" x14ac:dyDescent="0.25">
      <c r="A1025" s="11">
        <v>46031</v>
      </c>
      <c r="B1025" t="s">
        <v>62</v>
      </c>
      <c r="C1025" t="s">
        <v>23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13</v>
      </c>
      <c r="K1025" s="3">
        <f>I1025-J1025</f>
        <v>1</v>
      </c>
      <c r="L1025" s="3" t="str">
        <f t="shared" si="121"/>
        <v>BOM</v>
      </c>
      <c r="M1025">
        <v>12</v>
      </c>
      <c r="N1025">
        <v>98.89</v>
      </c>
      <c r="O1025">
        <v>28.021978021978018</v>
      </c>
    </row>
    <row r="1026" spans="1:15" customFormat="1" hidden="1" x14ac:dyDescent="0.25">
      <c r="A1026" s="11">
        <v>46031</v>
      </c>
      <c r="B1026" t="s">
        <v>19</v>
      </c>
      <c r="C1026" t="s">
        <v>16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6</v>
      </c>
      <c r="K1026" s="3">
        <f>I1026-J1026</f>
        <v>4</v>
      </c>
      <c r="L1026" s="3" t="str">
        <f t="shared" si="121"/>
        <v>BOM</v>
      </c>
      <c r="M1026">
        <v>8</v>
      </c>
      <c r="N1026">
        <v>100</v>
      </c>
      <c r="O1026">
        <v>33.333333333333329</v>
      </c>
    </row>
    <row r="1027" spans="1:15" customFormat="1" hidden="1" x14ac:dyDescent="0.25">
      <c r="A1027" s="11">
        <v>46031</v>
      </c>
      <c r="B1027" t="s">
        <v>43</v>
      </c>
      <c r="C1027" t="s">
        <v>32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 t="shared" si="121"/>
        <v>BOM</v>
      </c>
      <c r="M1027">
        <v>0</v>
      </c>
      <c r="N1027">
        <v>100</v>
      </c>
      <c r="O1027">
        <v>27.43362831858407</v>
      </c>
    </row>
    <row r="1028" spans="1:15" customFormat="1" hidden="1" x14ac:dyDescent="0.25">
      <c r="A1028" s="11">
        <v>46031</v>
      </c>
      <c r="B1028" t="s">
        <v>44</v>
      </c>
      <c r="C1028" t="s">
        <v>32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20</v>
      </c>
      <c r="K1028" s="3">
        <f>I1028-J1028</f>
        <v>9</v>
      </c>
      <c r="L1028" s="3" t="str">
        <f t="shared" si="121"/>
        <v>EXCELENTE</v>
      </c>
      <c r="M1028">
        <v>24</v>
      </c>
      <c r="N1028">
        <v>98.65</v>
      </c>
      <c r="O1028">
        <v>30.978260869565219</v>
      </c>
    </row>
    <row r="1029" spans="1:15" customFormat="1" hidden="1" x14ac:dyDescent="0.25">
      <c r="A1029" s="11">
        <v>46031</v>
      </c>
      <c r="B1029" t="s">
        <v>20</v>
      </c>
      <c r="C1029" t="s">
        <v>16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21"/>
        <v>BOM</v>
      </c>
      <c r="M1029">
        <v>0</v>
      </c>
      <c r="N1029">
        <v>100</v>
      </c>
      <c r="O1029">
        <v>12</v>
      </c>
    </row>
    <row r="1030" spans="1:15" customFormat="1" hidden="1" x14ac:dyDescent="0.25">
      <c r="A1030" s="11">
        <v>46031</v>
      </c>
      <c r="B1030" t="s">
        <v>28</v>
      </c>
      <c r="C1030" t="s">
        <v>26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 t="shared" si="121"/>
        <v>BOM</v>
      </c>
      <c r="M1030">
        <v>0</v>
      </c>
      <c r="N1030">
        <v>0</v>
      </c>
      <c r="O1030">
        <v>0</v>
      </c>
    </row>
    <row r="1031" spans="1:15" customFormat="1" hidden="1" x14ac:dyDescent="0.25">
      <c r="A1031" s="11">
        <v>46031</v>
      </c>
      <c r="B1031" t="s">
        <v>58</v>
      </c>
      <c r="C1031" t="s">
        <v>48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16</v>
      </c>
      <c r="K1031" s="3">
        <f>I1031-J1031</f>
        <v>4</v>
      </c>
      <c r="L1031" s="3" t="str">
        <f t="shared" ref="L1031:L1094" si="125">IF(K1031&lt;-5,"CRÍTICO",IF(K1031&lt;0,"ATENÇÃO",IF(K1031&lt;=5,"BOM","EXCELENTE")))</f>
        <v>BOM</v>
      </c>
      <c r="M1031">
        <v>15</v>
      </c>
      <c r="N1031">
        <v>97.56</v>
      </c>
      <c r="O1031">
        <v>31.067961165048541</v>
      </c>
    </row>
    <row r="1032" spans="1:15" customFormat="1" hidden="1" x14ac:dyDescent="0.25">
      <c r="A1032" s="11">
        <v>46031</v>
      </c>
      <c r="B1032" t="s">
        <v>29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25"/>
        <v>BOM</v>
      </c>
      <c r="M1032">
        <v>0</v>
      </c>
      <c r="N1032">
        <v>0</v>
      </c>
      <c r="O1032">
        <v>0</v>
      </c>
    </row>
    <row r="1033" spans="1:15" customFormat="1" hidden="1" x14ac:dyDescent="0.25">
      <c r="A1033" s="11">
        <v>46031</v>
      </c>
      <c r="B1033" t="s">
        <v>30</v>
      </c>
      <c r="C1033" t="s">
        <v>26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25"/>
        <v>BOM</v>
      </c>
      <c r="M1033">
        <v>0</v>
      </c>
      <c r="N1033">
        <v>0</v>
      </c>
      <c r="O1033">
        <v>0</v>
      </c>
    </row>
    <row r="1034" spans="1:15" customFormat="1" hidden="1" x14ac:dyDescent="0.25">
      <c r="A1034" s="11">
        <v>46031</v>
      </c>
      <c r="B1034" t="s">
        <v>21</v>
      </c>
      <c r="C1034" t="s">
        <v>16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25"/>
        <v>BOM</v>
      </c>
      <c r="M1034">
        <v>0</v>
      </c>
      <c r="N1034">
        <v>0</v>
      </c>
      <c r="O1034">
        <v>0</v>
      </c>
    </row>
    <row r="1035" spans="1:15" customFormat="1" hidden="1" x14ac:dyDescent="0.25">
      <c r="A1035" s="11">
        <v>46031</v>
      </c>
      <c r="B1035" t="s">
        <v>63</v>
      </c>
      <c r="C1035" t="s">
        <v>23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25"/>
        <v>BOM</v>
      </c>
      <c r="M1035">
        <v>0</v>
      </c>
      <c r="N1035">
        <v>100</v>
      </c>
      <c r="O1035">
        <v>53.846153846153847</v>
      </c>
    </row>
    <row r="1036" spans="1:15" customFormat="1" hidden="1" x14ac:dyDescent="0.25">
      <c r="A1036" s="11">
        <v>46031</v>
      </c>
      <c r="B1036" t="s">
        <v>45</v>
      </c>
      <c r="C1036" t="s">
        <v>32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 t="shared" si="125"/>
        <v>BOM</v>
      </c>
      <c r="M1036">
        <v>0</v>
      </c>
      <c r="N1036">
        <v>100</v>
      </c>
      <c r="O1036">
        <v>44.05594405594406</v>
      </c>
    </row>
    <row r="1037" spans="1:15" customFormat="1" hidden="1" x14ac:dyDescent="0.25">
      <c r="A1037" s="11">
        <v>46031</v>
      </c>
      <c r="B1037" t="s">
        <v>64</v>
      </c>
      <c r="C1037" t="s">
        <v>23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13</v>
      </c>
      <c r="K1037" s="3">
        <f>I1037-J1037</f>
        <v>3</v>
      </c>
      <c r="L1037" s="3" t="str">
        <f t="shared" si="125"/>
        <v>BOM</v>
      </c>
      <c r="M1037">
        <v>16</v>
      </c>
      <c r="N1037">
        <v>100</v>
      </c>
      <c r="O1037">
        <v>31.872509960159359</v>
      </c>
    </row>
    <row r="1038" spans="1:15" customFormat="1" hidden="1" x14ac:dyDescent="0.25">
      <c r="A1038" s="11">
        <v>46031</v>
      </c>
      <c r="B1038" t="s">
        <v>46</v>
      </c>
      <c r="C1038" t="s">
        <v>32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20</v>
      </c>
      <c r="K1038" s="3">
        <f>I1038-J1038</f>
        <v>7</v>
      </c>
      <c r="L1038" s="3" t="str">
        <f t="shared" si="125"/>
        <v>EXCELENTE</v>
      </c>
      <c r="M1038">
        <v>24</v>
      </c>
      <c r="N1038">
        <v>98.41</v>
      </c>
      <c r="O1038">
        <v>29.22465208747515</v>
      </c>
    </row>
    <row r="1039" spans="1:15" customFormat="1" hidden="1" x14ac:dyDescent="0.25">
      <c r="A1039" s="11">
        <v>46034</v>
      </c>
      <c r="B1039" t="s">
        <v>47</v>
      </c>
      <c r="C1039" t="s">
        <v>48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16</v>
      </c>
      <c r="K1039" s="3">
        <f>I1039-J1039</f>
        <v>3</v>
      </c>
      <c r="L1039" s="3" t="str">
        <f t="shared" si="125"/>
        <v>BOM</v>
      </c>
      <c r="M1039">
        <v>16</v>
      </c>
      <c r="N1039">
        <v>96.81</v>
      </c>
      <c r="O1039">
        <v>27.980535279805348</v>
      </c>
    </row>
    <row r="1040" spans="1:15" customFormat="1" hidden="1" x14ac:dyDescent="0.25">
      <c r="A1040" s="11">
        <v>46034</v>
      </c>
      <c r="B1040" t="s">
        <v>31</v>
      </c>
      <c r="C1040" t="s">
        <v>32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 t="shared" si="125"/>
        <v>BOM</v>
      </c>
      <c r="M1040">
        <v>23</v>
      </c>
      <c r="N1040">
        <v>98.73</v>
      </c>
      <c r="O1040">
        <v>35.756385068762278</v>
      </c>
    </row>
    <row r="1041" spans="1:15" customFormat="1" hidden="1" x14ac:dyDescent="0.25">
      <c r="A1041" s="11">
        <v>46034</v>
      </c>
      <c r="B1041" t="s">
        <v>59</v>
      </c>
      <c r="C1041" t="s">
        <v>23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13</v>
      </c>
      <c r="K1041" s="3">
        <f>I1041-J1041</f>
        <v>15</v>
      </c>
      <c r="L1041" s="3" t="str">
        <f t="shared" si="125"/>
        <v>EXCELENTE</v>
      </c>
      <c r="M1041">
        <v>20</v>
      </c>
      <c r="N1041">
        <v>98.32</v>
      </c>
      <c r="O1041">
        <v>26.763485477178421</v>
      </c>
    </row>
    <row r="1042" spans="1:15" customFormat="1" hidden="1" x14ac:dyDescent="0.25">
      <c r="A1042" s="11">
        <v>46034</v>
      </c>
      <c r="B1042" t="s">
        <v>33</v>
      </c>
      <c r="C1042" t="s">
        <v>32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20</v>
      </c>
      <c r="K1042" s="3">
        <f>I1042-J1042</f>
        <v>10</v>
      </c>
      <c r="L1042" s="3" t="str">
        <f t="shared" si="125"/>
        <v>EXCELENTE</v>
      </c>
      <c r="M1042">
        <v>24</v>
      </c>
      <c r="N1042">
        <v>99.19</v>
      </c>
      <c r="O1042">
        <v>27.637130801687761</v>
      </c>
    </row>
    <row r="1043" spans="1:15" customFormat="1" hidden="1" x14ac:dyDescent="0.25">
      <c r="A1043" s="11">
        <v>46034</v>
      </c>
      <c r="B1043" t="s">
        <v>15</v>
      </c>
      <c r="C1043" t="s">
        <v>16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6</v>
      </c>
      <c r="K1043" s="3">
        <f>I1043-J1043</f>
        <v>1</v>
      </c>
      <c r="L1043" s="3" t="str">
        <f t="shared" si="125"/>
        <v>BOM</v>
      </c>
      <c r="M1043">
        <v>5</v>
      </c>
      <c r="N1043">
        <v>100</v>
      </c>
      <c r="O1043">
        <v>39.568345323741013</v>
      </c>
    </row>
    <row r="1044" spans="1:15" customFormat="1" hidden="1" x14ac:dyDescent="0.25">
      <c r="A1044" s="11">
        <v>46034</v>
      </c>
      <c r="B1044" t="s">
        <v>49</v>
      </c>
      <c r="C1044" t="s">
        <v>48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14</v>
      </c>
      <c r="L1044" s="3" t="str">
        <f t="shared" si="125"/>
        <v>EXCELENTE</v>
      </c>
      <c r="M1044">
        <v>32</v>
      </c>
      <c r="N1044">
        <v>98.54</v>
      </c>
      <c r="O1044">
        <v>28.544776119402989</v>
      </c>
    </row>
    <row r="1045" spans="1:15" customFormat="1" hidden="1" x14ac:dyDescent="0.25">
      <c r="A1045" s="11">
        <v>46034</v>
      </c>
      <c r="B1045" t="s">
        <v>50</v>
      </c>
      <c r="C1045" t="s">
        <v>48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16</v>
      </c>
      <c r="K1045" s="3">
        <f>I1045-J1045</f>
        <v>-5</v>
      </c>
      <c r="L1045" s="3" t="str">
        <f t="shared" si="125"/>
        <v>ATENÇÃO</v>
      </c>
      <c r="M1045">
        <v>12</v>
      </c>
      <c r="N1045">
        <v>100</v>
      </c>
      <c r="O1045">
        <v>34.366925064599492</v>
      </c>
    </row>
    <row r="1046" spans="1:15" customFormat="1" hidden="1" x14ac:dyDescent="0.25">
      <c r="A1046" s="11">
        <v>46034</v>
      </c>
      <c r="B1046" t="s">
        <v>17</v>
      </c>
      <c r="C1046" t="s">
        <v>16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 t="shared" si="125"/>
        <v>BOM</v>
      </c>
      <c r="M1046">
        <v>0</v>
      </c>
      <c r="N1046">
        <v>0</v>
      </c>
      <c r="O1046">
        <v>0</v>
      </c>
    </row>
    <row r="1047" spans="1:15" customFormat="1" hidden="1" x14ac:dyDescent="0.25">
      <c r="A1047" s="11">
        <v>46034</v>
      </c>
      <c r="B1047" t="s">
        <v>60</v>
      </c>
      <c r="C1047" t="s">
        <v>23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6</v>
      </c>
      <c r="L1047" s="3" t="str">
        <f t="shared" si="125"/>
        <v>EXCELENTE</v>
      </c>
      <c r="M1047">
        <v>15</v>
      </c>
      <c r="N1047">
        <v>100</v>
      </c>
      <c r="O1047">
        <v>29.518072289156631</v>
      </c>
    </row>
    <row r="1048" spans="1:15" customFormat="1" hidden="1" x14ac:dyDescent="0.25">
      <c r="A1048" s="11">
        <v>46034</v>
      </c>
      <c r="B1048" t="s">
        <v>34</v>
      </c>
      <c r="C1048" t="s">
        <v>32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20</v>
      </c>
      <c r="K1048" s="3">
        <f>I1048-J1048</f>
        <v>8</v>
      </c>
      <c r="L1048" s="3" t="str">
        <f t="shared" si="125"/>
        <v>EXCELENTE</v>
      </c>
      <c r="M1048">
        <v>27</v>
      </c>
      <c r="N1048">
        <v>97.45</v>
      </c>
      <c r="O1048">
        <v>41.421143847487002</v>
      </c>
    </row>
    <row r="1049" spans="1:15" customFormat="1" hidden="1" x14ac:dyDescent="0.25">
      <c r="A1049" s="11">
        <v>46034</v>
      </c>
      <c r="B1049" t="s">
        <v>51</v>
      </c>
      <c r="C1049" t="s">
        <v>48</v>
      </c>
      <c r="D1049">
        <v>31</v>
      </c>
      <c r="E1049">
        <v>20</v>
      </c>
      <c r="F1049">
        <v>15.46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 t="shared" si="125"/>
        <v>BOM</v>
      </c>
      <c r="M1049">
        <v>21</v>
      </c>
      <c r="N1049">
        <v>96.58</v>
      </c>
      <c r="O1049">
        <v>30.396475770925111</v>
      </c>
    </row>
    <row r="1050" spans="1:15" customFormat="1" hidden="1" x14ac:dyDescent="0.25">
      <c r="A1050" s="11">
        <v>46034</v>
      </c>
      <c r="B1050" t="s">
        <v>61</v>
      </c>
      <c r="C1050" t="s">
        <v>23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13</v>
      </c>
      <c r="K1050" s="3">
        <f>I1050-J1050</f>
        <v>19</v>
      </c>
      <c r="L1050" s="3" t="str">
        <f t="shared" si="125"/>
        <v>EXCELENTE</v>
      </c>
      <c r="M1050">
        <v>38</v>
      </c>
      <c r="N1050">
        <v>100</v>
      </c>
      <c r="O1050">
        <v>27.44282744282744</v>
      </c>
    </row>
    <row r="1051" spans="1:15" customFormat="1" hidden="1" x14ac:dyDescent="0.25">
      <c r="A1051" s="11">
        <v>46034</v>
      </c>
      <c r="B1051" t="s">
        <v>35</v>
      </c>
      <c r="C1051" t="s">
        <v>32</v>
      </c>
      <c r="D1051">
        <v>19</v>
      </c>
      <c r="E1051">
        <v>17</v>
      </c>
      <c r="F1051">
        <v>30.09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25"/>
        <v>BOM</v>
      </c>
      <c r="M1051">
        <v>18</v>
      </c>
      <c r="N1051">
        <v>99.49</v>
      </c>
      <c r="O1051">
        <v>40.200000000000003</v>
      </c>
    </row>
    <row r="1052" spans="1:15" customFormat="1" hidden="1" x14ac:dyDescent="0.25">
      <c r="A1052" s="11">
        <v>46034</v>
      </c>
      <c r="B1052" t="s">
        <v>18</v>
      </c>
      <c r="C1052" t="s">
        <v>16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 t="shared" si="125"/>
        <v>BOM</v>
      </c>
      <c r="M1052">
        <v>0</v>
      </c>
      <c r="N1052">
        <v>100</v>
      </c>
      <c r="O1052">
        <v>25</v>
      </c>
    </row>
    <row r="1053" spans="1:15" customFormat="1" hidden="1" x14ac:dyDescent="0.25">
      <c r="A1053" s="11">
        <v>46034</v>
      </c>
      <c r="B1053" t="s">
        <v>52</v>
      </c>
      <c r="C1053" t="s">
        <v>48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 t="shared" ref="I1053:I1060" si="126">E1053+G1053+H1053</f>
        <v>28</v>
      </c>
      <c r="J1053" s="3">
        <f t="shared" ref="J1053:J1060" si="127"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16</v>
      </c>
      <c r="K1053" s="3">
        <f t="shared" ref="K1053:K1060" si="128">I1053-J1053</f>
        <v>12</v>
      </c>
      <c r="L1053" s="3" t="str">
        <f t="shared" si="125"/>
        <v>EXCELENTE</v>
      </c>
      <c r="M1053">
        <v>25</v>
      </c>
      <c r="N1053">
        <v>100</v>
      </c>
      <c r="O1053">
        <v>34.15094339622641</v>
      </c>
    </row>
    <row r="1054" spans="1:15" customFormat="1" hidden="1" x14ac:dyDescent="0.25">
      <c r="A1054" s="11">
        <v>46034</v>
      </c>
      <c r="B1054" t="s">
        <v>36</v>
      </c>
      <c r="C1054" t="s">
        <v>32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 t="shared" si="126"/>
        <v>16</v>
      </c>
      <c r="J1054" s="3">
        <f t="shared" si="127"/>
        <v>20</v>
      </c>
      <c r="K1054" s="3">
        <f t="shared" si="128"/>
        <v>-4</v>
      </c>
      <c r="L1054" s="3" t="str">
        <f t="shared" si="125"/>
        <v>ATENÇÃO</v>
      </c>
      <c r="M1054">
        <v>17</v>
      </c>
      <c r="N1054">
        <v>100</v>
      </c>
      <c r="O1054">
        <v>32.731376975169297</v>
      </c>
    </row>
    <row r="1055" spans="1:15" customFormat="1" hidden="1" x14ac:dyDescent="0.25">
      <c r="A1055" s="11">
        <v>46034</v>
      </c>
      <c r="B1055" t="s">
        <v>53</v>
      </c>
      <c r="C1055" t="s">
        <v>48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 t="shared" si="126"/>
        <v>21</v>
      </c>
      <c r="J1055" s="3">
        <f t="shared" si="127"/>
        <v>16</v>
      </c>
      <c r="K1055" s="3">
        <f t="shared" si="128"/>
        <v>5</v>
      </c>
      <c r="L1055" s="3" t="str">
        <f t="shared" si="125"/>
        <v>BOM</v>
      </c>
      <c r="M1055">
        <v>16</v>
      </c>
      <c r="N1055">
        <v>99.31</v>
      </c>
      <c r="O1055">
        <v>30.96234309623431</v>
      </c>
    </row>
    <row r="1056" spans="1:15" customFormat="1" hidden="1" x14ac:dyDescent="0.25">
      <c r="A1056" s="11">
        <v>46066</v>
      </c>
      <c r="B1056" t="s">
        <v>22</v>
      </c>
      <c r="C1056" t="s">
        <v>23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 t="shared" si="126"/>
        <v>1</v>
      </c>
      <c r="J1056" s="3">
        <f t="shared" si="127"/>
        <v>18</v>
      </c>
      <c r="K1056" s="3">
        <f t="shared" si="128"/>
        <v>-17</v>
      </c>
      <c r="L1056" s="3" t="str">
        <f t="shared" si="125"/>
        <v>CRÍTICO</v>
      </c>
      <c r="M1056">
        <v>14</v>
      </c>
      <c r="N1056">
        <v>96.67</v>
      </c>
      <c r="O1056">
        <v>31.451612903225811</v>
      </c>
    </row>
    <row r="1057" spans="1:15" customFormat="1" hidden="1" x14ac:dyDescent="0.25">
      <c r="A1057" s="11">
        <v>46034</v>
      </c>
      <c r="B1057" t="s">
        <v>54</v>
      </c>
      <c r="C1057" t="s">
        <v>48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 t="shared" si="126"/>
        <v>25</v>
      </c>
      <c r="J1057" s="3">
        <f t="shared" si="127"/>
        <v>16</v>
      </c>
      <c r="K1057" s="3">
        <f t="shared" si="128"/>
        <v>9</v>
      </c>
      <c r="L1057" s="3" t="str">
        <f t="shared" si="125"/>
        <v>EXCELENTE</v>
      </c>
      <c r="M1057">
        <v>19</v>
      </c>
      <c r="N1057">
        <v>100</v>
      </c>
      <c r="O1057">
        <v>27.676767676767678</v>
      </c>
    </row>
    <row r="1058" spans="1:15" customFormat="1" hidden="1" x14ac:dyDescent="0.25">
      <c r="A1058" s="11">
        <v>46034</v>
      </c>
      <c r="B1058" t="s">
        <v>37</v>
      </c>
      <c r="C1058" t="s">
        <v>32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 t="shared" si="126"/>
        <v>34</v>
      </c>
      <c r="J1058" s="3">
        <f t="shared" si="127"/>
        <v>20</v>
      </c>
      <c r="K1058" s="3">
        <f t="shared" si="128"/>
        <v>14</v>
      </c>
      <c r="L1058" s="3" t="str">
        <f t="shared" si="125"/>
        <v>EXCELENTE</v>
      </c>
      <c r="M1058">
        <v>33</v>
      </c>
      <c r="N1058">
        <v>100</v>
      </c>
      <c r="O1058">
        <v>31.17723156532988</v>
      </c>
    </row>
    <row r="1059" spans="1:15" customFormat="1" hidden="1" x14ac:dyDescent="0.25">
      <c r="A1059" s="11">
        <v>46034</v>
      </c>
      <c r="B1059" t="s">
        <v>38</v>
      </c>
      <c r="C1059" t="s">
        <v>32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 t="shared" si="126"/>
        <v>1</v>
      </c>
      <c r="J1059" s="3">
        <f t="shared" si="127"/>
        <v>20</v>
      </c>
      <c r="K1059" s="3">
        <f t="shared" si="128"/>
        <v>-19</v>
      </c>
      <c r="L1059" s="3" t="str">
        <f t="shared" si="125"/>
        <v>CRÍTICO</v>
      </c>
      <c r="M1059">
        <v>1</v>
      </c>
      <c r="N1059">
        <v>100</v>
      </c>
      <c r="O1059">
        <v>27.609427609427609</v>
      </c>
    </row>
    <row r="1060" spans="1:15" customFormat="1" hidden="1" x14ac:dyDescent="0.25">
      <c r="A1060" s="11">
        <v>46034</v>
      </c>
      <c r="B1060" t="s">
        <v>55</v>
      </c>
      <c r="C1060" t="s">
        <v>48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 t="shared" si="126"/>
        <v>24</v>
      </c>
      <c r="J1060" s="3">
        <f t="shared" si="127"/>
        <v>16</v>
      </c>
      <c r="K1060" s="3">
        <f t="shared" si="128"/>
        <v>8</v>
      </c>
      <c r="L1060" s="3" t="str">
        <f t="shared" si="125"/>
        <v>EXCELENTE</v>
      </c>
      <c r="M1060">
        <v>21</v>
      </c>
      <c r="N1060">
        <v>96.4</v>
      </c>
      <c r="O1060">
        <v>28.764044943820231</v>
      </c>
    </row>
    <row r="1061" spans="1:15" customFormat="1" hidden="1" x14ac:dyDescent="0.25">
      <c r="A1061" s="11">
        <v>46034</v>
      </c>
      <c r="B1061" t="s">
        <v>39</v>
      </c>
      <c r="C1061" t="s">
        <v>32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 t="shared" si="125"/>
        <v>BOM</v>
      </c>
      <c r="M1061">
        <v>14</v>
      </c>
      <c r="N1061">
        <v>100</v>
      </c>
      <c r="O1061">
        <v>33.980582524271853</v>
      </c>
    </row>
    <row r="1062" spans="1:15" customFormat="1" hidden="1" x14ac:dyDescent="0.25">
      <c r="A1062" s="11">
        <v>46034</v>
      </c>
      <c r="B1062" t="s">
        <v>25</v>
      </c>
      <c r="C1062" t="s">
        <v>26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12</v>
      </c>
      <c r="K1062" s="3">
        <f>I1062-J1062</f>
        <v>-1</v>
      </c>
      <c r="L1062" s="3" t="str">
        <f t="shared" si="125"/>
        <v>ATENÇÃO</v>
      </c>
      <c r="M1062">
        <v>11</v>
      </c>
      <c r="N1062">
        <v>97.56</v>
      </c>
      <c r="O1062">
        <v>32.515337423312893</v>
      </c>
    </row>
    <row r="1063" spans="1:15" customFormat="1" hidden="1" x14ac:dyDescent="0.25">
      <c r="A1063" s="11">
        <v>46034</v>
      </c>
      <c r="B1063" t="s">
        <v>40</v>
      </c>
      <c r="C1063" t="s">
        <v>32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20</v>
      </c>
      <c r="K1063" s="3">
        <f>I1063-J1063</f>
        <v>-19</v>
      </c>
      <c r="L1063" s="3" t="str">
        <f t="shared" si="125"/>
        <v>CRÍTICO</v>
      </c>
      <c r="M1063">
        <v>29</v>
      </c>
      <c r="N1063">
        <v>97.11</v>
      </c>
      <c r="O1063">
        <v>37.408312958435211</v>
      </c>
    </row>
    <row r="1064" spans="1:15" customFormat="1" hidden="1" x14ac:dyDescent="0.25">
      <c r="A1064" s="11">
        <v>46034</v>
      </c>
      <c r="B1064" t="s">
        <v>27</v>
      </c>
      <c r="C1064" t="s">
        <v>26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 t="shared" si="125"/>
        <v>BOM</v>
      </c>
      <c r="M1064">
        <v>0</v>
      </c>
      <c r="N1064">
        <v>0</v>
      </c>
      <c r="O1064">
        <v>0</v>
      </c>
    </row>
    <row r="1065" spans="1:15" customFormat="1" hidden="1" x14ac:dyDescent="0.25">
      <c r="A1065" s="11">
        <v>46034</v>
      </c>
      <c r="B1065" t="s">
        <v>41</v>
      </c>
      <c r="C1065" t="s">
        <v>32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6</v>
      </c>
      <c r="L1065" s="3" t="str">
        <f t="shared" si="125"/>
        <v>EXCELENTE</v>
      </c>
      <c r="M1065">
        <v>28</v>
      </c>
      <c r="N1065">
        <v>100</v>
      </c>
      <c r="O1065">
        <v>30.470347648261761</v>
      </c>
    </row>
    <row r="1066" spans="1:15" customFormat="1" hidden="1" x14ac:dyDescent="0.25">
      <c r="A1066" s="11">
        <v>46034</v>
      </c>
      <c r="B1066" t="s">
        <v>56</v>
      </c>
      <c r="C1066" t="s">
        <v>48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16</v>
      </c>
      <c r="K1066" s="3">
        <f>I1066-J1066</f>
        <v>9</v>
      </c>
      <c r="L1066" s="3" t="str">
        <f t="shared" si="125"/>
        <v>EXCELENTE</v>
      </c>
      <c r="M1066">
        <v>22</v>
      </c>
      <c r="N1066">
        <v>100</v>
      </c>
      <c r="O1066">
        <v>32.371134020618562</v>
      </c>
    </row>
    <row r="1067" spans="1:15" customFormat="1" hidden="1" x14ac:dyDescent="0.25">
      <c r="A1067" s="11">
        <v>46034</v>
      </c>
      <c r="B1067" t="s">
        <v>57</v>
      </c>
      <c r="C1067" t="s">
        <v>48</v>
      </c>
      <c r="D1067">
        <v>14</v>
      </c>
      <c r="E1067">
        <v>14</v>
      </c>
      <c r="F1067">
        <v>25.14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 t="shared" si="125"/>
        <v>BOM</v>
      </c>
      <c r="M1067">
        <v>14</v>
      </c>
      <c r="N1067">
        <v>98.32</v>
      </c>
      <c r="O1067">
        <v>32.318501170960189</v>
      </c>
    </row>
    <row r="1068" spans="1:15" customFormat="1" hidden="1" x14ac:dyDescent="0.25">
      <c r="A1068" s="11">
        <v>46034</v>
      </c>
      <c r="B1068" t="s">
        <v>42</v>
      </c>
      <c r="C1068" t="s">
        <v>32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20</v>
      </c>
      <c r="K1068" s="3">
        <f>I1068-J1068</f>
        <v>7</v>
      </c>
      <c r="L1068" s="3" t="str">
        <f t="shared" si="125"/>
        <v>EXCELENTE</v>
      </c>
      <c r="M1068">
        <v>25</v>
      </c>
      <c r="N1068">
        <v>96.43</v>
      </c>
      <c r="O1068">
        <v>27.015250544662312</v>
      </c>
    </row>
    <row r="1069" spans="1:15" customFormat="1" hidden="1" x14ac:dyDescent="0.25">
      <c r="A1069" s="11">
        <v>46034</v>
      </c>
      <c r="B1069" t="s">
        <v>62</v>
      </c>
      <c r="C1069" t="s">
        <v>23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13</v>
      </c>
      <c r="K1069" s="3">
        <f>I1069-J1069</f>
        <v>6</v>
      </c>
      <c r="L1069" s="3" t="str">
        <f t="shared" si="125"/>
        <v>EXCELENTE</v>
      </c>
      <c r="M1069">
        <v>18</v>
      </c>
      <c r="N1069">
        <v>98.89</v>
      </c>
      <c r="O1069">
        <v>28.021978021978018</v>
      </c>
    </row>
    <row r="1070" spans="1:15" customFormat="1" hidden="1" x14ac:dyDescent="0.25">
      <c r="A1070" s="11">
        <v>46034</v>
      </c>
      <c r="B1070" t="s">
        <v>19</v>
      </c>
      <c r="C1070" t="s">
        <v>16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6</v>
      </c>
      <c r="K1070" s="3">
        <f>I1070-J1070</f>
        <v>-2</v>
      </c>
      <c r="L1070" s="3" t="str">
        <f t="shared" si="125"/>
        <v>ATENÇÃO</v>
      </c>
      <c r="M1070">
        <v>4</v>
      </c>
      <c r="N1070">
        <v>100</v>
      </c>
      <c r="O1070">
        <v>33.333333333333329</v>
      </c>
    </row>
    <row r="1071" spans="1:15" customFormat="1" hidden="1" x14ac:dyDescent="0.25">
      <c r="A1071" s="11">
        <v>46034</v>
      </c>
      <c r="B1071" t="s">
        <v>43</v>
      </c>
      <c r="C1071" t="s">
        <v>32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 t="shared" si="125"/>
        <v>BOM</v>
      </c>
      <c r="M1071">
        <v>0</v>
      </c>
      <c r="N1071">
        <v>100</v>
      </c>
      <c r="O1071">
        <v>27.43362831858407</v>
      </c>
    </row>
    <row r="1072" spans="1:15" customFormat="1" hidden="1" x14ac:dyDescent="0.25">
      <c r="A1072" s="11">
        <v>46034</v>
      </c>
      <c r="B1072" t="s">
        <v>44</v>
      </c>
      <c r="C1072" t="s">
        <v>32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20</v>
      </c>
      <c r="K1072" s="3">
        <f>I1072-J1072</f>
        <v>10</v>
      </c>
      <c r="L1072" s="3" t="str">
        <f t="shared" si="125"/>
        <v>EXCELENTE</v>
      </c>
      <c r="M1072">
        <v>30</v>
      </c>
      <c r="N1072">
        <v>98.65</v>
      </c>
      <c r="O1072">
        <v>30.978260869565219</v>
      </c>
    </row>
    <row r="1073" spans="1:15" customFormat="1" hidden="1" x14ac:dyDescent="0.25">
      <c r="A1073" s="11">
        <v>46034</v>
      </c>
      <c r="B1073" t="s">
        <v>20</v>
      </c>
      <c r="C1073" t="s">
        <v>16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25"/>
        <v>BOM</v>
      </c>
      <c r="M1073">
        <v>0</v>
      </c>
      <c r="N1073">
        <v>100</v>
      </c>
      <c r="O1073">
        <v>12</v>
      </c>
    </row>
    <row r="1074" spans="1:15" customFormat="1" hidden="1" x14ac:dyDescent="0.25">
      <c r="A1074" s="11">
        <v>46034</v>
      </c>
      <c r="B1074" t="s">
        <v>28</v>
      </c>
      <c r="C1074" t="s">
        <v>26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25"/>
        <v>BOM</v>
      </c>
      <c r="M1074">
        <v>0</v>
      </c>
      <c r="N1074">
        <v>0</v>
      </c>
      <c r="O1074">
        <v>0</v>
      </c>
    </row>
    <row r="1075" spans="1:15" customFormat="1" hidden="1" x14ac:dyDescent="0.25">
      <c r="A1075" s="11">
        <v>46034</v>
      </c>
      <c r="B1075" t="s">
        <v>58</v>
      </c>
      <c r="C1075" t="s">
        <v>48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25"/>
        <v>BOM</v>
      </c>
      <c r="M1075">
        <v>0</v>
      </c>
      <c r="N1075">
        <v>97.56</v>
      </c>
      <c r="O1075">
        <v>31.067961165048541</v>
      </c>
    </row>
    <row r="1076" spans="1:15" customFormat="1" hidden="1" x14ac:dyDescent="0.25">
      <c r="A1076" s="11">
        <v>46034</v>
      </c>
      <c r="B1076" t="s">
        <v>29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25"/>
        <v>BOM</v>
      </c>
      <c r="M1076">
        <v>0</v>
      </c>
      <c r="N1076">
        <v>0</v>
      </c>
      <c r="O1076">
        <v>0</v>
      </c>
    </row>
    <row r="1077" spans="1:15" customFormat="1" hidden="1" x14ac:dyDescent="0.25">
      <c r="A1077" s="11">
        <v>46034</v>
      </c>
      <c r="B1077" t="s">
        <v>30</v>
      </c>
      <c r="C1077" t="s">
        <v>26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25"/>
        <v>BOM</v>
      </c>
      <c r="M1077">
        <v>0</v>
      </c>
      <c r="N1077">
        <v>0</v>
      </c>
      <c r="O1077">
        <v>0</v>
      </c>
    </row>
    <row r="1078" spans="1:15" customFormat="1" hidden="1" x14ac:dyDescent="0.25">
      <c r="A1078" s="11">
        <v>46034</v>
      </c>
      <c r="B1078" t="s">
        <v>21</v>
      </c>
      <c r="C1078" t="s">
        <v>16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25"/>
        <v>BOM</v>
      </c>
      <c r="M1078">
        <v>0</v>
      </c>
      <c r="N1078">
        <v>0</v>
      </c>
      <c r="O1078">
        <v>0</v>
      </c>
    </row>
    <row r="1079" spans="1:15" customFormat="1" hidden="1" x14ac:dyDescent="0.25">
      <c r="A1079" s="11">
        <v>46034</v>
      </c>
      <c r="B1079" t="s">
        <v>63</v>
      </c>
      <c r="C1079" t="s">
        <v>23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25"/>
        <v>BOM</v>
      </c>
      <c r="M1079">
        <v>0</v>
      </c>
      <c r="N1079">
        <v>100</v>
      </c>
      <c r="O1079">
        <v>53.846153846153847</v>
      </c>
    </row>
    <row r="1080" spans="1:15" customFormat="1" hidden="1" x14ac:dyDescent="0.25">
      <c r="A1080" s="11">
        <v>46034</v>
      </c>
      <c r="B1080" t="s">
        <v>45</v>
      </c>
      <c r="C1080" t="s">
        <v>32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 t="shared" si="125"/>
        <v>BOM</v>
      </c>
      <c r="M1080">
        <v>0</v>
      </c>
      <c r="N1080">
        <v>100</v>
      </c>
      <c r="O1080">
        <v>44.05594405594406</v>
      </c>
    </row>
    <row r="1081" spans="1:15" customFormat="1" hidden="1" x14ac:dyDescent="0.25">
      <c r="A1081" s="11">
        <v>46034</v>
      </c>
      <c r="B1081" t="s">
        <v>64</v>
      </c>
      <c r="C1081" t="s">
        <v>23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13</v>
      </c>
      <c r="K1081" s="3">
        <f>I1081-J1081</f>
        <v>3</v>
      </c>
      <c r="L1081" s="3" t="str">
        <f t="shared" si="125"/>
        <v>BOM</v>
      </c>
      <c r="M1081">
        <v>13</v>
      </c>
      <c r="N1081">
        <v>100</v>
      </c>
      <c r="O1081">
        <v>31.872509960159359</v>
      </c>
    </row>
    <row r="1082" spans="1:15" customFormat="1" hidden="1" x14ac:dyDescent="0.25">
      <c r="A1082" s="11">
        <v>46034</v>
      </c>
      <c r="B1082" t="s">
        <v>46</v>
      </c>
      <c r="C1082" t="s">
        <v>32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20</v>
      </c>
      <c r="K1082" s="3">
        <f>I1082-J1082</f>
        <v>0</v>
      </c>
      <c r="L1082" s="3" t="str">
        <f t="shared" si="125"/>
        <v>BOM</v>
      </c>
      <c r="M1082">
        <v>20</v>
      </c>
      <c r="N1082">
        <v>98.41</v>
      </c>
      <c r="O1082">
        <v>29.22465208747515</v>
      </c>
    </row>
    <row r="1083" spans="1:15" customFormat="1" hidden="1" x14ac:dyDescent="0.25">
      <c r="A1083" s="11">
        <v>46035</v>
      </c>
      <c r="B1083" t="s">
        <v>47</v>
      </c>
      <c r="C1083" t="s">
        <v>48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18</v>
      </c>
      <c r="K1083" s="3">
        <f>I1083-J1083</f>
        <v>8</v>
      </c>
      <c r="L1083" s="3" t="str">
        <f t="shared" si="125"/>
        <v>EXCELENTE</v>
      </c>
      <c r="M1083">
        <v>20</v>
      </c>
      <c r="N1083">
        <v>96.81</v>
      </c>
      <c r="O1083">
        <v>27.980535279805348</v>
      </c>
    </row>
    <row r="1084" spans="1:15" customFormat="1" hidden="1" x14ac:dyDescent="0.25">
      <c r="A1084" s="11">
        <v>46035</v>
      </c>
      <c r="B1084" t="s">
        <v>31</v>
      </c>
      <c r="C1084" t="s">
        <v>32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 t="shared" si="125"/>
        <v>BOM</v>
      </c>
      <c r="M1084">
        <v>15</v>
      </c>
      <c r="N1084">
        <v>98.73</v>
      </c>
      <c r="O1084">
        <v>35.756385068762278</v>
      </c>
    </row>
    <row r="1085" spans="1:15" customFormat="1" hidden="1" x14ac:dyDescent="0.25">
      <c r="A1085" s="11">
        <v>46035</v>
      </c>
      <c r="B1085" t="s">
        <v>59</v>
      </c>
      <c r="C1085" t="s">
        <v>23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14</v>
      </c>
      <c r="K1085" s="3">
        <f>I1085-J1085</f>
        <v>7</v>
      </c>
      <c r="L1085" s="3" t="str">
        <f t="shared" si="125"/>
        <v>EXCELENTE</v>
      </c>
      <c r="M1085">
        <v>22</v>
      </c>
      <c r="N1085">
        <v>98.32</v>
      </c>
      <c r="O1085">
        <v>26.763485477178421</v>
      </c>
    </row>
    <row r="1086" spans="1:15" customFormat="1" hidden="1" x14ac:dyDescent="0.25">
      <c r="A1086" s="11">
        <v>46035</v>
      </c>
      <c r="B1086" t="s">
        <v>33</v>
      </c>
      <c r="C1086" t="s">
        <v>32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22</v>
      </c>
      <c r="K1086" s="3">
        <f>I1086-J1086</f>
        <v>-3</v>
      </c>
      <c r="L1086" s="3" t="str">
        <f t="shared" si="125"/>
        <v>ATENÇÃO</v>
      </c>
      <c r="M1086">
        <v>16</v>
      </c>
      <c r="N1086">
        <v>99.19</v>
      </c>
      <c r="O1086">
        <v>27.637130801687761</v>
      </c>
    </row>
    <row r="1087" spans="1:15" customFormat="1" hidden="1" x14ac:dyDescent="0.25">
      <c r="A1087" s="11">
        <v>46035</v>
      </c>
      <c r="B1087" t="s">
        <v>15</v>
      </c>
      <c r="C1087" t="s">
        <v>16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 t="shared" si="125"/>
        <v>BOM</v>
      </c>
      <c r="M1087">
        <v>0</v>
      </c>
      <c r="N1087">
        <v>100</v>
      </c>
      <c r="O1087">
        <v>39.568345323741013</v>
      </c>
    </row>
    <row r="1088" spans="1:15" customFormat="1" hidden="1" x14ac:dyDescent="0.25">
      <c r="A1088" s="11">
        <v>46035</v>
      </c>
      <c r="B1088" t="s">
        <v>49</v>
      </c>
      <c r="C1088" t="s">
        <v>48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8</v>
      </c>
      <c r="L1088" s="3" t="str">
        <f t="shared" si="125"/>
        <v>EXCELENTE</v>
      </c>
      <c r="M1088">
        <v>25</v>
      </c>
      <c r="N1088">
        <v>98.54</v>
      </c>
      <c r="O1088">
        <v>28.544776119402989</v>
      </c>
    </row>
    <row r="1089" spans="1:15" customFormat="1" hidden="1" x14ac:dyDescent="0.25">
      <c r="A1089" s="11">
        <v>46035</v>
      </c>
      <c r="B1089" t="s">
        <v>50</v>
      </c>
      <c r="C1089" t="s">
        <v>48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18</v>
      </c>
      <c r="K1089" s="3">
        <f>I1089-J1089</f>
        <v>6</v>
      </c>
      <c r="L1089" s="3" t="str">
        <f t="shared" si="125"/>
        <v>EXCELENTE</v>
      </c>
      <c r="M1089">
        <v>23</v>
      </c>
      <c r="N1089">
        <v>100</v>
      </c>
      <c r="O1089">
        <v>34.366925064599492</v>
      </c>
    </row>
    <row r="1090" spans="1:15" customFormat="1" hidden="1" x14ac:dyDescent="0.25">
      <c r="A1090" s="11">
        <v>46035</v>
      </c>
      <c r="B1090" t="s">
        <v>17</v>
      </c>
      <c r="C1090" t="s">
        <v>16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 t="shared" si="125"/>
        <v>BOM</v>
      </c>
      <c r="M1090">
        <v>0</v>
      </c>
      <c r="N1090">
        <v>0</v>
      </c>
      <c r="O1090">
        <v>0</v>
      </c>
    </row>
    <row r="1091" spans="1:15" customFormat="1" hidden="1" x14ac:dyDescent="0.25">
      <c r="A1091" s="11">
        <v>46035</v>
      </c>
      <c r="B1091" t="s">
        <v>60</v>
      </c>
      <c r="C1091" t="s">
        <v>23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3</v>
      </c>
      <c r="L1091" s="3" t="str">
        <f t="shared" si="125"/>
        <v>BOM</v>
      </c>
      <c r="M1091">
        <v>13</v>
      </c>
      <c r="N1091">
        <v>100</v>
      </c>
      <c r="O1091">
        <v>29.518072289156631</v>
      </c>
    </row>
    <row r="1092" spans="1:15" customFormat="1" hidden="1" x14ac:dyDescent="0.25">
      <c r="A1092" s="11">
        <v>46035</v>
      </c>
      <c r="B1092" t="s">
        <v>34</v>
      </c>
      <c r="C1092" t="s">
        <v>32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22</v>
      </c>
      <c r="K1092" s="3">
        <f>I1092-J1092</f>
        <v>13</v>
      </c>
      <c r="L1092" s="3" t="str">
        <f t="shared" si="125"/>
        <v>EXCELENTE</v>
      </c>
      <c r="M1092">
        <v>28</v>
      </c>
      <c r="N1092">
        <v>97.45</v>
      </c>
      <c r="O1092">
        <v>41.421143847487002</v>
      </c>
    </row>
    <row r="1093" spans="1:15" customFormat="1" hidden="1" x14ac:dyDescent="0.25">
      <c r="A1093" s="11">
        <v>46035</v>
      </c>
      <c r="B1093" t="s">
        <v>51</v>
      </c>
      <c r="C1093" t="s">
        <v>48</v>
      </c>
      <c r="D1093">
        <v>30</v>
      </c>
      <c r="E1093">
        <v>24</v>
      </c>
      <c r="F1093">
        <v>17.149999999999999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 t="shared" si="125"/>
        <v>BOM</v>
      </c>
      <c r="M1093">
        <v>17</v>
      </c>
      <c r="N1093">
        <v>96.58</v>
      </c>
      <c r="O1093">
        <v>30.396475770925111</v>
      </c>
    </row>
    <row r="1094" spans="1:15" customFormat="1" hidden="1" x14ac:dyDescent="0.25">
      <c r="A1094" s="11">
        <v>46035</v>
      </c>
      <c r="B1094" t="s">
        <v>61</v>
      </c>
      <c r="C1094" t="s">
        <v>23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14</v>
      </c>
      <c r="K1094" s="3">
        <f>I1094-J1094</f>
        <v>11</v>
      </c>
      <c r="L1094" s="3" t="str">
        <f t="shared" si="125"/>
        <v>EXCELENTE</v>
      </c>
      <c r="M1094">
        <v>26</v>
      </c>
      <c r="N1094">
        <v>100</v>
      </c>
      <c r="O1094">
        <v>27.44282744282744</v>
      </c>
    </row>
    <row r="1095" spans="1:15" customFormat="1" hidden="1" x14ac:dyDescent="0.25">
      <c r="A1095" s="11">
        <v>46035</v>
      </c>
      <c r="B1095" t="s">
        <v>35</v>
      </c>
      <c r="C1095" t="s">
        <v>32</v>
      </c>
      <c r="D1095">
        <v>29</v>
      </c>
      <c r="E1095">
        <v>29</v>
      </c>
      <c r="F1095">
        <v>23.57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ref="L1095:L1158" si="129">IF(K1095&lt;-5,"CRÍTICO",IF(K1095&lt;0,"ATENÇÃO",IF(K1095&lt;=5,"BOM","EXCELENTE")))</f>
        <v>BOM</v>
      </c>
      <c r="M1095">
        <v>29</v>
      </c>
      <c r="N1095">
        <v>99.49</v>
      </c>
      <c r="O1095">
        <v>40.200000000000003</v>
      </c>
    </row>
    <row r="1096" spans="1:15" customFormat="1" hidden="1" x14ac:dyDescent="0.25">
      <c r="A1096" s="11">
        <v>46035</v>
      </c>
      <c r="B1096" t="s">
        <v>18</v>
      </c>
      <c r="C1096" t="s">
        <v>16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 t="shared" si="129"/>
        <v>BOM</v>
      </c>
      <c r="M1096">
        <v>0</v>
      </c>
      <c r="N1096">
        <v>100</v>
      </c>
      <c r="O1096">
        <v>25</v>
      </c>
    </row>
    <row r="1097" spans="1:15" customFormat="1" hidden="1" x14ac:dyDescent="0.25">
      <c r="A1097" s="11">
        <v>46035</v>
      </c>
      <c r="B1097" t="s">
        <v>52</v>
      </c>
      <c r="C1097" t="s">
        <v>48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 t="shared" ref="I1097:I1104" si="130">E1097+G1097+H1097</f>
        <v>35</v>
      </c>
      <c r="J1097" s="3">
        <f t="shared" ref="J1097:J1104" si="131"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18</v>
      </c>
      <c r="K1097" s="3">
        <f t="shared" ref="K1097:K1104" si="132">I1097-J1097</f>
        <v>17</v>
      </c>
      <c r="L1097" s="3" t="str">
        <f t="shared" si="129"/>
        <v>EXCELENTE</v>
      </c>
      <c r="M1097">
        <v>32</v>
      </c>
      <c r="N1097">
        <v>100</v>
      </c>
      <c r="O1097">
        <v>34.15094339622641</v>
      </c>
    </row>
    <row r="1098" spans="1:15" customFormat="1" hidden="1" x14ac:dyDescent="0.25">
      <c r="A1098" s="11">
        <v>46035</v>
      </c>
      <c r="B1098" t="s">
        <v>36</v>
      </c>
      <c r="C1098" t="s">
        <v>32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 t="shared" si="130"/>
        <v>21</v>
      </c>
      <c r="J1098" s="3">
        <f t="shared" si="131"/>
        <v>22</v>
      </c>
      <c r="K1098" s="3">
        <f t="shared" si="132"/>
        <v>-1</v>
      </c>
      <c r="L1098" s="3" t="str">
        <f t="shared" si="129"/>
        <v>ATENÇÃO</v>
      </c>
      <c r="M1098">
        <v>19</v>
      </c>
      <c r="N1098">
        <v>100</v>
      </c>
      <c r="O1098">
        <v>32.731376975169297</v>
      </c>
    </row>
    <row r="1099" spans="1:15" customFormat="1" hidden="1" x14ac:dyDescent="0.25">
      <c r="A1099" s="11">
        <v>46035</v>
      </c>
      <c r="B1099" t="s">
        <v>53</v>
      </c>
      <c r="C1099" t="s">
        <v>48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 t="shared" si="130"/>
        <v>30</v>
      </c>
      <c r="J1099" s="3">
        <f t="shared" si="131"/>
        <v>18</v>
      </c>
      <c r="K1099" s="3">
        <f t="shared" si="132"/>
        <v>12</v>
      </c>
      <c r="L1099" s="3" t="str">
        <f t="shared" si="129"/>
        <v>EXCELENTE</v>
      </c>
      <c r="M1099">
        <v>25</v>
      </c>
      <c r="N1099">
        <v>99.31</v>
      </c>
      <c r="O1099">
        <v>30.96234309623431</v>
      </c>
    </row>
    <row r="1100" spans="1:15" customFormat="1" hidden="1" x14ac:dyDescent="0.25">
      <c r="A1100" s="11">
        <v>46069</v>
      </c>
      <c r="B1100" t="s">
        <v>22</v>
      </c>
      <c r="C1100" t="s">
        <v>23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 t="shared" si="130"/>
        <v>5</v>
      </c>
      <c r="J1100" s="3">
        <f t="shared" si="131"/>
        <v>5</v>
      </c>
      <c r="K1100" s="3">
        <f t="shared" si="132"/>
        <v>0</v>
      </c>
      <c r="L1100" s="3" t="str">
        <f t="shared" si="129"/>
        <v>BOM</v>
      </c>
      <c r="M1100">
        <v>5</v>
      </c>
      <c r="N1100">
        <v>96.67</v>
      </c>
      <c r="O1100">
        <v>31.451612903225811</v>
      </c>
    </row>
    <row r="1101" spans="1:15" customFormat="1" hidden="1" x14ac:dyDescent="0.25">
      <c r="A1101" s="11">
        <v>46035</v>
      </c>
      <c r="B1101" t="s">
        <v>54</v>
      </c>
      <c r="C1101" t="s">
        <v>48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 t="shared" si="130"/>
        <v>32</v>
      </c>
      <c r="J1101" s="3">
        <f t="shared" si="131"/>
        <v>18</v>
      </c>
      <c r="K1101" s="3">
        <f t="shared" si="132"/>
        <v>14</v>
      </c>
      <c r="L1101" s="3" t="str">
        <f t="shared" si="129"/>
        <v>EXCELENTE</v>
      </c>
      <c r="M1101">
        <v>29</v>
      </c>
      <c r="N1101">
        <v>100</v>
      </c>
      <c r="O1101">
        <v>27.676767676767678</v>
      </c>
    </row>
    <row r="1102" spans="1:15" customFormat="1" hidden="1" x14ac:dyDescent="0.25">
      <c r="A1102" s="11">
        <v>46035</v>
      </c>
      <c r="B1102" t="s">
        <v>37</v>
      </c>
      <c r="C1102" t="s">
        <v>32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 t="shared" si="130"/>
        <v>44</v>
      </c>
      <c r="J1102" s="3">
        <f t="shared" si="131"/>
        <v>22</v>
      </c>
      <c r="K1102" s="3">
        <f t="shared" si="132"/>
        <v>22</v>
      </c>
      <c r="L1102" s="3" t="str">
        <f t="shared" si="129"/>
        <v>EXCELENTE</v>
      </c>
      <c r="M1102">
        <v>43</v>
      </c>
      <c r="N1102">
        <v>100</v>
      </c>
      <c r="O1102">
        <v>31.17723156532988</v>
      </c>
    </row>
    <row r="1103" spans="1:15" customFormat="1" hidden="1" x14ac:dyDescent="0.25">
      <c r="A1103" s="11">
        <v>46035</v>
      </c>
      <c r="B1103" t="s">
        <v>38</v>
      </c>
      <c r="C1103" t="s">
        <v>32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 t="shared" si="130"/>
        <v>20</v>
      </c>
      <c r="J1103" s="3">
        <f t="shared" si="131"/>
        <v>22</v>
      </c>
      <c r="K1103" s="3">
        <f t="shared" si="132"/>
        <v>-2</v>
      </c>
      <c r="L1103" s="3" t="str">
        <f t="shared" si="129"/>
        <v>ATENÇÃO</v>
      </c>
      <c r="M1103">
        <v>18</v>
      </c>
      <c r="N1103">
        <v>100</v>
      </c>
      <c r="O1103">
        <v>27.609427609427609</v>
      </c>
    </row>
    <row r="1104" spans="1:15" customFormat="1" hidden="1" x14ac:dyDescent="0.25">
      <c r="A1104" s="11">
        <v>46035</v>
      </c>
      <c r="B1104" t="s">
        <v>55</v>
      </c>
      <c r="C1104" t="s">
        <v>48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 t="shared" si="130"/>
        <v>21</v>
      </c>
      <c r="J1104" s="3">
        <f t="shared" si="131"/>
        <v>18</v>
      </c>
      <c r="K1104" s="3">
        <f t="shared" si="132"/>
        <v>3</v>
      </c>
      <c r="L1104" s="3" t="str">
        <f t="shared" si="129"/>
        <v>BOM</v>
      </c>
      <c r="M1104">
        <v>21</v>
      </c>
      <c r="N1104">
        <v>96.4</v>
      </c>
      <c r="O1104">
        <v>28.764044943820231</v>
      </c>
    </row>
    <row r="1105" spans="1:15" customFormat="1" hidden="1" x14ac:dyDescent="0.25">
      <c r="A1105" s="11">
        <v>46035</v>
      </c>
      <c r="B1105" t="s">
        <v>39</v>
      </c>
      <c r="C1105" t="s">
        <v>32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 t="shared" si="129"/>
        <v>BOM</v>
      </c>
      <c r="M1105">
        <v>13</v>
      </c>
      <c r="N1105">
        <v>100</v>
      </c>
      <c r="O1105">
        <v>33.980582524271853</v>
      </c>
    </row>
    <row r="1106" spans="1:15" customFormat="1" hidden="1" x14ac:dyDescent="0.25">
      <c r="A1106" s="11">
        <v>46035</v>
      </c>
      <c r="B1106" t="s">
        <v>25</v>
      </c>
      <c r="C1106" t="s">
        <v>26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13</v>
      </c>
      <c r="K1106" s="3">
        <f>I1106-J1106</f>
        <v>-8</v>
      </c>
      <c r="L1106" s="3" t="str">
        <f t="shared" si="129"/>
        <v>CRÍTICO</v>
      </c>
      <c r="M1106">
        <v>5</v>
      </c>
      <c r="N1106">
        <v>97.56</v>
      </c>
      <c r="O1106">
        <v>32.515337423312893</v>
      </c>
    </row>
    <row r="1107" spans="1:15" customFormat="1" hidden="1" x14ac:dyDescent="0.25">
      <c r="A1107" s="11">
        <v>46035</v>
      </c>
      <c r="B1107" t="s">
        <v>40</v>
      </c>
      <c r="C1107" t="s">
        <v>32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22</v>
      </c>
      <c r="K1107" s="3">
        <f>I1107-J1107</f>
        <v>1</v>
      </c>
      <c r="L1107" s="3" t="str">
        <f t="shared" si="129"/>
        <v>BOM</v>
      </c>
      <c r="M1107">
        <v>18</v>
      </c>
      <c r="N1107">
        <v>97.11</v>
      </c>
      <c r="O1107">
        <v>37.408312958435211</v>
      </c>
    </row>
    <row r="1108" spans="1:15" customFormat="1" hidden="1" x14ac:dyDescent="0.25">
      <c r="A1108" s="11">
        <v>46035</v>
      </c>
      <c r="B1108" t="s">
        <v>27</v>
      </c>
      <c r="C1108" t="s">
        <v>26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 t="shared" si="129"/>
        <v>BOM</v>
      </c>
      <c r="M1108">
        <v>0</v>
      </c>
      <c r="N1108">
        <v>0</v>
      </c>
      <c r="O1108">
        <v>0</v>
      </c>
    </row>
    <row r="1109" spans="1:15" customFormat="1" hidden="1" x14ac:dyDescent="0.25">
      <c r="A1109" s="11">
        <v>46035</v>
      </c>
      <c r="B1109" t="s">
        <v>41</v>
      </c>
      <c r="C1109" t="s">
        <v>32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3</v>
      </c>
      <c r="L1109" s="3" t="str">
        <f t="shared" si="129"/>
        <v>BOM</v>
      </c>
      <c r="M1109">
        <v>20</v>
      </c>
      <c r="N1109">
        <v>100</v>
      </c>
      <c r="O1109">
        <v>30.470347648261761</v>
      </c>
    </row>
    <row r="1110" spans="1:15" customFormat="1" hidden="1" x14ac:dyDescent="0.25">
      <c r="A1110" s="11">
        <v>46035</v>
      </c>
      <c r="B1110" t="s">
        <v>56</v>
      </c>
      <c r="C1110" t="s">
        <v>48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18</v>
      </c>
      <c r="K1110" s="3">
        <f>I1110-J1110</f>
        <v>-3</v>
      </c>
      <c r="L1110" s="3" t="str">
        <f t="shared" si="129"/>
        <v>ATENÇÃO</v>
      </c>
      <c r="M1110">
        <v>10</v>
      </c>
      <c r="N1110">
        <v>100</v>
      </c>
      <c r="O1110">
        <v>32.371134020618562</v>
      </c>
    </row>
    <row r="1111" spans="1:15" customFormat="1" hidden="1" x14ac:dyDescent="0.25">
      <c r="A1111" s="11">
        <v>46035</v>
      </c>
      <c r="B1111" t="s">
        <v>57</v>
      </c>
      <c r="C1111" t="s">
        <v>48</v>
      </c>
      <c r="D1111">
        <v>23</v>
      </c>
      <c r="E1111">
        <v>20</v>
      </c>
      <c r="F1111">
        <v>20.239999999999998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 t="shared" si="129"/>
        <v>BOM</v>
      </c>
      <c r="M1111">
        <v>18</v>
      </c>
      <c r="N1111">
        <v>98.32</v>
      </c>
      <c r="O1111">
        <v>32.318501170960189</v>
      </c>
    </row>
    <row r="1112" spans="1:15" customFormat="1" hidden="1" x14ac:dyDescent="0.25">
      <c r="A1112" s="11">
        <v>46035</v>
      </c>
      <c r="B1112" t="s">
        <v>42</v>
      </c>
      <c r="C1112" t="s">
        <v>32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22</v>
      </c>
      <c r="K1112" s="3">
        <f>I1112-J1112</f>
        <v>7</v>
      </c>
      <c r="L1112" s="3" t="str">
        <f t="shared" si="129"/>
        <v>EXCELENTE</v>
      </c>
      <c r="M1112">
        <v>18</v>
      </c>
      <c r="N1112">
        <v>96.43</v>
      </c>
      <c r="O1112">
        <v>27.015250544662312</v>
      </c>
    </row>
    <row r="1113" spans="1:15" customFormat="1" hidden="1" x14ac:dyDescent="0.25">
      <c r="A1113" s="11">
        <v>46035</v>
      </c>
      <c r="B1113" t="s">
        <v>62</v>
      </c>
      <c r="C1113" t="s">
        <v>23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14</v>
      </c>
      <c r="K1113" s="3">
        <f>I1113-J1113</f>
        <v>-1</v>
      </c>
      <c r="L1113" s="3" t="str">
        <f t="shared" si="129"/>
        <v>ATENÇÃO</v>
      </c>
      <c r="M1113">
        <v>12</v>
      </c>
      <c r="N1113">
        <v>98.89</v>
      </c>
      <c r="O1113">
        <v>28.021978021978018</v>
      </c>
    </row>
    <row r="1114" spans="1:15" customFormat="1" hidden="1" x14ac:dyDescent="0.25">
      <c r="A1114" s="11">
        <v>46035</v>
      </c>
      <c r="B1114" t="s">
        <v>19</v>
      </c>
      <c r="C1114" t="s">
        <v>16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 t="shared" si="129"/>
        <v>BOM</v>
      </c>
      <c r="M1114">
        <v>3</v>
      </c>
      <c r="N1114">
        <v>100</v>
      </c>
      <c r="O1114">
        <v>33.333333333333329</v>
      </c>
    </row>
    <row r="1115" spans="1:15" customFormat="1" hidden="1" x14ac:dyDescent="0.25">
      <c r="A1115" s="11">
        <v>46035</v>
      </c>
      <c r="B1115" t="s">
        <v>43</v>
      </c>
      <c r="C1115" t="s">
        <v>32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 t="shared" si="129"/>
        <v>BOM</v>
      </c>
      <c r="M1115">
        <v>0</v>
      </c>
      <c r="N1115">
        <v>100</v>
      </c>
      <c r="O1115">
        <v>27.43362831858407</v>
      </c>
    </row>
    <row r="1116" spans="1:15" customFormat="1" hidden="1" x14ac:dyDescent="0.25">
      <c r="A1116" s="11">
        <v>46035</v>
      </c>
      <c r="B1116" t="s">
        <v>44</v>
      </c>
      <c r="C1116" t="s">
        <v>32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22</v>
      </c>
      <c r="K1116" s="3">
        <f>I1116-J1116</f>
        <v>10</v>
      </c>
      <c r="L1116" s="3" t="str">
        <f t="shared" si="129"/>
        <v>EXCELENTE</v>
      </c>
      <c r="M1116">
        <v>29</v>
      </c>
      <c r="N1116">
        <v>98.65</v>
      </c>
      <c r="O1116">
        <v>30.978260869565219</v>
      </c>
    </row>
    <row r="1117" spans="1:15" customFormat="1" hidden="1" x14ac:dyDescent="0.25">
      <c r="A1117" s="11">
        <v>46035</v>
      </c>
      <c r="B1117" t="s">
        <v>20</v>
      </c>
      <c r="C1117" t="s">
        <v>16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29"/>
        <v>BOM</v>
      </c>
      <c r="M1117">
        <v>0</v>
      </c>
      <c r="N1117">
        <v>100</v>
      </c>
      <c r="O1117">
        <v>12</v>
      </c>
    </row>
    <row r="1118" spans="1:15" customFormat="1" hidden="1" x14ac:dyDescent="0.25">
      <c r="A1118" s="11">
        <v>46035</v>
      </c>
      <c r="B1118" t="s">
        <v>28</v>
      </c>
      <c r="C1118" t="s">
        <v>26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29"/>
        <v>BOM</v>
      </c>
      <c r="M1118">
        <v>0</v>
      </c>
      <c r="N1118">
        <v>0</v>
      </c>
      <c r="O1118">
        <v>0</v>
      </c>
    </row>
    <row r="1119" spans="1:15" customFormat="1" hidden="1" x14ac:dyDescent="0.25">
      <c r="A1119" s="11">
        <v>46035</v>
      </c>
      <c r="B1119" t="s">
        <v>58</v>
      </c>
      <c r="C1119" t="s">
        <v>48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29"/>
        <v>BOM</v>
      </c>
      <c r="M1119">
        <v>0</v>
      </c>
      <c r="N1119">
        <v>97.56</v>
      </c>
      <c r="O1119">
        <v>31.067961165048541</v>
      </c>
    </row>
    <row r="1120" spans="1:15" customFormat="1" hidden="1" x14ac:dyDescent="0.25">
      <c r="A1120" s="11">
        <v>46035</v>
      </c>
      <c r="B1120" t="s">
        <v>29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29"/>
        <v>BOM</v>
      </c>
      <c r="M1120">
        <v>0</v>
      </c>
      <c r="N1120">
        <v>0</v>
      </c>
      <c r="O1120">
        <v>0</v>
      </c>
    </row>
    <row r="1121" spans="1:15" customFormat="1" hidden="1" x14ac:dyDescent="0.25">
      <c r="A1121" s="11">
        <v>46035</v>
      </c>
      <c r="B1121" t="s">
        <v>30</v>
      </c>
      <c r="C1121" t="s">
        <v>26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29"/>
        <v>BOM</v>
      </c>
      <c r="M1121">
        <v>0</v>
      </c>
      <c r="N1121">
        <v>0</v>
      </c>
      <c r="O1121">
        <v>0</v>
      </c>
    </row>
    <row r="1122" spans="1:15" customFormat="1" hidden="1" x14ac:dyDescent="0.25">
      <c r="A1122" s="11">
        <v>46035</v>
      </c>
      <c r="B1122" t="s">
        <v>21</v>
      </c>
      <c r="C1122" t="s">
        <v>16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29"/>
        <v>BOM</v>
      </c>
      <c r="M1122">
        <v>0</v>
      </c>
      <c r="N1122">
        <v>0</v>
      </c>
      <c r="O1122">
        <v>0</v>
      </c>
    </row>
    <row r="1123" spans="1:15" customFormat="1" hidden="1" x14ac:dyDescent="0.25">
      <c r="A1123" s="11">
        <v>46035</v>
      </c>
      <c r="B1123" t="s">
        <v>63</v>
      </c>
      <c r="C1123" t="s">
        <v>23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29"/>
        <v>BOM</v>
      </c>
      <c r="M1123">
        <v>0</v>
      </c>
      <c r="N1123">
        <v>100</v>
      </c>
      <c r="O1123">
        <v>53.846153846153847</v>
      </c>
    </row>
    <row r="1124" spans="1:15" customFormat="1" hidden="1" x14ac:dyDescent="0.25">
      <c r="A1124" s="11">
        <v>46035</v>
      </c>
      <c r="B1124" t="s">
        <v>45</v>
      </c>
      <c r="C1124" t="s">
        <v>32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 t="shared" si="129"/>
        <v>BOM</v>
      </c>
      <c r="M1124">
        <v>0</v>
      </c>
      <c r="N1124">
        <v>100</v>
      </c>
      <c r="O1124">
        <v>44.05594405594406</v>
      </c>
    </row>
    <row r="1125" spans="1:15" customFormat="1" hidden="1" x14ac:dyDescent="0.25">
      <c r="A1125" s="11">
        <v>46035</v>
      </c>
      <c r="B1125" t="s">
        <v>64</v>
      </c>
      <c r="C1125" t="s">
        <v>23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14</v>
      </c>
      <c r="K1125" s="3">
        <f>I1125-J1125</f>
        <v>-5</v>
      </c>
      <c r="L1125" s="3" t="str">
        <f t="shared" si="129"/>
        <v>ATENÇÃO</v>
      </c>
      <c r="M1125">
        <v>8</v>
      </c>
      <c r="N1125">
        <v>100</v>
      </c>
      <c r="O1125">
        <v>31.872509960159359</v>
      </c>
    </row>
    <row r="1126" spans="1:15" customFormat="1" hidden="1" x14ac:dyDescent="0.25">
      <c r="A1126" s="11">
        <v>46035</v>
      </c>
      <c r="B1126" t="s">
        <v>46</v>
      </c>
      <c r="C1126" t="s">
        <v>32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22</v>
      </c>
      <c r="K1126" s="3">
        <f>I1126-J1126</f>
        <v>3</v>
      </c>
      <c r="L1126" s="3" t="str">
        <f t="shared" si="129"/>
        <v>BOM</v>
      </c>
      <c r="M1126">
        <v>19</v>
      </c>
      <c r="N1126">
        <v>98.41</v>
      </c>
      <c r="O1126">
        <v>29.22465208747515</v>
      </c>
    </row>
    <row r="1127" spans="1:15" customFormat="1" hidden="1" x14ac:dyDescent="0.25">
      <c r="A1127" s="11">
        <v>46036</v>
      </c>
      <c r="B1127" t="s">
        <v>47</v>
      </c>
      <c r="C1127" t="s">
        <v>48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16</v>
      </c>
      <c r="K1127" s="3">
        <f>I1127-J1127</f>
        <v>-1</v>
      </c>
      <c r="L1127" s="3" t="str">
        <f t="shared" si="129"/>
        <v>ATENÇÃO</v>
      </c>
      <c r="M1127">
        <v>17</v>
      </c>
      <c r="N1127">
        <v>96.81</v>
      </c>
      <c r="O1127">
        <v>27.980535279805348</v>
      </c>
    </row>
    <row r="1128" spans="1:15" customFormat="1" hidden="1" x14ac:dyDescent="0.25">
      <c r="A1128" s="11">
        <v>46036</v>
      </c>
      <c r="B1128" t="s">
        <v>31</v>
      </c>
      <c r="C1128" t="s">
        <v>32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 t="shared" si="129"/>
        <v>BOM</v>
      </c>
      <c r="M1128">
        <v>20</v>
      </c>
      <c r="N1128">
        <v>98.73</v>
      </c>
      <c r="O1128">
        <v>35.756385068762278</v>
      </c>
    </row>
    <row r="1129" spans="1:15" customFormat="1" hidden="1" x14ac:dyDescent="0.25">
      <c r="A1129" s="11">
        <v>46036</v>
      </c>
      <c r="B1129" t="s">
        <v>59</v>
      </c>
      <c r="C1129" t="s">
        <v>23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13</v>
      </c>
      <c r="K1129" s="3">
        <f>I1129-J1129</f>
        <v>7</v>
      </c>
      <c r="L1129" s="3" t="str">
        <f t="shared" si="129"/>
        <v>EXCELENTE</v>
      </c>
      <c r="M1129">
        <v>19</v>
      </c>
      <c r="N1129">
        <v>98.32</v>
      </c>
      <c r="O1129">
        <v>26.763485477178421</v>
      </c>
    </row>
    <row r="1130" spans="1:15" customFormat="1" hidden="1" x14ac:dyDescent="0.25">
      <c r="A1130" s="11">
        <v>46036</v>
      </c>
      <c r="B1130" t="s">
        <v>33</v>
      </c>
      <c r="C1130" t="s">
        <v>32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20</v>
      </c>
      <c r="K1130" s="3">
        <f>I1130-J1130</f>
        <v>-14</v>
      </c>
      <c r="L1130" s="3" t="str">
        <f t="shared" si="129"/>
        <v>CRÍTICO</v>
      </c>
      <c r="M1130">
        <v>4</v>
      </c>
      <c r="N1130">
        <v>99.19</v>
      </c>
      <c r="O1130">
        <v>27.637130801687761</v>
      </c>
    </row>
    <row r="1131" spans="1:15" customFormat="1" hidden="1" x14ac:dyDescent="0.25">
      <c r="A1131" s="11">
        <v>46036</v>
      </c>
      <c r="B1131" t="s">
        <v>15</v>
      </c>
      <c r="C1131" t="s">
        <v>16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6</v>
      </c>
      <c r="K1131" s="3">
        <f>I1131-J1131</f>
        <v>3</v>
      </c>
      <c r="L1131" s="3" t="str">
        <f t="shared" si="129"/>
        <v>BOM</v>
      </c>
      <c r="M1131">
        <v>7</v>
      </c>
      <c r="N1131">
        <v>100</v>
      </c>
      <c r="O1131">
        <v>39.568345323741013</v>
      </c>
    </row>
    <row r="1132" spans="1:15" customFormat="1" hidden="1" x14ac:dyDescent="0.25">
      <c r="A1132" s="11">
        <v>46036</v>
      </c>
      <c r="B1132" t="s">
        <v>49</v>
      </c>
      <c r="C1132" t="s">
        <v>48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11</v>
      </c>
      <c r="L1132" s="3" t="str">
        <f t="shared" si="129"/>
        <v>EXCELENTE</v>
      </c>
      <c r="M1132">
        <v>26</v>
      </c>
      <c r="N1132">
        <v>98.54</v>
      </c>
      <c r="O1132">
        <v>28.544776119402989</v>
      </c>
    </row>
    <row r="1133" spans="1:15" customFormat="1" hidden="1" x14ac:dyDescent="0.25">
      <c r="A1133" s="11">
        <v>46036</v>
      </c>
      <c r="B1133" t="s">
        <v>50</v>
      </c>
      <c r="C1133" t="s">
        <v>48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16</v>
      </c>
      <c r="K1133" s="3">
        <f>I1133-J1133</f>
        <v>7</v>
      </c>
      <c r="L1133" s="3" t="str">
        <f t="shared" si="129"/>
        <v>EXCELENTE</v>
      </c>
      <c r="M1133">
        <v>24</v>
      </c>
      <c r="N1133">
        <v>100</v>
      </c>
      <c r="O1133">
        <v>34.366925064599492</v>
      </c>
    </row>
    <row r="1134" spans="1:15" customFormat="1" hidden="1" x14ac:dyDescent="0.25">
      <c r="A1134" s="11">
        <v>46036</v>
      </c>
      <c r="B1134" t="s">
        <v>17</v>
      </c>
      <c r="C1134" t="s">
        <v>16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 t="shared" si="129"/>
        <v>BOM</v>
      </c>
      <c r="M1134">
        <v>0</v>
      </c>
      <c r="N1134">
        <v>0</v>
      </c>
      <c r="O1134">
        <v>0</v>
      </c>
    </row>
    <row r="1135" spans="1:15" customFormat="1" hidden="1" x14ac:dyDescent="0.25">
      <c r="A1135" s="11">
        <v>46036</v>
      </c>
      <c r="B1135" t="s">
        <v>60</v>
      </c>
      <c r="C1135" t="s">
        <v>23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3</v>
      </c>
      <c r="L1135" s="3" t="str">
        <f t="shared" si="129"/>
        <v>BOM</v>
      </c>
      <c r="M1135">
        <v>14</v>
      </c>
      <c r="N1135">
        <v>100</v>
      </c>
      <c r="O1135">
        <v>29.518072289156631</v>
      </c>
    </row>
    <row r="1136" spans="1:15" customFormat="1" hidden="1" x14ac:dyDescent="0.25">
      <c r="A1136" s="11">
        <v>46036</v>
      </c>
      <c r="B1136" t="s">
        <v>34</v>
      </c>
      <c r="C1136" t="s">
        <v>32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20</v>
      </c>
      <c r="K1136" s="3">
        <f>I1136-J1136</f>
        <v>12</v>
      </c>
      <c r="L1136" s="3" t="str">
        <f t="shared" si="129"/>
        <v>EXCELENTE</v>
      </c>
      <c r="M1136">
        <v>28</v>
      </c>
      <c r="N1136">
        <v>97.45</v>
      </c>
      <c r="O1136">
        <v>41.421143847487002</v>
      </c>
    </row>
    <row r="1137" spans="1:15" customFormat="1" hidden="1" x14ac:dyDescent="0.25">
      <c r="A1137" s="11">
        <v>46036</v>
      </c>
      <c r="B1137" t="s">
        <v>51</v>
      </c>
      <c r="C1137" t="s">
        <v>48</v>
      </c>
      <c r="D1137">
        <v>20</v>
      </c>
      <c r="E1137">
        <v>13</v>
      </c>
      <c r="F1137">
        <v>27.1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 t="shared" si="129"/>
        <v>BOM</v>
      </c>
      <c r="M1137">
        <v>12</v>
      </c>
      <c r="N1137">
        <v>96.58</v>
      </c>
      <c r="O1137">
        <v>30.396475770925111</v>
      </c>
    </row>
    <row r="1138" spans="1:15" customFormat="1" hidden="1" x14ac:dyDescent="0.25">
      <c r="A1138" s="11">
        <v>46036</v>
      </c>
      <c r="B1138" t="s">
        <v>61</v>
      </c>
      <c r="C1138" t="s">
        <v>23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13</v>
      </c>
      <c r="K1138" s="3">
        <f>I1138-J1138</f>
        <v>9</v>
      </c>
      <c r="L1138" s="3" t="str">
        <f t="shared" si="129"/>
        <v>EXCELENTE</v>
      </c>
      <c r="M1138">
        <v>28</v>
      </c>
      <c r="N1138">
        <v>100</v>
      </c>
      <c r="O1138">
        <v>27.44282744282744</v>
      </c>
    </row>
    <row r="1139" spans="1:15" customFormat="1" hidden="1" x14ac:dyDescent="0.25">
      <c r="A1139" s="11">
        <v>46036</v>
      </c>
      <c r="B1139" t="s">
        <v>35</v>
      </c>
      <c r="C1139" t="s">
        <v>32</v>
      </c>
      <c r="D1139">
        <v>28</v>
      </c>
      <c r="E1139">
        <v>28</v>
      </c>
      <c r="F1139">
        <v>22.34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29"/>
        <v>BOM</v>
      </c>
      <c r="M1139">
        <v>27</v>
      </c>
      <c r="N1139">
        <v>99.49</v>
      </c>
      <c r="O1139">
        <v>40.200000000000003</v>
      </c>
    </row>
    <row r="1140" spans="1:15" customFormat="1" hidden="1" x14ac:dyDescent="0.25">
      <c r="A1140" s="11">
        <v>46036</v>
      </c>
      <c r="B1140" t="s">
        <v>18</v>
      </c>
      <c r="C1140" t="s">
        <v>16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 t="shared" si="129"/>
        <v>BOM</v>
      </c>
      <c r="M1140">
        <v>0</v>
      </c>
      <c r="N1140">
        <v>100</v>
      </c>
      <c r="O1140">
        <v>25</v>
      </c>
    </row>
    <row r="1141" spans="1:15" customFormat="1" hidden="1" x14ac:dyDescent="0.25">
      <c r="A1141" s="11">
        <v>46036</v>
      </c>
      <c r="B1141" t="s">
        <v>52</v>
      </c>
      <c r="C1141" t="s">
        <v>48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16</v>
      </c>
      <c r="K1141" s="3">
        <f>I1141-J1141</f>
        <v>5</v>
      </c>
      <c r="L1141" s="3" t="str">
        <f t="shared" si="129"/>
        <v>BOM</v>
      </c>
      <c r="M1141">
        <v>22</v>
      </c>
      <c r="N1141">
        <v>100</v>
      </c>
      <c r="O1141">
        <v>34.15094339622641</v>
      </c>
    </row>
    <row r="1142" spans="1:15" customFormat="1" hidden="1" x14ac:dyDescent="0.25">
      <c r="A1142" s="11">
        <v>46036</v>
      </c>
      <c r="B1142" t="s">
        <v>36</v>
      </c>
      <c r="C1142" t="s">
        <v>32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20</v>
      </c>
      <c r="K1142" s="3">
        <f>I1142-J1142</f>
        <v>-7</v>
      </c>
      <c r="L1142" s="3" t="str">
        <f t="shared" si="129"/>
        <v>CRÍTICO</v>
      </c>
      <c r="M1142">
        <v>10</v>
      </c>
      <c r="N1142">
        <v>100</v>
      </c>
      <c r="O1142">
        <v>32.731376975169297</v>
      </c>
    </row>
    <row r="1143" spans="1:15" customFormat="1" hidden="1" x14ac:dyDescent="0.25">
      <c r="A1143" s="11">
        <v>46036</v>
      </c>
      <c r="B1143" t="s">
        <v>53</v>
      </c>
      <c r="C1143" t="s">
        <v>48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16</v>
      </c>
      <c r="K1143" s="3">
        <f>I1143-J1143</f>
        <v>2</v>
      </c>
      <c r="L1143" s="3" t="str">
        <f t="shared" si="129"/>
        <v>BOM</v>
      </c>
      <c r="M1143">
        <v>16</v>
      </c>
      <c r="N1143">
        <v>99.31</v>
      </c>
      <c r="O1143">
        <v>30.96234309623431</v>
      </c>
    </row>
    <row r="1144" spans="1:15" customFormat="1" hidden="1" x14ac:dyDescent="0.25">
      <c r="A1144" s="11">
        <v>46070</v>
      </c>
      <c r="B1144" t="s">
        <v>22</v>
      </c>
      <c r="C1144" t="s">
        <v>23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 t="shared" si="129"/>
        <v>BOM</v>
      </c>
      <c r="M1144">
        <v>0</v>
      </c>
      <c r="N1144">
        <v>96.67</v>
      </c>
      <c r="O1144">
        <v>31.451612903225811</v>
      </c>
    </row>
    <row r="1145" spans="1:15" customFormat="1" hidden="1" x14ac:dyDescent="0.25">
      <c r="A1145" s="11">
        <v>46036</v>
      </c>
      <c r="B1145" t="s">
        <v>54</v>
      </c>
      <c r="C1145" t="s">
        <v>48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13</v>
      </c>
      <c r="L1145" s="3" t="str">
        <f t="shared" si="129"/>
        <v>EXCELENTE</v>
      </c>
      <c r="M1145">
        <v>22</v>
      </c>
      <c r="N1145">
        <v>100</v>
      </c>
      <c r="O1145">
        <v>27.676767676767678</v>
      </c>
    </row>
    <row r="1146" spans="1:15" customFormat="1" hidden="1" x14ac:dyDescent="0.25">
      <c r="A1146" s="11">
        <v>46036</v>
      </c>
      <c r="B1146" t="s">
        <v>37</v>
      </c>
      <c r="C1146" t="s">
        <v>32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13</v>
      </c>
      <c r="L1146" s="3" t="str">
        <f t="shared" si="129"/>
        <v>EXCELENTE</v>
      </c>
      <c r="M1146">
        <v>32</v>
      </c>
      <c r="N1146">
        <v>100</v>
      </c>
      <c r="O1146">
        <v>31.17723156532988</v>
      </c>
    </row>
    <row r="1147" spans="1:15" customFormat="1" hidden="1" x14ac:dyDescent="0.25">
      <c r="A1147" s="11">
        <v>46036</v>
      </c>
      <c r="B1147" t="s">
        <v>38</v>
      </c>
      <c r="C1147" t="s">
        <v>32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20</v>
      </c>
      <c r="K1147" s="3">
        <f>I1147-J1147</f>
        <v>-3</v>
      </c>
      <c r="L1147" s="3" t="str">
        <f t="shared" si="129"/>
        <v>ATENÇÃO</v>
      </c>
      <c r="M1147">
        <v>16</v>
      </c>
      <c r="N1147">
        <v>100</v>
      </c>
      <c r="O1147">
        <v>27.609427609427609</v>
      </c>
    </row>
    <row r="1148" spans="1:15" customFormat="1" hidden="1" x14ac:dyDescent="0.25">
      <c r="A1148" s="11">
        <v>46036</v>
      </c>
      <c r="B1148" t="s">
        <v>55</v>
      </c>
      <c r="C1148" t="s">
        <v>48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16</v>
      </c>
      <c r="K1148" s="3">
        <f>I1148-J1148</f>
        <v>8</v>
      </c>
      <c r="L1148" s="3" t="str">
        <f t="shared" si="129"/>
        <v>EXCELENTE</v>
      </c>
      <c r="M1148">
        <v>23</v>
      </c>
      <c r="N1148">
        <v>96.4</v>
      </c>
      <c r="O1148">
        <v>28.764044943820231</v>
      </c>
    </row>
    <row r="1149" spans="1:15" customFormat="1" hidden="1" x14ac:dyDescent="0.25">
      <c r="A1149" s="11">
        <v>46036</v>
      </c>
      <c r="B1149" t="s">
        <v>39</v>
      </c>
      <c r="C1149" t="s">
        <v>32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 t="shared" si="129"/>
        <v>BOM</v>
      </c>
      <c r="M1149">
        <v>20</v>
      </c>
      <c r="N1149">
        <v>100</v>
      </c>
      <c r="O1149">
        <v>33.980582524271853</v>
      </c>
    </row>
    <row r="1150" spans="1:15" customFormat="1" hidden="1" x14ac:dyDescent="0.25">
      <c r="A1150" s="11">
        <v>46036</v>
      </c>
      <c r="B1150" t="s">
        <v>25</v>
      </c>
      <c r="C1150" t="s">
        <v>26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12</v>
      </c>
      <c r="K1150" s="3">
        <f>I1150-J1150</f>
        <v>-8</v>
      </c>
      <c r="L1150" s="3" t="str">
        <f t="shared" si="129"/>
        <v>CRÍTICO</v>
      </c>
      <c r="M1150">
        <v>3</v>
      </c>
      <c r="N1150">
        <v>97.56</v>
      </c>
      <c r="O1150">
        <v>32.515337423312893</v>
      </c>
    </row>
    <row r="1151" spans="1:15" customFormat="1" hidden="1" x14ac:dyDescent="0.25">
      <c r="A1151" s="11">
        <v>46036</v>
      </c>
      <c r="B1151" t="s">
        <v>40</v>
      </c>
      <c r="C1151" t="s">
        <v>32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20</v>
      </c>
      <c r="K1151" s="3">
        <f>I1151-J1151</f>
        <v>-3</v>
      </c>
      <c r="L1151" s="3" t="str">
        <f t="shared" si="129"/>
        <v>ATENÇÃO</v>
      </c>
      <c r="M1151">
        <v>24</v>
      </c>
      <c r="N1151">
        <v>97.11</v>
      </c>
      <c r="O1151">
        <v>37.408312958435211</v>
      </c>
    </row>
    <row r="1152" spans="1:15" customFormat="1" hidden="1" x14ac:dyDescent="0.25">
      <c r="A1152" s="11">
        <v>46036</v>
      </c>
      <c r="B1152" t="s">
        <v>27</v>
      </c>
      <c r="C1152" t="s">
        <v>26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 t="shared" si="129"/>
        <v>BOM</v>
      </c>
      <c r="M1152">
        <v>0</v>
      </c>
      <c r="N1152">
        <v>0</v>
      </c>
      <c r="O1152">
        <v>0</v>
      </c>
    </row>
    <row r="1153" spans="1:15" customFormat="1" hidden="1" x14ac:dyDescent="0.25">
      <c r="A1153" s="11">
        <v>46036</v>
      </c>
      <c r="B1153" t="s">
        <v>41</v>
      </c>
      <c r="C1153" t="s">
        <v>32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10</v>
      </c>
      <c r="L1153" s="3" t="str">
        <f t="shared" si="129"/>
        <v>EXCELENTE</v>
      </c>
      <c r="M1153">
        <v>28</v>
      </c>
      <c r="N1153">
        <v>100</v>
      </c>
      <c r="O1153">
        <v>30.470347648261761</v>
      </c>
    </row>
    <row r="1154" spans="1:15" customFormat="1" hidden="1" x14ac:dyDescent="0.25">
      <c r="A1154" s="11">
        <v>46036</v>
      </c>
      <c r="B1154" t="s">
        <v>56</v>
      </c>
      <c r="C1154" t="s">
        <v>48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16</v>
      </c>
      <c r="K1154" s="3">
        <f>I1154-J1154</f>
        <v>19</v>
      </c>
      <c r="L1154" s="3" t="str">
        <f t="shared" si="129"/>
        <v>EXCELENTE</v>
      </c>
      <c r="M1154">
        <v>35</v>
      </c>
      <c r="N1154">
        <v>100</v>
      </c>
      <c r="O1154">
        <v>32.371134020618562</v>
      </c>
    </row>
    <row r="1155" spans="1:15" customFormat="1" hidden="1" x14ac:dyDescent="0.25">
      <c r="A1155" s="11">
        <v>46036</v>
      </c>
      <c r="B1155" t="s">
        <v>57</v>
      </c>
      <c r="C1155" t="s">
        <v>48</v>
      </c>
      <c r="D1155">
        <v>36</v>
      </c>
      <c r="E1155">
        <v>33</v>
      </c>
      <c r="F1155">
        <v>13.28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 t="shared" si="129"/>
        <v>BOM</v>
      </c>
      <c r="M1155">
        <v>31</v>
      </c>
      <c r="N1155">
        <v>98.32</v>
      </c>
      <c r="O1155">
        <v>32.318501170960189</v>
      </c>
    </row>
    <row r="1156" spans="1:15" customFormat="1" hidden="1" x14ac:dyDescent="0.25">
      <c r="A1156" s="11">
        <v>46036</v>
      </c>
      <c r="B1156" t="s">
        <v>42</v>
      </c>
      <c r="C1156" t="s">
        <v>32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20</v>
      </c>
      <c r="K1156" s="3">
        <f>I1156-J1156</f>
        <v>22</v>
      </c>
      <c r="L1156" s="3" t="str">
        <f t="shared" si="129"/>
        <v>EXCELENTE</v>
      </c>
      <c r="M1156">
        <v>37</v>
      </c>
      <c r="N1156">
        <v>96.43</v>
      </c>
      <c r="O1156">
        <v>27.015250544662312</v>
      </c>
    </row>
    <row r="1157" spans="1:15" customFormat="1" hidden="1" x14ac:dyDescent="0.25">
      <c r="A1157" s="11">
        <v>46036</v>
      </c>
      <c r="B1157" t="s">
        <v>62</v>
      </c>
      <c r="C1157" t="s">
        <v>23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13</v>
      </c>
      <c r="K1157" s="3">
        <f>I1157-J1157</f>
        <v>3</v>
      </c>
      <c r="L1157" s="3" t="str">
        <f t="shared" si="129"/>
        <v>BOM</v>
      </c>
      <c r="M1157">
        <v>14</v>
      </c>
      <c r="N1157">
        <v>98.89</v>
      </c>
      <c r="O1157">
        <v>28.021978021978018</v>
      </c>
    </row>
    <row r="1158" spans="1:15" customFormat="1" hidden="1" x14ac:dyDescent="0.25">
      <c r="A1158" s="11">
        <v>46036</v>
      </c>
      <c r="B1158" t="s">
        <v>19</v>
      </c>
      <c r="C1158" t="s">
        <v>16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6</v>
      </c>
      <c r="K1158" s="3">
        <f>I1158-J1158</f>
        <v>-4</v>
      </c>
      <c r="L1158" s="3" t="str">
        <f t="shared" si="129"/>
        <v>ATENÇÃO</v>
      </c>
      <c r="M1158">
        <v>1</v>
      </c>
      <c r="N1158">
        <v>100</v>
      </c>
      <c r="O1158">
        <v>33.333333333333329</v>
      </c>
    </row>
    <row r="1159" spans="1:15" customFormat="1" hidden="1" x14ac:dyDescent="0.25">
      <c r="A1159" s="11">
        <v>46036</v>
      </c>
      <c r="B1159" t="s">
        <v>43</v>
      </c>
      <c r="C1159" t="s">
        <v>32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 t="shared" ref="L1159:L1222" si="133">IF(K1159&lt;-5,"CRÍTICO",IF(K1159&lt;0,"ATENÇÃO",IF(K1159&lt;=5,"BOM","EXCELENTE")))</f>
        <v>BOM</v>
      </c>
      <c r="M1159">
        <v>0</v>
      </c>
      <c r="N1159">
        <v>100</v>
      </c>
      <c r="O1159">
        <v>27.43362831858407</v>
      </c>
    </row>
    <row r="1160" spans="1:15" customFormat="1" hidden="1" x14ac:dyDescent="0.25">
      <c r="A1160" s="11">
        <v>46036</v>
      </c>
      <c r="B1160" t="s">
        <v>44</v>
      </c>
      <c r="C1160" t="s">
        <v>32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20</v>
      </c>
      <c r="K1160" s="3">
        <f>I1160-J1160</f>
        <v>11</v>
      </c>
      <c r="L1160" s="3" t="str">
        <f t="shared" si="133"/>
        <v>EXCELENTE</v>
      </c>
      <c r="M1160">
        <v>28</v>
      </c>
      <c r="N1160">
        <v>98.65</v>
      </c>
      <c r="O1160">
        <v>30.978260869565219</v>
      </c>
    </row>
    <row r="1161" spans="1:15" customFormat="1" hidden="1" x14ac:dyDescent="0.25">
      <c r="A1161" s="11">
        <v>46036</v>
      </c>
      <c r="B1161" t="s">
        <v>20</v>
      </c>
      <c r="C1161" t="s">
        <v>16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33"/>
        <v>BOM</v>
      </c>
      <c r="M1161">
        <v>0</v>
      </c>
      <c r="N1161">
        <v>100</v>
      </c>
      <c r="O1161">
        <v>12</v>
      </c>
    </row>
    <row r="1162" spans="1:15" customFormat="1" hidden="1" x14ac:dyDescent="0.25">
      <c r="A1162" s="11">
        <v>46036</v>
      </c>
      <c r="B1162" t="s">
        <v>28</v>
      </c>
      <c r="C1162" t="s">
        <v>26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 t="shared" si="133"/>
        <v>BOM</v>
      </c>
      <c r="M1162">
        <v>0</v>
      </c>
      <c r="N1162">
        <v>0</v>
      </c>
      <c r="O1162">
        <v>0</v>
      </c>
    </row>
    <row r="1163" spans="1:15" customFormat="1" hidden="1" x14ac:dyDescent="0.25">
      <c r="A1163" s="11">
        <v>46036</v>
      </c>
      <c r="B1163" t="s">
        <v>58</v>
      </c>
      <c r="C1163" t="s">
        <v>48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16</v>
      </c>
      <c r="K1163" s="3">
        <f>I1163-J1163</f>
        <v>9</v>
      </c>
      <c r="L1163" s="3" t="str">
        <f t="shared" si="133"/>
        <v>EXCELENTE</v>
      </c>
      <c r="M1163">
        <v>21</v>
      </c>
      <c r="N1163">
        <v>97.56</v>
      </c>
      <c r="O1163">
        <v>31.067961165048541</v>
      </c>
    </row>
    <row r="1164" spans="1:15" customFormat="1" hidden="1" x14ac:dyDescent="0.25">
      <c r="A1164" s="11">
        <v>46036</v>
      </c>
      <c r="B1164" t="s">
        <v>29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33"/>
        <v>BOM</v>
      </c>
      <c r="M1164">
        <v>0</v>
      </c>
      <c r="N1164">
        <v>0</v>
      </c>
      <c r="O1164">
        <v>0</v>
      </c>
    </row>
    <row r="1165" spans="1:15" customFormat="1" hidden="1" x14ac:dyDescent="0.25">
      <c r="A1165" s="11">
        <v>46036</v>
      </c>
      <c r="B1165" t="s">
        <v>30</v>
      </c>
      <c r="C1165" t="s">
        <v>26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33"/>
        <v>BOM</v>
      </c>
      <c r="M1165">
        <v>0</v>
      </c>
      <c r="N1165">
        <v>0</v>
      </c>
      <c r="O1165">
        <v>0</v>
      </c>
    </row>
    <row r="1166" spans="1:15" customFormat="1" hidden="1" x14ac:dyDescent="0.25">
      <c r="A1166" s="11">
        <v>46036</v>
      </c>
      <c r="B1166" t="s">
        <v>21</v>
      </c>
      <c r="C1166" t="s">
        <v>16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33"/>
        <v>BOM</v>
      </c>
      <c r="M1166">
        <v>0</v>
      </c>
      <c r="N1166">
        <v>0</v>
      </c>
      <c r="O1166">
        <v>0</v>
      </c>
    </row>
    <row r="1167" spans="1:15" customFormat="1" hidden="1" x14ac:dyDescent="0.25">
      <c r="A1167" s="11">
        <v>46036</v>
      </c>
      <c r="B1167" t="s">
        <v>63</v>
      </c>
      <c r="C1167" t="s">
        <v>23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33"/>
        <v>BOM</v>
      </c>
      <c r="M1167">
        <v>0</v>
      </c>
      <c r="N1167">
        <v>100</v>
      </c>
      <c r="O1167">
        <v>53.846153846153847</v>
      </c>
    </row>
    <row r="1168" spans="1:15" customFormat="1" hidden="1" x14ac:dyDescent="0.25">
      <c r="A1168" s="11">
        <v>46036</v>
      </c>
      <c r="B1168" t="s">
        <v>45</v>
      </c>
      <c r="C1168" t="s">
        <v>32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 t="shared" si="133"/>
        <v>BOM</v>
      </c>
      <c r="M1168">
        <v>0</v>
      </c>
      <c r="N1168">
        <v>100</v>
      </c>
      <c r="O1168">
        <v>44.05594405594406</v>
      </c>
    </row>
    <row r="1169" spans="1:15" customFormat="1" hidden="1" x14ac:dyDescent="0.25">
      <c r="A1169" s="11">
        <v>46036</v>
      </c>
      <c r="B1169" t="s">
        <v>64</v>
      </c>
      <c r="C1169" t="s">
        <v>23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13</v>
      </c>
      <c r="K1169" s="3">
        <f>I1169-J1169</f>
        <v>4</v>
      </c>
      <c r="L1169" s="3" t="str">
        <f t="shared" si="133"/>
        <v>BOM</v>
      </c>
      <c r="M1169">
        <v>15</v>
      </c>
      <c r="N1169">
        <v>100</v>
      </c>
      <c r="O1169">
        <v>31.872509960159359</v>
      </c>
    </row>
    <row r="1170" spans="1:15" customFormat="1" hidden="1" x14ac:dyDescent="0.25">
      <c r="A1170" s="11">
        <v>46036</v>
      </c>
      <c r="B1170" t="s">
        <v>46</v>
      </c>
      <c r="C1170" t="s">
        <v>32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20</v>
      </c>
      <c r="K1170" s="3">
        <f>I1170-J1170</f>
        <v>11</v>
      </c>
      <c r="L1170" s="3" t="str">
        <f t="shared" si="133"/>
        <v>EXCELENTE</v>
      </c>
      <c r="M1170">
        <v>26</v>
      </c>
      <c r="N1170">
        <v>98.41</v>
      </c>
      <c r="O1170">
        <v>29.22465208747515</v>
      </c>
    </row>
    <row r="1171" spans="1:15" customFormat="1" hidden="1" x14ac:dyDescent="0.25">
      <c r="A1171" s="11">
        <v>46037</v>
      </c>
      <c r="B1171" t="s">
        <v>47</v>
      </c>
      <c r="C1171" t="s">
        <v>48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18</v>
      </c>
      <c r="K1171" s="3">
        <f>I1171-J1171</f>
        <v>8</v>
      </c>
      <c r="L1171" s="3" t="str">
        <f t="shared" si="133"/>
        <v>EXCELENTE</v>
      </c>
      <c r="M1171">
        <v>22</v>
      </c>
      <c r="N1171">
        <v>96.81</v>
      </c>
      <c r="O1171">
        <v>27.980535279805348</v>
      </c>
    </row>
    <row r="1172" spans="1:15" customFormat="1" hidden="1" x14ac:dyDescent="0.25">
      <c r="A1172" s="11">
        <v>46037</v>
      </c>
      <c r="B1172" t="s">
        <v>31</v>
      </c>
      <c r="C1172" t="s">
        <v>32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 t="shared" si="133"/>
        <v>BOM</v>
      </c>
      <c r="M1172">
        <v>21</v>
      </c>
      <c r="N1172">
        <v>98.73</v>
      </c>
      <c r="O1172">
        <v>35.756385068762278</v>
      </c>
    </row>
    <row r="1173" spans="1:15" customFormat="1" hidden="1" x14ac:dyDescent="0.25">
      <c r="A1173" s="11">
        <v>46037</v>
      </c>
      <c r="B1173" t="s">
        <v>59</v>
      </c>
      <c r="C1173" t="s">
        <v>23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15</v>
      </c>
      <c r="K1173" s="3">
        <f>I1173-J1173</f>
        <v>15</v>
      </c>
      <c r="L1173" s="3" t="str">
        <f t="shared" si="133"/>
        <v>EXCELENTE</v>
      </c>
      <c r="M1173">
        <v>29</v>
      </c>
      <c r="N1173">
        <v>98.32</v>
      </c>
      <c r="O1173">
        <v>26.763485477178421</v>
      </c>
    </row>
    <row r="1174" spans="1:15" customFormat="1" hidden="1" x14ac:dyDescent="0.25">
      <c r="A1174" s="11">
        <v>46037</v>
      </c>
      <c r="B1174" t="s">
        <v>33</v>
      </c>
      <c r="C1174" t="s">
        <v>32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22</v>
      </c>
      <c r="K1174" s="3">
        <f>I1174-J1174</f>
        <v>-9</v>
      </c>
      <c r="L1174" s="3" t="str">
        <f t="shared" si="133"/>
        <v>CRÍTICO</v>
      </c>
      <c r="M1174">
        <v>13</v>
      </c>
      <c r="N1174">
        <v>99.19</v>
      </c>
      <c r="O1174">
        <v>27.637130801687761</v>
      </c>
    </row>
    <row r="1175" spans="1:15" customFormat="1" hidden="1" x14ac:dyDescent="0.25">
      <c r="A1175" s="11">
        <v>46037</v>
      </c>
      <c r="B1175" t="s">
        <v>15</v>
      </c>
      <c r="C1175" t="s">
        <v>16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 t="shared" si="133"/>
        <v>BOM</v>
      </c>
      <c r="M1175">
        <v>7</v>
      </c>
      <c r="N1175">
        <v>100</v>
      </c>
      <c r="O1175">
        <v>39.568345323741013</v>
      </c>
    </row>
    <row r="1176" spans="1:15" customFormat="1" hidden="1" x14ac:dyDescent="0.25">
      <c r="A1176" s="11">
        <v>46037</v>
      </c>
      <c r="B1176" t="s">
        <v>49</v>
      </c>
      <c r="C1176" t="s">
        <v>48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33"/>
        <v>BOM</v>
      </c>
      <c r="M1176">
        <v>22</v>
      </c>
      <c r="N1176">
        <v>98.54</v>
      </c>
      <c r="O1176">
        <v>28.544776119402989</v>
      </c>
    </row>
    <row r="1177" spans="1:15" customFormat="1" hidden="1" x14ac:dyDescent="0.25">
      <c r="A1177" s="11">
        <v>46037</v>
      </c>
      <c r="B1177" t="s">
        <v>50</v>
      </c>
      <c r="C1177" t="s">
        <v>48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18</v>
      </c>
      <c r="K1177" s="3">
        <f>I1177-J1177</f>
        <v>3</v>
      </c>
      <c r="L1177" s="3" t="str">
        <f t="shared" si="133"/>
        <v>BOM</v>
      </c>
      <c r="M1177">
        <v>19</v>
      </c>
      <c r="N1177">
        <v>100</v>
      </c>
      <c r="O1177">
        <v>34.366925064599492</v>
      </c>
    </row>
    <row r="1178" spans="1:15" customFormat="1" hidden="1" x14ac:dyDescent="0.25">
      <c r="A1178" s="11">
        <v>46037</v>
      </c>
      <c r="B1178" t="s">
        <v>17</v>
      </c>
      <c r="C1178" t="s">
        <v>16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 t="shared" si="133"/>
        <v>BOM</v>
      </c>
      <c r="M1178">
        <v>0</v>
      </c>
      <c r="N1178">
        <v>0</v>
      </c>
      <c r="O1178">
        <v>0</v>
      </c>
    </row>
    <row r="1179" spans="1:15" customFormat="1" hidden="1" x14ac:dyDescent="0.25">
      <c r="A1179" s="11">
        <v>46037</v>
      </c>
      <c r="B1179" t="s">
        <v>60</v>
      </c>
      <c r="C1179" t="s">
        <v>23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-6</v>
      </c>
      <c r="L1179" s="3" t="str">
        <f t="shared" si="133"/>
        <v>CRÍTICO</v>
      </c>
      <c r="M1179">
        <v>8</v>
      </c>
      <c r="N1179">
        <v>100</v>
      </c>
      <c r="O1179">
        <v>29.518072289156631</v>
      </c>
    </row>
    <row r="1180" spans="1:15" customFormat="1" hidden="1" x14ac:dyDescent="0.25">
      <c r="A1180" s="11">
        <v>46037</v>
      </c>
      <c r="B1180" t="s">
        <v>34</v>
      </c>
      <c r="C1180" t="s">
        <v>32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22</v>
      </c>
      <c r="K1180" s="3">
        <f>I1180-J1180</f>
        <v>21</v>
      </c>
      <c r="L1180" s="3" t="str">
        <f t="shared" si="133"/>
        <v>EXCELENTE</v>
      </c>
      <c r="M1180">
        <v>39</v>
      </c>
      <c r="N1180">
        <v>97.45</v>
      </c>
      <c r="O1180">
        <v>41.421143847487002</v>
      </c>
    </row>
    <row r="1181" spans="1:15" customFormat="1" hidden="1" x14ac:dyDescent="0.25">
      <c r="A1181" s="11">
        <v>46037</v>
      </c>
      <c r="B1181" t="s">
        <v>51</v>
      </c>
      <c r="C1181" t="s">
        <v>48</v>
      </c>
      <c r="D1181">
        <v>35</v>
      </c>
      <c r="E1181">
        <v>27</v>
      </c>
      <c r="F1181">
        <v>17.010000000000002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 t="shared" si="133"/>
        <v>BOM</v>
      </c>
      <c r="M1181">
        <v>29</v>
      </c>
      <c r="N1181">
        <v>96.58</v>
      </c>
      <c r="O1181">
        <v>30.396475770925111</v>
      </c>
    </row>
    <row r="1182" spans="1:15" customFormat="1" hidden="1" x14ac:dyDescent="0.25">
      <c r="A1182" s="11">
        <v>46037</v>
      </c>
      <c r="B1182" t="s">
        <v>61</v>
      </c>
      <c r="C1182" t="s">
        <v>23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15</v>
      </c>
      <c r="K1182" s="3">
        <f>I1182-J1182</f>
        <v>1</v>
      </c>
      <c r="L1182" s="3" t="str">
        <f t="shared" si="133"/>
        <v>BOM</v>
      </c>
      <c r="M1182">
        <v>20</v>
      </c>
      <c r="N1182">
        <v>100</v>
      </c>
      <c r="O1182">
        <v>27.44282744282744</v>
      </c>
    </row>
    <row r="1183" spans="1:15" customFormat="1" hidden="1" x14ac:dyDescent="0.25">
      <c r="A1183" s="11">
        <v>46037</v>
      </c>
      <c r="B1183" t="s">
        <v>35</v>
      </c>
      <c r="C1183" t="s">
        <v>32</v>
      </c>
      <c r="D1183">
        <v>20</v>
      </c>
      <c r="E1183">
        <v>20</v>
      </c>
      <c r="F1183">
        <v>25.03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33"/>
        <v>BOM</v>
      </c>
      <c r="M1183">
        <v>20</v>
      </c>
      <c r="N1183">
        <v>99.49</v>
      </c>
      <c r="O1183">
        <v>40.200000000000003</v>
      </c>
    </row>
    <row r="1184" spans="1:15" customFormat="1" hidden="1" x14ac:dyDescent="0.25">
      <c r="A1184" s="11">
        <v>46037</v>
      </c>
      <c r="B1184" t="s">
        <v>18</v>
      </c>
      <c r="C1184" t="s">
        <v>16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 t="shared" si="133"/>
        <v>BOM</v>
      </c>
      <c r="M1184">
        <v>0</v>
      </c>
      <c r="N1184">
        <v>100</v>
      </c>
      <c r="O1184">
        <v>25</v>
      </c>
    </row>
    <row r="1185" spans="1:15" customFormat="1" hidden="1" x14ac:dyDescent="0.25">
      <c r="A1185" s="11">
        <v>46037</v>
      </c>
      <c r="B1185" t="s">
        <v>52</v>
      </c>
      <c r="C1185" t="s">
        <v>48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18</v>
      </c>
      <c r="K1185" s="3">
        <f>I1185-J1185</f>
        <v>7</v>
      </c>
      <c r="L1185" s="3" t="str">
        <f t="shared" si="133"/>
        <v>EXCELENTE</v>
      </c>
      <c r="M1185">
        <v>22</v>
      </c>
      <c r="N1185">
        <v>100</v>
      </c>
      <c r="O1185">
        <v>34.15094339622641</v>
      </c>
    </row>
    <row r="1186" spans="1:15" customFormat="1" hidden="1" x14ac:dyDescent="0.25">
      <c r="A1186" s="11">
        <v>46037</v>
      </c>
      <c r="B1186" t="s">
        <v>36</v>
      </c>
      <c r="C1186" t="s">
        <v>32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22</v>
      </c>
      <c r="K1186" s="3">
        <f>I1186-J1186</f>
        <v>10</v>
      </c>
      <c r="L1186" s="3" t="str">
        <f t="shared" si="133"/>
        <v>EXCELENTE</v>
      </c>
      <c r="M1186">
        <v>28</v>
      </c>
      <c r="N1186">
        <v>100</v>
      </c>
      <c r="O1186">
        <v>32.731376975169297</v>
      </c>
    </row>
    <row r="1187" spans="1:15" customFormat="1" hidden="1" x14ac:dyDescent="0.25">
      <c r="A1187" s="11">
        <v>46037</v>
      </c>
      <c r="B1187" t="s">
        <v>53</v>
      </c>
      <c r="C1187" t="s">
        <v>48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 t="shared" si="133"/>
        <v>BOM</v>
      </c>
      <c r="M1187">
        <v>1</v>
      </c>
      <c r="N1187">
        <v>99.31</v>
      </c>
      <c r="O1187">
        <v>30.96234309623431</v>
      </c>
    </row>
    <row r="1188" spans="1:15" customFormat="1" hidden="1" x14ac:dyDescent="0.25">
      <c r="A1188" s="11">
        <v>46071</v>
      </c>
      <c r="B1188" t="s">
        <v>22</v>
      </c>
      <c r="C1188" t="s">
        <v>23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16</v>
      </c>
      <c r="K1188" s="3">
        <f>I1188-J1188</f>
        <v>2</v>
      </c>
      <c r="L1188" s="3" t="str">
        <f t="shared" si="133"/>
        <v>BOM</v>
      </c>
      <c r="M1188">
        <v>18</v>
      </c>
      <c r="N1188">
        <v>96.67</v>
      </c>
      <c r="O1188">
        <v>31.451612903225811</v>
      </c>
    </row>
    <row r="1189" spans="1:15" customFormat="1" hidden="1" x14ac:dyDescent="0.25">
      <c r="A1189" s="11">
        <v>46037</v>
      </c>
      <c r="B1189" t="s">
        <v>54</v>
      </c>
      <c r="C1189" t="s">
        <v>48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12</v>
      </c>
      <c r="L1189" s="3" t="str">
        <f t="shared" si="133"/>
        <v>EXCELENTE</v>
      </c>
      <c r="M1189">
        <v>29</v>
      </c>
      <c r="N1189">
        <v>100</v>
      </c>
      <c r="O1189">
        <v>27.676767676767678</v>
      </c>
    </row>
    <row r="1190" spans="1:15" customFormat="1" hidden="1" x14ac:dyDescent="0.25">
      <c r="A1190" s="11">
        <v>46037</v>
      </c>
      <c r="B1190" t="s">
        <v>37</v>
      </c>
      <c r="C1190" t="s">
        <v>32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22</v>
      </c>
      <c r="K1190" s="3">
        <f>I1190-J1190</f>
        <v>28</v>
      </c>
      <c r="L1190" s="3" t="str">
        <f t="shared" si="133"/>
        <v>EXCELENTE</v>
      </c>
      <c r="M1190">
        <v>48</v>
      </c>
      <c r="N1190">
        <v>100</v>
      </c>
      <c r="O1190">
        <v>31.17723156532988</v>
      </c>
    </row>
    <row r="1191" spans="1:15" customFormat="1" hidden="1" x14ac:dyDescent="0.25">
      <c r="A1191" s="11">
        <v>46037</v>
      </c>
      <c r="B1191" t="s">
        <v>38</v>
      </c>
      <c r="C1191" t="s">
        <v>32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 t="shared" si="133"/>
        <v>BOM</v>
      </c>
      <c r="M1191">
        <v>0</v>
      </c>
      <c r="N1191">
        <v>100</v>
      </c>
      <c r="O1191">
        <v>27.609427609427609</v>
      </c>
    </row>
    <row r="1192" spans="1:15" customFormat="1" hidden="1" x14ac:dyDescent="0.25">
      <c r="A1192" s="11">
        <v>46037</v>
      </c>
      <c r="B1192" t="s">
        <v>55</v>
      </c>
      <c r="C1192" t="s">
        <v>48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18</v>
      </c>
      <c r="K1192" s="3">
        <f>I1192-J1192</f>
        <v>6</v>
      </c>
      <c r="L1192" s="3" t="str">
        <f t="shared" si="133"/>
        <v>EXCELENTE</v>
      </c>
      <c r="M1192">
        <v>22</v>
      </c>
      <c r="N1192">
        <v>96.4</v>
      </c>
      <c r="O1192">
        <v>28.764044943820231</v>
      </c>
    </row>
    <row r="1193" spans="1:15" customFormat="1" hidden="1" x14ac:dyDescent="0.25">
      <c r="A1193" s="11">
        <v>46037</v>
      </c>
      <c r="B1193" t="s">
        <v>39</v>
      </c>
      <c r="C1193" t="s">
        <v>32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 t="shared" si="133"/>
        <v>BOM</v>
      </c>
      <c r="M1193">
        <v>19</v>
      </c>
      <c r="N1193">
        <v>100</v>
      </c>
      <c r="O1193">
        <v>33.980582524271853</v>
      </c>
    </row>
    <row r="1194" spans="1:15" customFormat="1" hidden="1" x14ac:dyDescent="0.25">
      <c r="A1194" s="11">
        <v>46037</v>
      </c>
      <c r="B1194" t="s">
        <v>25</v>
      </c>
      <c r="C1194" t="s">
        <v>26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13</v>
      </c>
      <c r="K1194" s="3">
        <f>I1194-J1194</f>
        <v>-6</v>
      </c>
      <c r="L1194" s="3" t="str">
        <f t="shared" si="133"/>
        <v>CRÍTICO</v>
      </c>
      <c r="M1194">
        <v>7</v>
      </c>
      <c r="N1194">
        <v>97.56</v>
      </c>
      <c r="O1194">
        <v>32.515337423312893</v>
      </c>
    </row>
    <row r="1195" spans="1:15" customFormat="1" hidden="1" x14ac:dyDescent="0.25">
      <c r="A1195" s="11">
        <v>46037</v>
      </c>
      <c r="B1195" t="s">
        <v>40</v>
      </c>
      <c r="C1195" t="s">
        <v>32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22</v>
      </c>
      <c r="K1195" s="3">
        <f>I1195-J1195</f>
        <v>-1</v>
      </c>
      <c r="L1195" s="3" t="str">
        <f t="shared" si="133"/>
        <v>ATENÇÃO</v>
      </c>
      <c r="M1195">
        <v>21</v>
      </c>
      <c r="N1195">
        <v>97.11</v>
      </c>
      <c r="O1195">
        <v>37.408312958435211</v>
      </c>
    </row>
    <row r="1196" spans="1:15" customFormat="1" hidden="1" x14ac:dyDescent="0.25">
      <c r="A1196" s="11">
        <v>46037</v>
      </c>
      <c r="B1196" t="s">
        <v>27</v>
      </c>
      <c r="C1196" t="s">
        <v>26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 t="shared" si="133"/>
        <v>BOM</v>
      </c>
      <c r="M1196">
        <v>0</v>
      </c>
      <c r="N1196">
        <v>0</v>
      </c>
      <c r="O1196">
        <v>0</v>
      </c>
    </row>
    <row r="1197" spans="1:15" customFormat="1" hidden="1" x14ac:dyDescent="0.25">
      <c r="A1197" s="11">
        <v>46037</v>
      </c>
      <c r="B1197" t="s">
        <v>41</v>
      </c>
      <c r="C1197" t="s">
        <v>32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10</v>
      </c>
      <c r="L1197" s="3" t="str">
        <f t="shared" si="133"/>
        <v>EXCELENTE</v>
      </c>
      <c r="M1197">
        <v>27</v>
      </c>
      <c r="N1197">
        <v>100</v>
      </c>
      <c r="O1197">
        <v>30.470347648261761</v>
      </c>
    </row>
    <row r="1198" spans="1:15" customFormat="1" hidden="1" x14ac:dyDescent="0.25">
      <c r="A1198" s="11">
        <v>46037</v>
      </c>
      <c r="B1198" t="s">
        <v>56</v>
      </c>
      <c r="C1198" t="s">
        <v>48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18</v>
      </c>
      <c r="K1198" s="3">
        <f>I1198-J1198</f>
        <v>13</v>
      </c>
      <c r="L1198" s="3" t="str">
        <f t="shared" si="133"/>
        <v>EXCELENTE</v>
      </c>
      <c r="M1198">
        <v>29</v>
      </c>
      <c r="N1198">
        <v>100</v>
      </c>
      <c r="O1198">
        <v>32.371134020618562</v>
      </c>
    </row>
    <row r="1199" spans="1:15" customFormat="1" hidden="1" x14ac:dyDescent="0.25">
      <c r="A1199" s="11">
        <v>46037</v>
      </c>
      <c r="B1199" t="s">
        <v>57</v>
      </c>
      <c r="C1199" t="s">
        <v>48</v>
      </c>
      <c r="D1199">
        <v>28</v>
      </c>
      <c r="E1199">
        <v>26</v>
      </c>
      <c r="F1199">
        <v>19.04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 t="shared" si="133"/>
        <v>BOM</v>
      </c>
      <c r="M1199">
        <v>25</v>
      </c>
      <c r="N1199">
        <v>98.32</v>
      </c>
      <c r="O1199">
        <v>32.318501170960189</v>
      </c>
    </row>
    <row r="1200" spans="1:15" customFormat="1" hidden="1" x14ac:dyDescent="0.25">
      <c r="A1200" s="11">
        <v>46037</v>
      </c>
      <c r="B1200" t="s">
        <v>42</v>
      </c>
      <c r="C1200" t="s">
        <v>32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22</v>
      </c>
      <c r="K1200" s="3">
        <f>I1200-J1200</f>
        <v>29</v>
      </c>
      <c r="L1200" s="3" t="str">
        <f t="shared" si="133"/>
        <v>EXCELENTE</v>
      </c>
      <c r="M1200">
        <v>38</v>
      </c>
      <c r="N1200">
        <v>96.43</v>
      </c>
      <c r="O1200">
        <v>27.015250544662312</v>
      </c>
    </row>
    <row r="1201" spans="1:15" customFormat="1" hidden="1" x14ac:dyDescent="0.25">
      <c r="A1201" s="11">
        <v>46037</v>
      </c>
      <c r="B1201" t="s">
        <v>62</v>
      </c>
      <c r="C1201" t="s">
        <v>23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15</v>
      </c>
      <c r="K1201" s="3">
        <f>I1201-J1201</f>
        <v>2</v>
      </c>
      <c r="L1201" s="3" t="str">
        <f t="shared" si="133"/>
        <v>BOM</v>
      </c>
      <c r="M1201">
        <v>15</v>
      </c>
      <c r="N1201">
        <v>98.89</v>
      </c>
      <c r="O1201">
        <v>28.021978021978018</v>
      </c>
    </row>
    <row r="1202" spans="1:15" customFormat="1" hidden="1" x14ac:dyDescent="0.25">
      <c r="A1202" s="11">
        <v>46037</v>
      </c>
      <c r="B1202" t="s">
        <v>19</v>
      </c>
      <c r="C1202" t="s">
        <v>16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33"/>
        <v>BOM</v>
      </c>
      <c r="M1202">
        <v>0</v>
      </c>
      <c r="N1202">
        <v>100</v>
      </c>
      <c r="O1202">
        <v>33.333333333333329</v>
      </c>
    </row>
    <row r="1203" spans="1:15" customFormat="1" hidden="1" x14ac:dyDescent="0.25">
      <c r="A1203" s="11">
        <v>46037</v>
      </c>
      <c r="B1203" t="s">
        <v>43</v>
      </c>
      <c r="C1203" t="s">
        <v>32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 t="shared" si="133"/>
        <v>BOM</v>
      </c>
      <c r="M1203">
        <v>0</v>
      </c>
      <c r="N1203">
        <v>100</v>
      </c>
      <c r="O1203">
        <v>27.43362831858407</v>
      </c>
    </row>
    <row r="1204" spans="1:15" customFormat="1" hidden="1" x14ac:dyDescent="0.25">
      <c r="A1204" s="11">
        <v>46037</v>
      </c>
      <c r="B1204" t="s">
        <v>44</v>
      </c>
      <c r="C1204" t="s">
        <v>32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22</v>
      </c>
      <c r="K1204" s="3">
        <f>I1204-J1204</f>
        <v>26</v>
      </c>
      <c r="L1204" s="3" t="str">
        <f t="shared" si="133"/>
        <v>EXCELENTE</v>
      </c>
      <c r="M1204">
        <v>40</v>
      </c>
      <c r="N1204">
        <v>98.65</v>
      </c>
      <c r="O1204">
        <v>30.978260869565219</v>
      </c>
    </row>
    <row r="1205" spans="1:15" customFormat="1" hidden="1" x14ac:dyDescent="0.25">
      <c r="A1205" s="11">
        <v>46037</v>
      </c>
      <c r="B1205" t="s">
        <v>20</v>
      </c>
      <c r="C1205" t="s">
        <v>16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 t="shared" si="133"/>
        <v>ATENÇÃO</v>
      </c>
      <c r="M1205">
        <v>0</v>
      </c>
      <c r="N1205">
        <v>100</v>
      </c>
      <c r="O1205">
        <v>12</v>
      </c>
    </row>
    <row r="1206" spans="1:15" customFormat="1" hidden="1" x14ac:dyDescent="0.25">
      <c r="A1206" s="11">
        <v>46037</v>
      </c>
      <c r="B1206" t="s">
        <v>28</v>
      </c>
      <c r="C1206" t="s">
        <v>26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33"/>
        <v>BOM</v>
      </c>
      <c r="M1206">
        <v>0</v>
      </c>
      <c r="N1206">
        <v>0</v>
      </c>
      <c r="O1206">
        <v>0</v>
      </c>
    </row>
    <row r="1207" spans="1:15" customFormat="1" hidden="1" x14ac:dyDescent="0.25">
      <c r="A1207" s="11">
        <v>46037</v>
      </c>
      <c r="B1207" t="s">
        <v>58</v>
      </c>
      <c r="C1207" t="s">
        <v>48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33"/>
        <v>BOM</v>
      </c>
      <c r="M1207">
        <v>0</v>
      </c>
      <c r="N1207">
        <v>97.56</v>
      </c>
      <c r="O1207">
        <v>31.067961165048541</v>
      </c>
    </row>
    <row r="1208" spans="1:15" customFormat="1" hidden="1" x14ac:dyDescent="0.25">
      <c r="A1208" s="11">
        <v>46037</v>
      </c>
      <c r="B1208" t="s">
        <v>29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33"/>
        <v>BOM</v>
      </c>
      <c r="M1208">
        <v>0</v>
      </c>
      <c r="N1208">
        <v>0</v>
      </c>
      <c r="O1208">
        <v>0</v>
      </c>
    </row>
    <row r="1209" spans="1:15" customFormat="1" hidden="1" x14ac:dyDescent="0.25">
      <c r="A1209" s="11">
        <v>46037</v>
      </c>
      <c r="B1209" t="s">
        <v>30</v>
      </c>
      <c r="C1209" t="s">
        <v>26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33"/>
        <v>BOM</v>
      </c>
      <c r="M1209">
        <v>0</v>
      </c>
      <c r="N1209">
        <v>0</v>
      </c>
      <c r="O1209">
        <v>0</v>
      </c>
    </row>
    <row r="1210" spans="1:15" customFormat="1" hidden="1" x14ac:dyDescent="0.25">
      <c r="A1210" s="11">
        <v>46037</v>
      </c>
      <c r="B1210" t="s">
        <v>21</v>
      </c>
      <c r="C1210" t="s">
        <v>16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33"/>
        <v>BOM</v>
      </c>
      <c r="M1210">
        <v>0</v>
      </c>
      <c r="N1210">
        <v>0</v>
      </c>
      <c r="O1210">
        <v>0</v>
      </c>
    </row>
    <row r="1211" spans="1:15" customFormat="1" hidden="1" x14ac:dyDescent="0.25">
      <c r="A1211" s="11">
        <v>46037</v>
      </c>
      <c r="B1211" t="s">
        <v>63</v>
      </c>
      <c r="C1211" t="s">
        <v>23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33"/>
        <v>BOM</v>
      </c>
      <c r="M1211">
        <v>0</v>
      </c>
      <c r="N1211">
        <v>100</v>
      </c>
      <c r="O1211">
        <v>53.846153846153847</v>
      </c>
    </row>
    <row r="1212" spans="1:15" customFormat="1" hidden="1" x14ac:dyDescent="0.25">
      <c r="A1212" s="11">
        <v>46037</v>
      </c>
      <c r="B1212" t="s">
        <v>45</v>
      </c>
      <c r="C1212" t="s">
        <v>32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 t="shared" si="133"/>
        <v>BOM</v>
      </c>
      <c r="M1212">
        <v>0</v>
      </c>
      <c r="N1212">
        <v>100</v>
      </c>
      <c r="O1212">
        <v>44.05594405594406</v>
      </c>
    </row>
    <row r="1213" spans="1:15" customFormat="1" hidden="1" x14ac:dyDescent="0.25">
      <c r="A1213" s="11">
        <v>46037</v>
      </c>
      <c r="B1213" t="s">
        <v>64</v>
      </c>
      <c r="C1213" t="s">
        <v>23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15</v>
      </c>
      <c r="K1213" s="3">
        <f>I1213-J1213</f>
        <v>-1</v>
      </c>
      <c r="L1213" s="3" t="str">
        <f t="shared" si="133"/>
        <v>ATENÇÃO</v>
      </c>
      <c r="M1213">
        <v>15</v>
      </c>
      <c r="N1213">
        <v>100</v>
      </c>
      <c r="O1213">
        <v>31.872509960159359</v>
      </c>
    </row>
    <row r="1214" spans="1:15" customFormat="1" hidden="1" x14ac:dyDescent="0.25">
      <c r="A1214" s="11">
        <v>46037</v>
      </c>
      <c r="B1214" t="s">
        <v>46</v>
      </c>
      <c r="C1214" t="s">
        <v>32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22</v>
      </c>
      <c r="K1214" s="3">
        <f>I1214-J1214</f>
        <v>13</v>
      </c>
      <c r="L1214" s="3" t="str">
        <f t="shared" si="133"/>
        <v>EXCELENTE</v>
      </c>
      <c r="M1214">
        <v>31</v>
      </c>
      <c r="N1214">
        <v>98.41</v>
      </c>
      <c r="O1214">
        <v>29.22465208747515</v>
      </c>
    </row>
    <row r="1215" spans="1:15" customFormat="1" hidden="1" x14ac:dyDescent="0.25">
      <c r="A1215" s="11">
        <v>46038</v>
      </c>
      <c r="B1215" t="s">
        <v>47</v>
      </c>
      <c r="C1215" t="s">
        <v>48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17</v>
      </c>
      <c r="K1215" s="3">
        <f>I1215-J1215</f>
        <v>9</v>
      </c>
      <c r="L1215" s="3" t="str">
        <f t="shared" si="133"/>
        <v>EXCELENTE</v>
      </c>
      <c r="M1215">
        <v>22</v>
      </c>
      <c r="N1215">
        <v>96.81</v>
      </c>
      <c r="O1215">
        <v>27.980535279805348</v>
      </c>
    </row>
    <row r="1216" spans="1:15" customFormat="1" hidden="1" x14ac:dyDescent="0.25">
      <c r="A1216" s="11">
        <v>46038</v>
      </c>
      <c r="B1216" t="s">
        <v>31</v>
      </c>
      <c r="C1216" t="s">
        <v>32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 t="shared" si="133"/>
        <v>BOM</v>
      </c>
      <c r="M1216">
        <v>17</v>
      </c>
      <c r="N1216">
        <v>98.73</v>
      </c>
      <c r="O1216">
        <v>35.756385068762278</v>
      </c>
    </row>
    <row r="1217" spans="1:15" customFormat="1" hidden="1" x14ac:dyDescent="0.25">
      <c r="A1217" s="11">
        <v>46038</v>
      </c>
      <c r="B1217" t="s">
        <v>59</v>
      </c>
      <c r="C1217" t="s">
        <v>23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14</v>
      </c>
      <c r="K1217" s="3">
        <f>I1217-J1217</f>
        <v>11</v>
      </c>
      <c r="L1217" s="3" t="str">
        <f t="shared" si="133"/>
        <v>EXCELENTE</v>
      </c>
      <c r="M1217">
        <v>22</v>
      </c>
      <c r="N1217">
        <v>98.32</v>
      </c>
      <c r="O1217">
        <v>26.763485477178421</v>
      </c>
    </row>
    <row r="1218" spans="1:15" customFormat="1" hidden="1" x14ac:dyDescent="0.25">
      <c r="A1218" s="11">
        <v>46038</v>
      </c>
      <c r="B1218" t="s">
        <v>33</v>
      </c>
      <c r="C1218" t="s">
        <v>32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22</v>
      </c>
      <c r="K1218" s="3">
        <f>I1218-J1218</f>
        <v>10</v>
      </c>
      <c r="L1218" s="3" t="str">
        <f t="shared" si="133"/>
        <v>EXCELENTE</v>
      </c>
      <c r="M1218">
        <v>28</v>
      </c>
      <c r="N1218">
        <v>99.19</v>
      </c>
      <c r="O1218">
        <v>27.637130801687761</v>
      </c>
    </row>
    <row r="1219" spans="1:15" customFormat="1" hidden="1" x14ac:dyDescent="0.25">
      <c r="A1219" s="11">
        <v>46038</v>
      </c>
      <c r="B1219" t="s">
        <v>15</v>
      </c>
      <c r="C1219" t="s">
        <v>16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 t="shared" si="133"/>
        <v>ATENÇÃO</v>
      </c>
      <c r="M1219">
        <v>1</v>
      </c>
      <c r="N1219">
        <v>100</v>
      </c>
      <c r="O1219">
        <v>39.568345323741013</v>
      </c>
    </row>
    <row r="1220" spans="1:15" customFormat="1" hidden="1" x14ac:dyDescent="0.25">
      <c r="A1220" s="11">
        <v>46038</v>
      </c>
      <c r="B1220" t="s">
        <v>49</v>
      </c>
      <c r="C1220" t="s">
        <v>48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10</v>
      </c>
      <c r="L1220" s="3" t="str">
        <f t="shared" si="133"/>
        <v>EXCELENTE</v>
      </c>
      <c r="M1220">
        <v>24</v>
      </c>
      <c r="N1220">
        <v>98.54</v>
      </c>
      <c r="O1220">
        <v>28.544776119402989</v>
      </c>
    </row>
    <row r="1221" spans="1:15" customFormat="1" hidden="1" x14ac:dyDescent="0.25">
      <c r="A1221" s="11">
        <v>46038</v>
      </c>
      <c r="B1221" t="s">
        <v>50</v>
      </c>
      <c r="C1221" t="s">
        <v>48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17</v>
      </c>
      <c r="K1221" s="3">
        <f>I1221-J1221</f>
        <v>-4</v>
      </c>
      <c r="L1221" s="3" t="str">
        <f t="shared" si="133"/>
        <v>ATENÇÃO</v>
      </c>
      <c r="M1221">
        <v>13</v>
      </c>
      <c r="N1221">
        <v>100</v>
      </c>
      <c r="O1221">
        <v>34.366925064599492</v>
      </c>
    </row>
    <row r="1222" spans="1:15" customFormat="1" hidden="1" x14ac:dyDescent="0.25">
      <c r="A1222" s="11">
        <v>46038</v>
      </c>
      <c r="B1222" t="s">
        <v>17</v>
      </c>
      <c r="C1222" t="s">
        <v>16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 t="shared" si="133"/>
        <v>BOM</v>
      </c>
      <c r="M1222">
        <v>0</v>
      </c>
      <c r="N1222">
        <v>0</v>
      </c>
      <c r="O1222">
        <v>0</v>
      </c>
    </row>
    <row r="1223" spans="1:15" customFormat="1" hidden="1" x14ac:dyDescent="0.25">
      <c r="A1223" s="11">
        <v>46038</v>
      </c>
      <c r="B1223" t="s">
        <v>60</v>
      </c>
      <c r="C1223" t="s">
        <v>23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-3</v>
      </c>
      <c r="L1223" s="3" t="str">
        <f t="shared" ref="L1223:L1286" si="134">IF(K1223&lt;-5,"CRÍTICO",IF(K1223&lt;0,"ATENÇÃO",IF(K1223&lt;=5,"BOM","EXCELENTE")))</f>
        <v>ATENÇÃO</v>
      </c>
      <c r="M1223">
        <v>13</v>
      </c>
      <c r="N1223">
        <v>100</v>
      </c>
      <c r="O1223">
        <v>29.518072289156631</v>
      </c>
    </row>
    <row r="1224" spans="1:15" customFormat="1" hidden="1" x14ac:dyDescent="0.25">
      <c r="A1224" s="11">
        <v>46038</v>
      </c>
      <c r="B1224" t="s">
        <v>34</v>
      </c>
      <c r="C1224" t="s">
        <v>32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22</v>
      </c>
      <c r="K1224" s="3">
        <f>I1224-J1224</f>
        <v>4</v>
      </c>
      <c r="L1224" s="3" t="str">
        <f t="shared" si="134"/>
        <v>BOM</v>
      </c>
      <c r="M1224">
        <v>25</v>
      </c>
      <c r="N1224">
        <v>97.45</v>
      </c>
      <c r="O1224">
        <v>41.421143847487002</v>
      </c>
    </row>
    <row r="1225" spans="1:15" customFormat="1" hidden="1" x14ac:dyDescent="0.25">
      <c r="A1225" s="11">
        <v>46038</v>
      </c>
      <c r="B1225" t="s">
        <v>51</v>
      </c>
      <c r="C1225" t="s">
        <v>48</v>
      </c>
      <c r="D1225">
        <v>36</v>
      </c>
      <c r="E1225">
        <v>22</v>
      </c>
      <c r="F1225">
        <v>9.0399999999999991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 t="shared" si="134"/>
        <v>BOM</v>
      </c>
      <c r="M1225">
        <v>23</v>
      </c>
      <c r="N1225">
        <v>96.58</v>
      </c>
      <c r="O1225">
        <v>30.396475770925111</v>
      </c>
    </row>
    <row r="1226" spans="1:15" customFormat="1" hidden="1" x14ac:dyDescent="0.25">
      <c r="A1226" s="11">
        <v>46038</v>
      </c>
      <c r="B1226" t="s">
        <v>61</v>
      </c>
      <c r="C1226" t="s">
        <v>23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14</v>
      </c>
      <c r="K1226" s="3">
        <f>I1226-J1226</f>
        <v>-5</v>
      </c>
      <c r="L1226" s="3" t="str">
        <f t="shared" si="134"/>
        <v>ATENÇÃO</v>
      </c>
      <c r="M1226">
        <v>14</v>
      </c>
      <c r="N1226">
        <v>100</v>
      </c>
      <c r="O1226">
        <v>27.44282744282744</v>
      </c>
    </row>
    <row r="1227" spans="1:15" customFormat="1" hidden="1" x14ac:dyDescent="0.25">
      <c r="A1227" s="11">
        <v>46038</v>
      </c>
      <c r="B1227" t="s">
        <v>35</v>
      </c>
      <c r="C1227" t="s">
        <v>32</v>
      </c>
      <c r="D1227">
        <v>20</v>
      </c>
      <c r="E1227">
        <v>19</v>
      </c>
      <c r="F1227">
        <v>26.42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34"/>
        <v>BOM</v>
      </c>
      <c r="M1227">
        <v>19</v>
      </c>
      <c r="N1227">
        <v>99.49</v>
      </c>
      <c r="O1227">
        <v>40.200000000000003</v>
      </c>
    </row>
    <row r="1228" spans="1:15" customFormat="1" hidden="1" x14ac:dyDescent="0.25">
      <c r="A1228" s="11">
        <v>46038</v>
      </c>
      <c r="B1228" t="s">
        <v>18</v>
      </c>
      <c r="C1228" t="s">
        <v>16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 t="shared" si="134"/>
        <v>BOM</v>
      </c>
      <c r="M1228">
        <v>0</v>
      </c>
      <c r="N1228">
        <v>100</v>
      </c>
      <c r="O1228">
        <v>25</v>
      </c>
    </row>
    <row r="1229" spans="1:15" customFormat="1" hidden="1" x14ac:dyDescent="0.25">
      <c r="A1229" s="11">
        <v>46038</v>
      </c>
      <c r="B1229" t="s">
        <v>52</v>
      </c>
      <c r="C1229" t="s">
        <v>48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 t="shared" ref="I1229:I1236" si="135">E1229+G1229+H1229</f>
        <v>25</v>
      </c>
      <c r="J1229" s="3">
        <f t="shared" ref="J1229:J1236" si="136"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17</v>
      </c>
      <c r="K1229" s="3">
        <f t="shared" ref="K1229:K1236" si="137">I1229-J1229</f>
        <v>8</v>
      </c>
      <c r="L1229" s="3" t="str">
        <f t="shared" si="134"/>
        <v>EXCELENTE</v>
      </c>
      <c r="M1229">
        <v>25</v>
      </c>
      <c r="N1229">
        <v>100</v>
      </c>
      <c r="O1229">
        <v>34.15094339622641</v>
      </c>
    </row>
    <row r="1230" spans="1:15" customFormat="1" hidden="1" x14ac:dyDescent="0.25">
      <c r="A1230" s="11">
        <v>46038</v>
      </c>
      <c r="B1230" t="s">
        <v>36</v>
      </c>
      <c r="C1230" t="s">
        <v>32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 t="shared" si="135"/>
        <v>18</v>
      </c>
      <c r="J1230" s="3">
        <f t="shared" si="136"/>
        <v>22</v>
      </c>
      <c r="K1230" s="3">
        <f t="shared" si="137"/>
        <v>-4</v>
      </c>
      <c r="L1230" s="3" t="str">
        <f t="shared" si="134"/>
        <v>ATENÇÃO</v>
      </c>
      <c r="M1230">
        <v>17</v>
      </c>
      <c r="N1230">
        <v>100</v>
      </c>
      <c r="O1230">
        <v>32.731376975169297</v>
      </c>
    </row>
    <row r="1231" spans="1:15" customFormat="1" hidden="1" x14ac:dyDescent="0.25">
      <c r="A1231" s="11">
        <v>46038</v>
      </c>
      <c r="B1231" t="s">
        <v>53</v>
      </c>
      <c r="C1231" t="s">
        <v>48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 t="shared" si="135"/>
        <v>26</v>
      </c>
      <c r="J1231" s="3">
        <f t="shared" si="136"/>
        <v>17</v>
      </c>
      <c r="K1231" s="3">
        <f t="shared" si="137"/>
        <v>9</v>
      </c>
      <c r="L1231" s="3" t="str">
        <f t="shared" si="134"/>
        <v>EXCELENTE</v>
      </c>
      <c r="M1231">
        <v>23</v>
      </c>
      <c r="N1231">
        <v>99.31</v>
      </c>
      <c r="O1231">
        <v>30.96234309623431</v>
      </c>
    </row>
    <row r="1232" spans="1:15" customFormat="1" hidden="1" x14ac:dyDescent="0.25">
      <c r="A1232" s="11">
        <v>46072</v>
      </c>
      <c r="B1232" t="s">
        <v>22</v>
      </c>
      <c r="C1232" t="s">
        <v>23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 t="shared" si="135"/>
        <v>20</v>
      </c>
      <c r="J1232" s="3">
        <f t="shared" si="136"/>
        <v>15</v>
      </c>
      <c r="K1232" s="3">
        <f t="shared" si="137"/>
        <v>5</v>
      </c>
      <c r="L1232" s="3" t="str">
        <f t="shared" si="134"/>
        <v>BOM</v>
      </c>
      <c r="M1232">
        <v>19</v>
      </c>
      <c r="N1232">
        <v>96.67</v>
      </c>
      <c r="O1232">
        <v>31.451612903225811</v>
      </c>
    </row>
    <row r="1233" spans="1:15" customFormat="1" hidden="1" x14ac:dyDescent="0.25">
      <c r="A1233" s="11">
        <v>46038</v>
      </c>
      <c r="B1233" t="s">
        <v>54</v>
      </c>
      <c r="C1233" t="s">
        <v>48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 t="shared" si="135"/>
        <v>21</v>
      </c>
      <c r="J1233" s="3">
        <f t="shared" si="136"/>
        <v>17</v>
      </c>
      <c r="K1233" s="3">
        <f t="shared" si="137"/>
        <v>4</v>
      </c>
      <c r="L1233" s="3" t="str">
        <f t="shared" si="134"/>
        <v>BOM</v>
      </c>
      <c r="M1233">
        <v>19</v>
      </c>
      <c r="N1233">
        <v>100</v>
      </c>
      <c r="O1233">
        <v>27.676767676767678</v>
      </c>
    </row>
    <row r="1234" spans="1:15" customFormat="1" hidden="1" x14ac:dyDescent="0.25">
      <c r="A1234" s="11">
        <v>46038</v>
      </c>
      <c r="B1234" t="s">
        <v>37</v>
      </c>
      <c r="C1234" t="s">
        <v>32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 t="shared" si="135"/>
        <v>32</v>
      </c>
      <c r="J1234" s="3">
        <f t="shared" si="136"/>
        <v>22</v>
      </c>
      <c r="K1234" s="3">
        <f t="shared" si="137"/>
        <v>10</v>
      </c>
      <c r="L1234" s="3" t="str">
        <f t="shared" si="134"/>
        <v>EXCELENTE</v>
      </c>
      <c r="M1234">
        <v>32</v>
      </c>
      <c r="N1234">
        <v>100</v>
      </c>
      <c r="O1234">
        <v>31.17723156532988</v>
      </c>
    </row>
    <row r="1235" spans="1:15" customFormat="1" hidden="1" x14ac:dyDescent="0.25">
      <c r="A1235" s="11">
        <v>46038</v>
      </c>
      <c r="B1235" t="s">
        <v>38</v>
      </c>
      <c r="C1235" t="s">
        <v>32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 t="shared" si="135"/>
        <v>19</v>
      </c>
      <c r="J1235" s="3">
        <f t="shared" si="136"/>
        <v>22</v>
      </c>
      <c r="K1235" s="3">
        <f t="shared" si="137"/>
        <v>-3</v>
      </c>
      <c r="L1235" s="3" t="str">
        <f t="shared" si="134"/>
        <v>ATENÇÃO</v>
      </c>
      <c r="M1235">
        <v>17</v>
      </c>
      <c r="N1235">
        <v>100</v>
      </c>
      <c r="O1235">
        <v>27.609427609427609</v>
      </c>
    </row>
    <row r="1236" spans="1:15" customFormat="1" hidden="1" x14ac:dyDescent="0.25">
      <c r="A1236" s="11">
        <v>46038</v>
      </c>
      <c r="B1236" t="s">
        <v>55</v>
      </c>
      <c r="C1236" t="s">
        <v>48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 t="shared" si="135"/>
        <v>20</v>
      </c>
      <c r="J1236" s="3">
        <f t="shared" si="136"/>
        <v>17</v>
      </c>
      <c r="K1236" s="3">
        <f t="shared" si="137"/>
        <v>3</v>
      </c>
      <c r="L1236" s="3" t="str">
        <f t="shared" si="134"/>
        <v>BOM</v>
      </c>
      <c r="M1236">
        <v>19</v>
      </c>
      <c r="N1236">
        <v>96.4</v>
      </c>
      <c r="O1236">
        <v>28.764044943820231</v>
      </c>
    </row>
    <row r="1237" spans="1:15" customFormat="1" hidden="1" x14ac:dyDescent="0.25">
      <c r="A1237" s="11">
        <v>46038</v>
      </c>
      <c r="B1237" t="s">
        <v>39</v>
      </c>
      <c r="C1237" t="s">
        <v>32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 t="shared" si="134"/>
        <v>BOM</v>
      </c>
      <c r="M1237">
        <v>19</v>
      </c>
      <c r="N1237">
        <v>100</v>
      </c>
      <c r="O1237">
        <v>33.980582524271853</v>
      </c>
    </row>
    <row r="1238" spans="1:15" customFormat="1" hidden="1" x14ac:dyDescent="0.25">
      <c r="A1238" s="11">
        <v>46038</v>
      </c>
      <c r="B1238" t="s">
        <v>25</v>
      </c>
      <c r="C1238" t="s">
        <v>26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12</v>
      </c>
      <c r="K1238" s="3">
        <f>I1238-J1238</f>
        <v>3</v>
      </c>
      <c r="L1238" s="3" t="str">
        <f t="shared" si="134"/>
        <v>BOM</v>
      </c>
      <c r="M1238">
        <v>15</v>
      </c>
      <c r="N1238">
        <v>97.56</v>
      </c>
      <c r="O1238">
        <v>32.515337423312893</v>
      </c>
    </row>
    <row r="1239" spans="1:15" customFormat="1" hidden="1" x14ac:dyDescent="0.25">
      <c r="A1239" s="11">
        <v>46038</v>
      </c>
      <c r="B1239" t="s">
        <v>40</v>
      </c>
      <c r="C1239" t="s">
        <v>32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22</v>
      </c>
      <c r="K1239" s="3">
        <f>I1239-J1239</f>
        <v>0</v>
      </c>
      <c r="L1239" s="3" t="str">
        <f t="shared" si="134"/>
        <v>BOM</v>
      </c>
      <c r="M1239">
        <v>21</v>
      </c>
      <c r="N1239">
        <v>97.11</v>
      </c>
      <c r="O1239">
        <v>37.408312958435211</v>
      </c>
    </row>
    <row r="1240" spans="1:15" customFormat="1" hidden="1" x14ac:dyDescent="0.25">
      <c r="A1240" s="11">
        <v>46038</v>
      </c>
      <c r="B1240" t="s">
        <v>27</v>
      </c>
      <c r="C1240" t="s">
        <v>26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 t="shared" si="134"/>
        <v>BOM</v>
      </c>
      <c r="M1240">
        <v>0</v>
      </c>
      <c r="N1240">
        <v>0</v>
      </c>
      <c r="O1240">
        <v>0</v>
      </c>
    </row>
    <row r="1241" spans="1:15" customFormat="1" hidden="1" x14ac:dyDescent="0.25">
      <c r="A1241" s="11">
        <v>46038</v>
      </c>
      <c r="B1241" t="s">
        <v>41</v>
      </c>
      <c r="C1241" t="s">
        <v>32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5</v>
      </c>
      <c r="L1241" s="3" t="str">
        <f t="shared" si="134"/>
        <v>BOM</v>
      </c>
      <c r="M1241">
        <v>23</v>
      </c>
      <c r="N1241">
        <v>100</v>
      </c>
      <c r="O1241">
        <v>30.470347648261761</v>
      </c>
    </row>
    <row r="1242" spans="1:15" customFormat="1" hidden="1" x14ac:dyDescent="0.25">
      <c r="A1242" s="11">
        <v>46038</v>
      </c>
      <c r="B1242" t="s">
        <v>56</v>
      </c>
      <c r="C1242" t="s">
        <v>48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17</v>
      </c>
      <c r="K1242" s="3">
        <f>I1242-J1242</f>
        <v>11</v>
      </c>
      <c r="L1242" s="3" t="str">
        <f t="shared" si="134"/>
        <v>EXCELENTE</v>
      </c>
      <c r="M1242">
        <v>23</v>
      </c>
      <c r="N1242">
        <v>100</v>
      </c>
      <c r="O1242">
        <v>32.371134020618562</v>
      </c>
    </row>
    <row r="1243" spans="1:15" customFormat="1" hidden="1" x14ac:dyDescent="0.25">
      <c r="A1243" s="11">
        <v>46038</v>
      </c>
      <c r="B1243" t="s">
        <v>57</v>
      </c>
      <c r="C1243" t="s">
        <v>48</v>
      </c>
      <c r="D1243">
        <v>22</v>
      </c>
      <c r="E1243">
        <v>21</v>
      </c>
      <c r="F1243">
        <v>18.579999999999998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 t="shared" si="134"/>
        <v>BOM</v>
      </c>
      <c r="M1243">
        <v>20</v>
      </c>
      <c r="N1243">
        <v>98.32</v>
      </c>
      <c r="O1243">
        <v>32.318501170960189</v>
      </c>
    </row>
    <row r="1244" spans="1:15" customFormat="1" hidden="1" x14ac:dyDescent="0.25">
      <c r="A1244" s="11">
        <v>46038</v>
      </c>
      <c r="B1244" t="s">
        <v>42</v>
      </c>
      <c r="C1244" t="s">
        <v>32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22</v>
      </c>
      <c r="K1244" s="3">
        <f>I1244-J1244</f>
        <v>7</v>
      </c>
      <c r="L1244" s="3" t="str">
        <f t="shared" si="134"/>
        <v>EXCELENTE</v>
      </c>
      <c r="M1244">
        <v>26</v>
      </c>
      <c r="N1244">
        <v>96.43</v>
      </c>
      <c r="O1244">
        <v>27.015250544662312</v>
      </c>
    </row>
    <row r="1245" spans="1:15" customFormat="1" hidden="1" x14ac:dyDescent="0.25">
      <c r="A1245" s="11">
        <v>46038</v>
      </c>
      <c r="B1245" t="s">
        <v>62</v>
      </c>
      <c r="C1245" t="s">
        <v>23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14</v>
      </c>
      <c r="K1245" s="3">
        <f>I1245-J1245</f>
        <v>5</v>
      </c>
      <c r="L1245" s="3" t="str">
        <f t="shared" si="134"/>
        <v>BOM</v>
      </c>
      <c r="M1245">
        <v>20</v>
      </c>
      <c r="N1245">
        <v>98.89</v>
      </c>
      <c r="O1245">
        <v>28.021978021978018</v>
      </c>
    </row>
    <row r="1246" spans="1:15" customFormat="1" hidden="1" x14ac:dyDescent="0.25">
      <c r="A1246" s="11">
        <v>46038</v>
      </c>
      <c r="B1246" t="s">
        <v>19</v>
      </c>
      <c r="C1246" t="s">
        <v>16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 t="shared" si="134"/>
        <v>ATENÇÃO</v>
      </c>
      <c r="M1246">
        <v>2</v>
      </c>
      <c r="N1246">
        <v>100</v>
      </c>
      <c r="O1246">
        <v>33.333333333333329</v>
      </c>
    </row>
    <row r="1247" spans="1:15" customFormat="1" hidden="1" x14ac:dyDescent="0.25">
      <c r="A1247" s="11">
        <v>46038</v>
      </c>
      <c r="B1247" t="s">
        <v>43</v>
      </c>
      <c r="C1247" t="s">
        <v>32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 t="shared" si="134"/>
        <v>BOM</v>
      </c>
      <c r="M1247">
        <v>0</v>
      </c>
      <c r="N1247">
        <v>100</v>
      </c>
      <c r="O1247">
        <v>27.43362831858407</v>
      </c>
    </row>
    <row r="1248" spans="1:15" customFormat="1" hidden="1" x14ac:dyDescent="0.25">
      <c r="A1248" s="11">
        <v>46038</v>
      </c>
      <c r="B1248" t="s">
        <v>44</v>
      </c>
      <c r="C1248" t="s">
        <v>32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22</v>
      </c>
      <c r="K1248" s="3">
        <f>I1248-J1248</f>
        <v>3</v>
      </c>
      <c r="L1248" s="3" t="str">
        <f t="shared" si="134"/>
        <v>BOM</v>
      </c>
      <c r="M1248">
        <v>24</v>
      </c>
      <c r="N1248">
        <v>98.65</v>
      </c>
      <c r="O1248">
        <v>30.978260869565219</v>
      </c>
    </row>
    <row r="1249" spans="1:15" customFormat="1" hidden="1" x14ac:dyDescent="0.25">
      <c r="A1249" s="11">
        <v>46038</v>
      </c>
      <c r="B1249" t="s">
        <v>20</v>
      </c>
      <c r="C1249" t="s">
        <v>16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 t="shared" si="134"/>
        <v>ATENÇÃO</v>
      </c>
      <c r="M1249">
        <v>1</v>
      </c>
      <c r="N1249">
        <v>100</v>
      </c>
      <c r="O1249">
        <v>12</v>
      </c>
    </row>
    <row r="1250" spans="1:15" customFormat="1" hidden="1" x14ac:dyDescent="0.25">
      <c r="A1250" s="11">
        <v>46038</v>
      </c>
      <c r="B1250" t="s">
        <v>28</v>
      </c>
      <c r="C1250" t="s">
        <v>26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34"/>
        <v>BOM</v>
      </c>
      <c r="M1250">
        <v>0</v>
      </c>
      <c r="N1250">
        <v>0</v>
      </c>
      <c r="O1250">
        <v>0</v>
      </c>
    </row>
    <row r="1251" spans="1:15" customFormat="1" hidden="1" x14ac:dyDescent="0.25">
      <c r="A1251" s="11">
        <v>46038</v>
      </c>
      <c r="B1251" t="s">
        <v>58</v>
      </c>
      <c r="C1251" t="s">
        <v>48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34"/>
        <v>BOM</v>
      </c>
      <c r="M1251">
        <v>0</v>
      </c>
      <c r="N1251">
        <v>97.56</v>
      </c>
      <c r="O1251">
        <v>31.067961165048541</v>
      </c>
    </row>
    <row r="1252" spans="1:15" customFormat="1" hidden="1" x14ac:dyDescent="0.25">
      <c r="A1252" s="11">
        <v>46038</v>
      </c>
      <c r="B1252" t="s">
        <v>29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34"/>
        <v>BOM</v>
      </c>
      <c r="M1252">
        <v>0</v>
      </c>
      <c r="N1252">
        <v>0</v>
      </c>
      <c r="O1252">
        <v>0</v>
      </c>
    </row>
    <row r="1253" spans="1:15" customFormat="1" hidden="1" x14ac:dyDescent="0.25">
      <c r="A1253" s="11">
        <v>46038</v>
      </c>
      <c r="B1253" t="s">
        <v>30</v>
      </c>
      <c r="C1253" t="s">
        <v>26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34"/>
        <v>BOM</v>
      </c>
      <c r="M1253">
        <v>0</v>
      </c>
      <c r="N1253">
        <v>0</v>
      </c>
      <c r="O1253">
        <v>0</v>
      </c>
    </row>
    <row r="1254" spans="1:15" customFormat="1" hidden="1" x14ac:dyDescent="0.25">
      <c r="A1254" s="11">
        <v>46038</v>
      </c>
      <c r="B1254" t="s">
        <v>21</v>
      </c>
      <c r="C1254" t="s">
        <v>16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34"/>
        <v>BOM</v>
      </c>
      <c r="M1254">
        <v>0</v>
      </c>
      <c r="N1254">
        <v>0</v>
      </c>
      <c r="O1254">
        <v>0</v>
      </c>
    </row>
    <row r="1255" spans="1:15" customFormat="1" hidden="1" x14ac:dyDescent="0.25">
      <c r="A1255" s="11">
        <v>46038</v>
      </c>
      <c r="B1255" t="s">
        <v>63</v>
      </c>
      <c r="C1255" t="s">
        <v>23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 t="shared" si="134"/>
        <v>BOM</v>
      </c>
      <c r="M1255">
        <v>0</v>
      </c>
      <c r="N1255">
        <v>100</v>
      </c>
      <c r="O1255">
        <v>53.846153846153847</v>
      </c>
    </row>
    <row r="1256" spans="1:15" customFormat="1" hidden="1" x14ac:dyDescent="0.25">
      <c r="A1256" s="11">
        <v>46038</v>
      </c>
      <c r="B1256" t="s">
        <v>45</v>
      </c>
      <c r="C1256" t="s">
        <v>32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22</v>
      </c>
      <c r="K1256" s="3">
        <f>I1256-J1256</f>
        <v>5</v>
      </c>
      <c r="L1256" s="3" t="str">
        <f t="shared" si="134"/>
        <v>BOM</v>
      </c>
      <c r="M1256">
        <v>27</v>
      </c>
      <c r="N1256">
        <v>100</v>
      </c>
      <c r="O1256">
        <v>44.05594405594406</v>
      </c>
    </row>
    <row r="1257" spans="1:15" customFormat="1" hidden="1" x14ac:dyDescent="0.25">
      <c r="A1257" s="11">
        <v>46038</v>
      </c>
      <c r="B1257" t="s">
        <v>64</v>
      </c>
      <c r="C1257" t="s">
        <v>23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14</v>
      </c>
      <c r="K1257" s="3">
        <f>I1257-J1257</f>
        <v>1</v>
      </c>
      <c r="L1257" s="3" t="str">
        <f t="shared" si="134"/>
        <v>BOM</v>
      </c>
      <c r="M1257">
        <v>11</v>
      </c>
      <c r="N1257">
        <v>100</v>
      </c>
      <c r="O1257">
        <v>31.872509960159359</v>
      </c>
    </row>
    <row r="1258" spans="1:15" customFormat="1" hidden="1" x14ac:dyDescent="0.25">
      <c r="A1258" s="11">
        <v>46038</v>
      </c>
      <c r="B1258" t="s">
        <v>46</v>
      </c>
      <c r="C1258" t="s">
        <v>32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22</v>
      </c>
      <c r="K1258" s="3">
        <f>I1258-J1258</f>
        <v>0</v>
      </c>
      <c r="L1258" s="3" t="str">
        <f t="shared" si="134"/>
        <v>BOM</v>
      </c>
      <c r="M1258">
        <v>21</v>
      </c>
      <c r="N1258">
        <v>98.41</v>
      </c>
      <c r="O1258">
        <v>29.22465208747515</v>
      </c>
    </row>
    <row r="1259" spans="1:15" customFormat="1" hidden="1" x14ac:dyDescent="0.25">
      <c r="A1259" s="11">
        <v>46041</v>
      </c>
      <c r="B1259" t="s">
        <v>47</v>
      </c>
      <c r="C1259" t="s">
        <v>48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17</v>
      </c>
      <c r="K1259" s="3">
        <f>I1259-J1259</f>
        <v>6</v>
      </c>
      <c r="L1259" s="3" t="str">
        <f t="shared" si="134"/>
        <v>EXCELENTE</v>
      </c>
      <c r="M1259">
        <v>17</v>
      </c>
      <c r="N1259">
        <v>96.81</v>
      </c>
      <c r="O1259">
        <v>27.980535279805348</v>
      </c>
    </row>
    <row r="1260" spans="1:15" customFormat="1" hidden="1" x14ac:dyDescent="0.25">
      <c r="A1260" s="11">
        <v>46041</v>
      </c>
      <c r="B1260" t="s">
        <v>31</v>
      </c>
      <c r="C1260" t="s">
        <v>32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 t="shared" si="134"/>
        <v>BOM</v>
      </c>
      <c r="M1260">
        <v>22</v>
      </c>
      <c r="N1260">
        <v>98.73</v>
      </c>
      <c r="O1260">
        <v>35.756385068762278</v>
      </c>
    </row>
    <row r="1261" spans="1:15" customFormat="1" hidden="1" x14ac:dyDescent="0.25">
      <c r="A1261" s="11">
        <v>46041</v>
      </c>
      <c r="B1261" t="s">
        <v>59</v>
      </c>
      <c r="C1261" t="s">
        <v>23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14</v>
      </c>
      <c r="K1261" s="3">
        <f>I1261-J1261</f>
        <v>1</v>
      </c>
      <c r="L1261" s="3" t="str">
        <f t="shared" si="134"/>
        <v>BOM</v>
      </c>
      <c r="M1261">
        <v>15</v>
      </c>
      <c r="N1261">
        <v>98.32</v>
      </c>
      <c r="O1261">
        <v>26.763485477178421</v>
      </c>
    </row>
    <row r="1262" spans="1:15" customFormat="1" hidden="1" x14ac:dyDescent="0.25">
      <c r="A1262" s="11">
        <v>46041</v>
      </c>
      <c r="B1262" t="s">
        <v>33</v>
      </c>
      <c r="C1262" t="s">
        <v>32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21</v>
      </c>
      <c r="K1262" s="3">
        <f>I1262-J1262</f>
        <v>10</v>
      </c>
      <c r="L1262" s="3" t="str">
        <f t="shared" si="134"/>
        <v>EXCELENTE</v>
      </c>
      <c r="M1262">
        <v>29</v>
      </c>
      <c r="N1262">
        <v>99.19</v>
      </c>
      <c r="O1262">
        <v>27.637130801687761</v>
      </c>
    </row>
    <row r="1263" spans="1:15" customFormat="1" hidden="1" x14ac:dyDescent="0.25">
      <c r="A1263" s="11">
        <v>46041</v>
      </c>
      <c r="B1263" t="s">
        <v>15</v>
      </c>
      <c r="C1263" t="s">
        <v>16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6</v>
      </c>
      <c r="K1263" s="3">
        <f>I1263-J1263</f>
        <v>1</v>
      </c>
      <c r="L1263" s="3" t="str">
        <f t="shared" si="134"/>
        <v>BOM</v>
      </c>
      <c r="M1263">
        <v>5</v>
      </c>
      <c r="N1263">
        <v>100</v>
      </c>
      <c r="O1263">
        <v>39.568345323741013</v>
      </c>
    </row>
    <row r="1264" spans="1:15" customFormat="1" hidden="1" x14ac:dyDescent="0.25">
      <c r="A1264" s="11">
        <v>46041</v>
      </c>
      <c r="B1264" t="s">
        <v>49</v>
      </c>
      <c r="C1264" t="s">
        <v>48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7</v>
      </c>
      <c r="L1264" s="3" t="str">
        <f t="shared" si="134"/>
        <v>EXCELENTE</v>
      </c>
      <c r="M1264">
        <v>22</v>
      </c>
      <c r="N1264">
        <v>98.54</v>
      </c>
      <c r="O1264">
        <v>28.544776119402989</v>
      </c>
    </row>
    <row r="1265" spans="1:15" customFormat="1" hidden="1" x14ac:dyDescent="0.25">
      <c r="A1265" s="11">
        <v>46041</v>
      </c>
      <c r="B1265" t="s">
        <v>50</v>
      </c>
      <c r="C1265" t="s">
        <v>48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17</v>
      </c>
      <c r="K1265" s="3">
        <f>I1265-J1265</f>
        <v>2</v>
      </c>
      <c r="L1265" s="3" t="str">
        <f t="shared" si="134"/>
        <v>BOM</v>
      </c>
      <c r="M1265">
        <v>19</v>
      </c>
      <c r="N1265">
        <v>100</v>
      </c>
      <c r="O1265">
        <v>34.366925064599492</v>
      </c>
    </row>
    <row r="1266" spans="1:15" customFormat="1" hidden="1" x14ac:dyDescent="0.25">
      <c r="A1266" s="11">
        <v>46041</v>
      </c>
      <c r="B1266" t="s">
        <v>17</v>
      </c>
      <c r="C1266" t="s">
        <v>16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 t="shared" si="134"/>
        <v>BOM</v>
      </c>
      <c r="M1266">
        <v>0</v>
      </c>
      <c r="N1266">
        <v>0</v>
      </c>
      <c r="O1266">
        <v>0</v>
      </c>
    </row>
    <row r="1267" spans="1:15" customFormat="1" hidden="1" x14ac:dyDescent="0.25">
      <c r="A1267" s="11">
        <v>46041</v>
      </c>
      <c r="B1267" t="s">
        <v>60</v>
      </c>
      <c r="C1267" t="s">
        <v>23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-2</v>
      </c>
      <c r="L1267" s="3" t="str">
        <f t="shared" si="134"/>
        <v>ATENÇÃO</v>
      </c>
      <c r="M1267">
        <v>12</v>
      </c>
      <c r="N1267">
        <v>100</v>
      </c>
      <c r="O1267">
        <v>29.518072289156631</v>
      </c>
    </row>
    <row r="1268" spans="1:15" customFormat="1" hidden="1" x14ac:dyDescent="0.25">
      <c r="A1268" s="11">
        <v>46041</v>
      </c>
      <c r="B1268" t="s">
        <v>34</v>
      </c>
      <c r="C1268" t="s">
        <v>32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21</v>
      </c>
      <c r="K1268" s="3">
        <f>I1268-J1268</f>
        <v>-10</v>
      </c>
      <c r="L1268" s="3" t="str">
        <f t="shared" si="134"/>
        <v>CRÍTICO</v>
      </c>
      <c r="M1268">
        <v>9</v>
      </c>
      <c r="N1268">
        <v>97.45</v>
      </c>
      <c r="O1268">
        <v>41.421143847487002</v>
      </c>
    </row>
    <row r="1269" spans="1:15" customFormat="1" hidden="1" x14ac:dyDescent="0.25">
      <c r="A1269" s="11">
        <v>46041</v>
      </c>
      <c r="B1269" t="s">
        <v>51</v>
      </c>
      <c r="C1269" t="s">
        <v>48</v>
      </c>
      <c r="D1269">
        <v>37</v>
      </c>
      <c r="E1269">
        <v>26</v>
      </c>
      <c r="F1269">
        <v>7.1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 t="shared" si="134"/>
        <v>BOM</v>
      </c>
      <c r="M1269">
        <v>23</v>
      </c>
      <c r="N1269">
        <v>96.58</v>
      </c>
      <c r="O1269">
        <v>30.396475770925111</v>
      </c>
    </row>
    <row r="1270" spans="1:15" customFormat="1" hidden="1" x14ac:dyDescent="0.25">
      <c r="A1270" s="11">
        <v>46041</v>
      </c>
      <c r="B1270" t="s">
        <v>61</v>
      </c>
      <c r="C1270" t="s">
        <v>23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14</v>
      </c>
      <c r="K1270" s="3">
        <f>I1270-J1270</f>
        <v>6</v>
      </c>
      <c r="L1270" s="3" t="str">
        <f t="shared" si="134"/>
        <v>EXCELENTE</v>
      </c>
      <c r="M1270">
        <v>23</v>
      </c>
      <c r="N1270">
        <v>100</v>
      </c>
      <c r="O1270">
        <v>27.44282744282744</v>
      </c>
    </row>
    <row r="1271" spans="1:15" customFormat="1" hidden="1" x14ac:dyDescent="0.25">
      <c r="A1271" s="11">
        <v>46041</v>
      </c>
      <c r="B1271" t="s">
        <v>35</v>
      </c>
      <c r="C1271" t="s">
        <v>32</v>
      </c>
      <c r="D1271">
        <v>26</v>
      </c>
      <c r="E1271">
        <v>25</v>
      </c>
      <c r="F1271">
        <v>18.260000000000002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34"/>
        <v>BOM</v>
      </c>
      <c r="M1271">
        <v>25</v>
      </c>
      <c r="N1271">
        <v>99.49</v>
      </c>
      <c r="O1271">
        <v>40.200000000000003</v>
      </c>
    </row>
    <row r="1272" spans="1:15" customFormat="1" hidden="1" x14ac:dyDescent="0.25">
      <c r="A1272" s="11">
        <v>46041</v>
      </c>
      <c r="B1272" t="s">
        <v>18</v>
      </c>
      <c r="C1272" t="s">
        <v>16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 t="shared" si="134"/>
        <v>BOM</v>
      </c>
      <c r="M1272">
        <v>0</v>
      </c>
      <c r="N1272">
        <v>100</v>
      </c>
      <c r="O1272">
        <v>25</v>
      </c>
    </row>
    <row r="1273" spans="1:15" customFormat="1" hidden="1" x14ac:dyDescent="0.25">
      <c r="A1273" s="11">
        <v>46041</v>
      </c>
      <c r="B1273" t="s">
        <v>52</v>
      </c>
      <c r="C1273" t="s">
        <v>48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 t="shared" ref="I1273:I1280" si="138">E1273+G1273+H1273</f>
        <v>26</v>
      </c>
      <c r="J1273" s="3">
        <f t="shared" ref="J1273:J1280" si="139"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17</v>
      </c>
      <c r="K1273" s="3">
        <f t="shared" ref="K1273:K1280" si="140">I1273-J1273</f>
        <v>9</v>
      </c>
      <c r="L1273" s="3" t="str">
        <f t="shared" si="134"/>
        <v>EXCELENTE</v>
      </c>
      <c r="M1273">
        <v>22</v>
      </c>
      <c r="N1273">
        <v>100</v>
      </c>
      <c r="O1273">
        <v>34.15094339622641</v>
      </c>
    </row>
    <row r="1274" spans="1:15" customFormat="1" hidden="1" x14ac:dyDescent="0.25">
      <c r="A1274" s="11">
        <v>46041</v>
      </c>
      <c r="B1274" t="s">
        <v>36</v>
      </c>
      <c r="C1274" t="s">
        <v>32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 t="shared" si="138"/>
        <v>18</v>
      </c>
      <c r="J1274" s="3">
        <f t="shared" si="139"/>
        <v>21</v>
      </c>
      <c r="K1274" s="3">
        <f t="shared" si="140"/>
        <v>-3</v>
      </c>
      <c r="L1274" s="3" t="str">
        <f t="shared" si="134"/>
        <v>ATENÇÃO</v>
      </c>
      <c r="M1274">
        <v>18</v>
      </c>
      <c r="N1274">
        <v>100</v>
      </c>
      <c r="O1274">
        <v>32.731376975169297</v>
      </c>
    </row>
    <row r="1275" spans="1:15" customFormat="1" hidden="1" x14ac:dyDescent="0.25">
      <c r="A1275" s="11">
        <v>46041</v>
      </c>
      <c r="B1275" t="s">
        <v>53</v>
      </c>
      <c r="C1275" t="s">
        <v>48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 t="shared" si="138"/>
        <v>18</v>
      </c>
      <c r="J1275" s="3">
        <f t="shared" si="139"/>
        <v>17</v>
      </c>
      <c r="K1275" s="3">
        <f t="shared" si="140"/>
        <v>1</v>
      </c>
      <c r="L1275" s="3" t="str">
        <f t="shared" si="134"/>
        <v>BOM</v>
      </c>
      <c r="M1275">
        <v>15</v>
      </c>
      <c r="N1275">
        <v>99.31</v>
      </c>
      <c r="O1275">
        <v>30.96234309623431</v>
      </c>
    </row>
    <row r="1276" spans="1:15" customFormat="1" hidden="1" x14ac:dyDescent="0.25">
      <c r="A1276" s="11">
        <v>46073</v>
      </c>
      <c r="B1276" t="s">
        <v>22</v>
      </c>
      <c r="C1276" t="s">
        <v>23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 t="shared" si="138"/>
        <v>16</v>
      </c>
      <c r="J1276" s="3">
        <f t="shared" si="139"/>
        <v>15</v>
      </c>
      <c r="K1276" s="3">
        <f t="shared" si="140"/>
        <v>1</v>
      </c>
      <c r="L1276" s="3" t="str">
        <f t="shared" si="134"/>
        <v>BOM</v>
      </c>
      <c r="M1276">
        <v>16</v>
      </c>
      <c r="N1276">
        <v>96.67</v>
      </c>
      <c r="O1276">
        <v>31.451612903225811</v>
      </c>
    </row>
    <row r="1277" spans="1:15" customFormat="1" hidden="1" x14ac:dyDescent="0.25">
      <c r="A1277" s="11">
        <v>46041</v>
      </c>
      <c r="B1277" t="s">
        <v>54</v>
      </c>
      <c r="C1277" t="s">
        <v>48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 t="shared" si="138"/>
        <v>20</v>
      </c>
      <c r="J1277" s="3">
        <f t="shared" si="139"/>
        <v>17</v>
      </c>
      <c r="K1277" s="3">
        <f t="shared" si="140"/>
        <v>3</v>
      </c>
      <c r="L1277" s="3" t="str">
        <f t="shared" si="134"/>
        <v>BOM</v>
      </c>
      <c r="M1277">
        <v>18</v>
      </c>
      <c r="N1277">
        <v>100</v>
      </c>
      <c r="O1277">
        <v>27.676767676767678</v>
      </c>
    </row>
    <row r="1278" spans="1:15" customFormat="1" hidden="1" x14ac:dyDescent="0.25">
      <c r="A1278" s="11">
        <v>46041</v>
      </c>
      <c r="B1278" t="s">
        <v>37</v>
      </c>
      <c r="C1278" t="s">
        <v>32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 t="shared" si="138"/>
        <v>26</v>
      </c>
      <c r="J1278" s="3">
        <f t="shared" si="139"/>
        <v>21</v>
      </c>
      <c r="K1278" s="3">
        <f t="shared" si="140"/>
        <v>5</v>
      </c>
      <c r="L1278" s="3" t="str">
        <f t="shared" si="134"/>
        <v>BOM</v>
      </c>
      <c r="M1278">
        <v>30</v>
      </c>
      <c r="N1278">
        <v>100</v>
      </c>
      <c r="O1278">
        <v>31.17723156532988</v>
      </c>
    </row>
    <row r="1279" spans="1:15" customFormat="1" hidden="1" x14ac:dyDescent="0.25">
      <c r="A1279" s="11">
        <v>46041</v>
      </c>
      <c r="B1279" t="s">
        <v>38</v>
      </c>
      <c r="C1279" t="s">
        <v>32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 t="shared" si="138"/>
        <v>17</v>
      </c>
      <c r="J1279" s="3">
        <f t="shared" si="139"/>
        <v>21</v>
      </c>
      <c r="K1279" s="3">
        <f t="shared" si="140"/>
        <v>-4</v>
      </c>
      <c r="L1279" s="3" t="str">
        <f t="shared" si="134"/>
        <v>ATENÇÃO</v>
      </c>
      <c r="M1279">
        <v>16</v>
      </c>
      <c r="N1279">
        <v>100</v>
      </c>
      <c r="O1279">
        <v>27.609427609427609</v>
      </c>
    </row>
    <row r="1280" spans="1:15" customFormat="1" hidden="1" x14ac:dyDescent="0.25">
      <c r="A1280" s="11">
        <v>46041</v>
      </c>
      <c r="B1280" t="s">
        <v>55</v>
      </c>
      <c r="C1280" t="s">
        <v>48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 t="shared" si="138"/>
        <v>23</v>
      </c>
      <c r="J1280" s="3">
        <f t="shared" si="139"/>
        <v>17</v>
      </c>
      <c r="K1280" s="3">
        <f t="shared" si="140"/>
        <v>6</v>
      </c>
      <c r="L1280" s="3" t="str">
        <f t="shared" si="134"/>
        <v>EXCELENTE</v>
      </c>
      <c r="M1280">
        <v>18</v>
      </c>
      <c r="N1280">
        <v>96.4</v>
      </c>
      <c r="O1280">
        <v>28.764044943820231</v>
      </c>
    </row>
    <row r="1281" spans="1:15" customFormat="1" hidden="1" x14ac:dyDescent="0.25">
      <c r="A1281" s="11">
        <v>46041</v>
      </c>
      <c r="B1281" t="s">
        <v>39</v>
      </c>
      <c r="C1281" t="s">
        <v>32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 t="shared" si="134"/>
        <v>BOM</v>
      </c>
      <c r="M1281">
        <v>7</v>
      </c>
      <c r="N1281">
        <v>100</v>
      </c>
      <c r="O1281">
        <v>33.980582524271853</v>
      </c>
    </row>
    <row r="1282" spans="1:15" customFormat="1" hidden="1" x14ac:dyDescent="0.25">
      <c r="A1282" s="11">
        <v>46041</v>
      </c>
      <c r="B1282" t="s">
        <v>25</v>
      </c>
      <c r="C1282" t="s">
        <v>26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12</v>
      </c>
      <c r="K1282" s="3">
        <f>I1282-J1282</f>
        <v>3</v>
      </c>
      <c r="L1282" s="3" t="str">
        <f t="shared" si="134"/>
        <v>BOM</v>
      </c>
      <c r="M1282">
        <v>12</v>
      </c>
      <c r="N1282">
        <v>97.56</v>
      </c>
      <c r="O1282">
        <v>32.515337423312893</v>
      </c>
    </row>
    <row r="1283" spans="1:15" customFormat="1" hidden="1" x14ac:dyDescent="0.25">
      <c r="A1283" s="11">
        <v>46041</v>
      </c>
      <c r="B1283" t="s">
        <v>40</v>
      </c>
      <c r="C1283" t="s">
        <v>32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21</v>
      </c>
      <c r="K1283" s="3">
        <f>I1283-J1283</f>
        <v>-6</v>
      </c>
      <c r="L1283" s="3" t="str">
        <f t="shared" si="134"/>
        <v>CRÍTICO</v>
      </c>
      <c r="M1283">
        <v>18</v>
      </c>
      <c r="N1283">
        <v>97.11</v>
      </c>
      <c r="O1283">
        <v>37.408312958435211</v>
      </c>
    </row>
    <row r="1284" spans="1:15" customFormat="1" hidden="1" x14ac:dyDescent="0.25">
      <c r="A1284" s="11">
        <v>46041</v>
      </c>
      <c r="B1284" t="s">
        <v>27</v>
      </c>
      <c r="C1284" t="s">
        <v>26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 t="shared" si="134"/>
        <v>BOM</v>
      </c>
      <c r="M1284">
        <v>0</v>
      </c>
      <c r="N1284">
        <v>0</v>
      </c>
      <c r="O1284">
        <v>0</v>
      </c>
    </row>
    <row r="1285" spans="1:15" customFormat="1" hidden="1" x14ac:dyDescent="0.25">
      <c r="A1285" s="11">
        <v>46041</v>
      </c>
      <c r="B1285" t="s">
        <v>41</v>
      </c>
      <c r="C1285" t="s">
        <v>32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2</v>
      </c>
      <c r="L1285" s="3" t="str">
        <f t="shared" si="134"/>
        <v>BOM</v>
      </c>
      <c r="M1285">
        <v>22</v>
      </c>
      <c r="N1285">
        <v>100</v>
      </c>
      <c r="O1285">
        <v>30.470347648261761</v>
      </c>
    </row>
    <row r="1286" spans="1:15" customFormat="1" hidden="1" x14ac:dyDescent="0.25">
      <c r="A1286" s="11">
        <v>46041</v>
      </c>
      <c r="B1286" t="s">
        <v>56</v>
      </c>
      <c r="C1286" t="s">
        <v>48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17</v>
      </c>
      <c r="K1286" s="3">
        <f>I1286-J1286</f>
        <v>7</v>
      </c>
      <c r="L1286" s="3" t="str">
        <f t="shared" si="134"/>
        <v>EXCELENTE</v>
      </c>
      <c r="M1286">
        <v>23</v>
      </c>
      <c r="N1286">
        <v>100</v>
      </c>
      <c r="O1286">
        <v>32.371134020618562</v>
      </c>
    </row>
    <row r="1287" spans="1:15" customFormat="1" hidden="1" x14ac:dyDescent="0.25">
      <c r="A1287" s="11">
        <v>46041</v>
      </c>
      <c r="B1287" t="s">
        <v>57</v>
      </c>
      <c r="C1287" t="s">
        <v>48</v>
      </c>
      <c r="D1287">
        <v>15</v>
      </c>
      <c r="E1287">
        <v>13</v>
      </c>
      <c r="F1287">
        <v>12.11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 t="shared" ref="L1287:L1350" si="141">IF(K1287&lt;-5,"CRÍTICO",IF(K1287&lt;0,"ATENÇÃO",IF(K1287&lt;=5,"BOM","EXCELENTE")))</f>
        <v>BOM</v>
      </c>
      <c r="M1287">
        <v>11</v>
      </c>
      <c r="N1287">
        <v>98.32</v>
      </c>
      <c r="O1287">
        <v>32.318501170960189</v>
      </c>
    </row>
    <row r="1288" spans="1:15" customFormat="1" hidden="1" x14ac:dyDescent="0.25">
      <c r="A1288" s="11">
        <v>46041</v>
      </c>
      <c r="B1288" t="s">
        <v>42</v>
      </c>
      <c r="C1288" t="s">
        <v>32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 t="shared" ref="I1288:I1293" si="142">E1288+G1288+H1288</f>
        <v>27</v>
      </c>
      <c r="J1288" s="3">
        <f t="shared" ref="J1288:J1293" si="143"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 t="shared" ref="K1288:K1293" si="144">I1288-J1288</f>
        <v>6</v>
      </c>
      <c r="L1288" s="3" t="str">
        <f t="shared" si="141"/>
        <v>EXCELENTE</v>
      </c>
      <c r="M1288">
        <v>17</v>
      </c>
      <c r="N1288">
        <v>96.43</v>
      </c>
      <c r="O1288">
        <v>27.015250544662312</v>
      </c>
    </row>
    <row r="1289" spans="1:15" customFormat="1" hidden="1" x14ac:dyDescent="0.25">
      <c r="A1289" s="11">
        <v>46041</v>
      </c>
      <c r="B1289" t="s">
        <v>62</v>
      </c>
      <c r="C1289" t="s">
        <v>23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 t="shared" si="142"/>
        <v>19</v>
      </c>
      <c r="J1289" s="3">
        <f t="shared" si="143"/>
        <v>14</v>
      </c>
      <c r="K1289" s="3">
        <f t="shared" si="144"/>
        <v>5</v>
      </c>
      <c r="L1289" s="3" t="str">
        <f t="shared" si="141"/>
        <v>BOM</v>
      </c>
      <c r="M1289">
        <v>15</v>
      </c>
      <c r="N1289">
        <v>98.89</v>
      </c>
      <c r="O1289">
        <v>28.021978021978018</v>
      </c>
    </row>
    <row r="1290" spans="1:15" customFormat="1" hidden="1" x14ac:dyDescent="0.25">
      <c r="A1290" s="11">
        <v>46041</v>
      </c>
      <c r="B1290" t="s">
        <v>19</v>
      </c>
      <c r="C1290" t="s">
        <v>16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 t="shared" si="142"/>
        <v>13</v>
      </c>
      <c r="J1290" s="3">
        <f t="shared" si="143"/>
        <v>6</v>
      </c>
      <c r="K1290" s="3">
        <f t="shared" si="144"/>
        <v>7</v>
      </c>
      <c r="L1290" s="3" t="str">
        <f t="shared" si="141"/>
        <v>EXCELENTE</v>
      </c>
      <c r="M1290">
        <v>9</v>
      </c>
      <c r="N1290">
        <v>100</v>
      </c>
      <c r="O1290">
        <v>33.333333333333329</v>
      </c>
    </row>
    <row r="1291" spans="1:15" customFormat="1" hidden="1" x14ac:dyDescent="0.25">
      <c r="A1291" s="11">
        <v>46041</v>
      </c>
      <c r="B1291" t="s">
        <v>43</v>
      </c>
      <c r="C1291" t="s">
        <v>32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 t="shared" si="142"/>
        <v>26</v>
      </c>
      <c r="J1291" s="3">
        <f t="shared" si="143"/>
        <v>21</v>
      </c>
      <c r="K1291" s="3">
        <f t="shared" si="144"/>
        <v>5</v>
      </c>
      <c r="L1291" s="3" t="str">
        <f t="shared" si="141"/>
        <v>BOM</v>
      </c>
      <c r="M1291">
        <v>25</v>
      </c>
      <c r="N1291">
        <v>100</v>
      </c>
      <c r="O1291">
        <v>27.43362831858407</v>
      </c>
    </row>
    <row r="1292" spans="1:15" customFormat="1" hidden="1" x14ac:dyDescent="0.25">
      <c r="A1292" s="11">
        <v>46041</v>
      </c>
      <c r="B1292" t="s">
        <v>44</v>
      </c>
      <c r="C1292" t="s">
        <v>32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 t="shared" si="142"/>
        <v>25</v>
      </c>
      <c r="J1292" s="3">
        <f t="shared" si="143"/>
        <v>21</v>
      </c>
      <c r="K1292" s="3">
        <f t="shared" si="144"/>
        <v>4</v>
      </c>
      <c r="L1292" s="3" t="str">
        <f t="shared" si="141"/>
        <v>BOM</v>
      </c>
      <c r="M1292">
        <v>24</v>
      </c>
      <c r="N1292">
        <v>98.65</v>
      </c>
      <c r="O1292">
        <v>30.978260869565219</v>
      </c>
    </row>
    <row r="1293" spans="1:15" customFormat="1" hidden="1" x14ac:dyDescent="0.25">
      <c r="A1293" s="11">
        <v>46041</v>
      </c>
      <c r="B1293" t="s">
        <v>20</v>
      </c>
      <c r="C1293" t="s">
        <v>16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 t="shared" si="142"/>
        <v>1</v>
      </c>
      <c r="J1293" s="3">
        <f t="shared" si="143"/>
        <v>6</v>
      </c>
      <c r="K1293" s="3">
        <f t="shared" si="144"/>
        <v>-5</v>
      </c>
      <c r="L1293" s="3" t="str">
        <f t="shared" si="141"/>
        <v>ATENÇÃO</v>
      </c>
      <c r="M1293">
        <v>1</v>
      </c>
      <c r="N1293">
        <v>100</v>
      </c>
      <c r="O1293">
        <v>12</v>
      </c>
    </row>
    <row r="1294" spans="1:15" customFormat="1" hidden="1" x14ac:dyDescent="0.25">
      <c r="A1294" s="11">
        <v>46041</v>
      </c>
      <c r="B1294" t="s">
        <v>28</v>
      </c>
      <c r="C1294" t="s">
        <v>26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 t="shared" si="141"/>
        <v>BOM</v>
      </c>
      <c r="M1294">
        <v>0</v>
      </c>
      <c r="N1294">
        <v>0</v>
      </c>
      <c r="O1294">
        <v>0</v>
      </c>
    </row>
    <row r="1295" spans="1:15" customFormat="1" hidden="1" x14ac:dyDescent="0.25">
      <c r="A1295" s="11">
        <v>46041</v>
      </c>
      <c r="B1295" t="s">
        <v>58</v>
      </c>
      <c r="C1295" t="s">
        <v>48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17</v>
      </c>
      <c r="K1295" s="3">
        <f>I1295-J1295</f>
        <v>8</v>
      </c>
      <c r="L1295" s="3" t="str">
        <f t="shared" si="141"/>
        <v>EXCELENTE</v>
      </c>
      <c r="M1295">
        <v>19</v>
      </c>
      <c r="N1295">
        <v>97.56</v>
      </c>
      <c r="O1295">
        <v>31.067961165048541</v>
      </c>
    </row>
    <row r="1296" spans="1:15" customFormat="1" hidden="1" x14ac:dyDescent="0.25">
      <c r="A1296" s="11">
        <v>46041</v>
      </c>
      <c r="B1296" t="s">
        <v>29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41"/>
        <v>BOM</v>
      </c>
      <c r="M1296">
        <v>0</v>
      </c>
      <c r="N1296">
        <v>0</v>
      </c>
      <c r="O1296">
        <v>0</v>
      </c>
    </row>
    <row r="1297" spans="1:15" customFormat="1" hidden="1" x14ac:dyDescent="0.25">
      <c r="A1297" s="11">
        <v>46041</v>
      </c>
      <c r="B1297" t="s">
        <v>30</v>
      </c>
      <c r="C1297" t="s">
        <v>26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41"/>
        <v>BOM</v>
      </c>
      <c r="M1297">
        <v>0</v>
      </c>
      <c r="N1297">
        <v>0</v>
      </c>
      <c r="O1297">
        <v>0</v>
      </c>
    </row>
    <row r="1298" spans="1:15" customFormat="1" hidden="1" x14ac:dyDescent="0.25">
      <c r="A1298" s="11">
        <v>46041</v>
      </c>
      <c r="B1298" t="s">
        <v>21</v>
      </c>
      <c r="C1298" t="s">
        <v>16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41"/>
        <v>BOM</v>
      </c>
      <c r="M1298">
        <v>0</v>
      </c>
      <c r="N1298">
        <v>0</v>
      </c>
      <c r="O1298">
        <v>0</v>
      </c>
    </row>
    <row r="1299" spans="1:15" customFormat="1" hidden="1" x14ac:dyDescent="0.25">
      <c r="A1299" s="11">
        <v>46041</v>
      </c>
      <c r="B1299" t="s">
        <v>63</v>
      </c>
      <c r="C1299" t="s">
        <v>23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41"/>
        <v>BOM</v>
      </c>
      <c r="M1299">
        <v>0</v>
      </c>
      <c r="N1299">
        <v>100</v>
      </c>
      <c r="O1299">
        <v>53.846153846153847</v>
      </c>
    </row>
    <row r="1300" spans="1:15" customFormat="1" hidden="1" x14ac:dyDescent="0.25">
      <c r="A1300" s="11">
        <v>46041</v>
      </c>
      <c r="B1300" t="s">
        <v>45</v>
      </c>
      <c r="C1300" t="s">
        <v>32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 t="shared" si="141"/>
        <v>BOM</v>
      </c>
      <c r="M1300">
        <v>0</v>
      </c>
      <c r="N1300">
        <v>100</v>
      </c>
      <c r="O1300">
        <v>44.05594405594406</v>
      </c>
    </row>
    <row r="1301" spans="1:15" customFormat="1" hidden="1" x14ac:dyDescent="0.25">
      <c r="A1301" s="11">
        <v>46041</v>
      </c>
      <c r="B1301" t="s">
        <v>64</v>
      </c>
      <c r="C1301" t="s">
        <v>23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14</v>
      </c>
      <c r="K1301" s="3">
        <f>I1301-J1301</f>
        <v>-5</v>
      </c>
      <c r="L1301" s="3" t="str">
        <f t="shared" si="141"/>
        <v>ATENÇÃO</v>
      </c>
      <c r="M1301">
        <v>8</v>
      </c>
      <c r="N1301">
        <v>100</v>
      </c>
      <c r="O1301">
        <v>31.872509960159359</v>
      </c>
    </row>
    <row r="1302" spans="1:15" customFormat="1" hidden="1" x14ac:dyDescent="0.25">
      <c r="A1302" s="11">
        <v>46041</v>
      </c>
      <c r="B1302" t="s">
        <v>46</v>
      </c>
      <c r="C1302" t="s">
        <v>32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21</v>
      </c>
      <c r="K1302" s="3">
        <f>I1302-J1302</f>
        <v>0</v>
      </c>
      <c r="L1302" s="3" t="str">
        <f t="shared" si="141"/>
        <v>BOM</v>
      </c>
      <c r="M1302">
        <v>20</v>
      </c>
      <c r="N1302">
        <v>98.41</v>
      </c>
      <c r="O1302">
        <v>29.22465208747515</v>
      </c>
    </row>
    <row r="1303" spans="1:15" customFormat="1" hidden="1" x14ac:dyDescent="0.25">
      <c r="A1303" s="11">
        <v>46042</v>
      </c>
      <c r="B1303" t="s">
        <v>47</v>
      </c>
      <c r="C1303" t="s">
        <v>48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15</v>
      </c>
      <c r="K1303" s="3">
        <f>I1303-J1303</f>
        <v>8</v>
      </c>
      <c r="L1303" s="3" t="str">
        <f t="shared" si="141"/>
        <v>EXCELENTE</v>
      </c>
      <c r="M1303">
        <v>17</v>
      </c>
      <c r="N1303">
        <v>96.81</v>
      </c>
      <c r="O1303">
        <v>27.980535279805348</v>
      </c>
    </row>
    <row r="1304" spans="1:15" customFormat="1" hidden="1" x14ac:dyDescent="0.25">
      <c r="A1304" s="11">
        <v>46042</v>
      </c>
      <c r="B1304" t="s">
        <v>31</v>
      </c>
      <c r="C1304" t="s">
        <v>32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 t="shared" si="141"/>
        <v>BOM</v>
      </c>
      <c r="M1304">
        <v>19</v>
      </c>
      <c r="N1304">
        <v>98.73</v>
      </c>
      <c r="O1304">
        <v>35.756385068762278</v>
      </c>
    </row>
    <row r="1305" spans="1:15" customFormat="1" hidden="1" x14ac:dyDescent="0.25">
      <c r="A1305" s="11">
        <v>46042</v>
      </c>
      <c r="B1305" t="s">
        <v>59</v>
      </c>
      <c r="C1305" t="s">
        <v>23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13</v>
      </c>
      <c r="K1305" s="3">
        <f>I1305-J1305</f>
        <v>8</v>
      </c>
      <c r="L1305" s="3" t="str">
        <f t="shared" si="141"/>
        <v>EXCELENTE</v>
      </c>
      <c r="M1305">
        <v>21</v>
      </c>
      <c r="N1305">
        <v>98.32</v>
      </c>
      <c r="O1305">
        <v>26.763485477178421</v>
      </c>
    </row>
    <row r="1306" spans="1:15" customFormat="1" hidden="1" x14ac:dyDescent="0.25">
      <c r="A1306" s="11">
        <v>46042</v>
      </c>
      <c r="B1306" t="s">
        <v>33</v>
      </c>
      <c r="C1306" t="s">
        <v>32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19</v>
      </c>
      <c r="K1306" s="3">
        <f>I1306-J1306</f>
        <v>-1</v>
      </c>
      <c r="L1306" s="3" t="str">
        <f t="shared" si="141"/>
        <v>ATENÇÃO</v>
      </c>
      <c r="M1306">
        <v>15</v>
      </c>
      <c r="N1306">
        <v>99.19</v>
      </c>
      <c r="O1306">
        <v>27.637130801687761</v>
      </c>
    </row>
    <row r="1307" spans="1:15" customFormat="1" hidden="1" x14ac:dyDescent="0.25">
      <c r="A1307" s="11">
        <v>46042</v>
      </c>
      <c r="B1307" t="s">
        <v>15</v>
      </c>
      <c r="C1307" t="s">
        <v>16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6</v>
      </c>
      <c r="K1307" s="3">
        <f>I1307-J1307</f>
        <v>2</v>
      </c>
      <c r="L1307" s="3" t="str">
        <f t="shared" si="141"/>
        <v>BOM</v>
      </c>
      <c r="M1307">
        <v>8</v>
      </c>
      <c r="N1307">
        <v>100</v>
      </c>
      <c r="O1307">
        <v>39.568345323741013</v>
      </c>
    </row>
    <row r="1308" spans="1:15" customFormat="1" hidden="1" x14ac:dyDescent="0.25">
      <c r="A1308" s="11">
        <v>46042</v>
      </c>
      <c r="B1308" t="s">
        <v>49</v>
      </c>
      <c r="C1308" t="s">
        <v>48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3</v>
      </c>
      <c r="L1308" s="3" t="str">
        <f t="shared" si="141"/>
        <v>BOM</v>
      </c>
      <c r="M1308">
        <v>20</v>
      </c>
      <c r="N1308">
        <v>98.54</v>
      </c>
      <c r="O1308">
        <v>28.544776119402989</v>
      </c>
    </row>
    <row r="1309" spans="1:15" customFormat="1" hidden="1" x14ac:dyDescent="0.25">
      <c r="A1309" s="11">
        <v>46042</v>
      </c>
      <c r="B1309" t="s">
        <v>50</v>
      </c>
      <c r="C1309" t="s">
        <v>48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15</v>
      </c>
      <c r="K1309" s="3">
        <f>I1309-J1309</f>
        <v>2</v>
      </c>
      <c r="L1309" s="3" t="str">
        <f t="shared" si="141"/>
        <v>BOM</v>
      </c>
      <c r="M1309">
        <v>19</v>
      </c>
      <c r="N1309">
        <v>100</v>
      </c>
      <c r="O1309">
        <v>34.366925064599492</v>
      </c>
    </row>
    <row r="1310" spans="1:15" customFormat="1" hidden="1" x14ac:dyDescent="0.25">
      <c r="A1310" s="11">
        <v>46042</v>
      </c>
      <c r="B1310" t="s">
        <v>17</v>
      </c>
      <c r="C1310" t="s">
        <v>16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 t="shared" si="141"/>
        <v>BOM</v>
      </c>
      <c r="M1310">
        <v>0</v>
      </c>
      <c r="N1310">
        <v>0</v>
      </c>
      <c r="O1310">
        <v>0</v>
      </c>
    </row>
    <row r="1311" spans="1:15" customFormat="1" hidden="1" x14ac:dyDescent="0.25">
      <c r="A1311" s="11">
        <v>46042</v>
      </c>
      <c r="B1311" t="s">
        <v>60</v>
      </c>
      <c r="C1311" t="s">
        <v>23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3</v>
      </c>
      <c r="L1311" s="3" t="str">
        <f t="shared" si="141"/>
        <v>BOM</v>
      </c>
      <c r="M1311">
        <v>13</v>
      </c>
      <c r="N1311">
        <v>100</v>
      </c>
      <c r="O1311">
        <v>29.518072289156631</v>
      </c>
    </row>
    <row r="1312" spans="1:15" customFormat="1" hidden="1" x14ac:dyDescent="0.25">
      <c r="A1312" s="11">
        <v>46042</v>
      </c>
      <c r="B1312" t="s">
        <v>34</v>
      </c>
      <c r="C1312" t="s">
        <v>32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19</v>
      </c>
      <c r="K1312" s="3">
        <f>I1312-J1312</f>
        <v>5</v>
      </c>
      <c r="L1312" s="3" t="str">
        <f t="shared" si="141"/>
        <v>BOM</v>
      </c>
      <c r="M1312">
        <v>22</v>
      </c>
      <c r="N1312">
        <v>97.45</v>
      </c>
      <c r="O1312">
        <v>41.421143847487002</v>
      </c>
    </row>
    <row r="1313" spans="1:15" customFormat="1" hidden="1" x14ac:dyDescent="0.25">
      <c r="A1313" s="11">
        <v>46042</v>
      </c>
      <c r="B1313" t="s">
        <v>51</v>
      </c>
      <c r="C1313" t="s">
        <v>48</v>
      </c>
      <c r="D1313">
        <v>29</v>
      </c>
      <c r="E1313">
        <v>20</v>
      </c>
      <c r="F1313">
        <v>8.26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 t="shared" si="141"/>
        <v>BOM</v>
      </c>
      <c r="M1313">
        <v>21</v>
      </c>
      <c r="N1313">
        <v>96.58</v>
      </c>
      <c r="O1313">
        <v>30.396475770925111</v>
      </c>
    </row>
    <row r="1314" spans="1:15" customFormat="1" hidden="1" x14ac:dyDescent="0.25">
      <c r="A1314" s="11">
        <v>46042</v>
      </c>
      <c r="B1314" t="s">
        <v>61</v>
      </c>
      <c r="C1314" t="s">
        <v>23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13</v>
      </c>
      <c r="K1314" s="3">
        <f>I1314-J1314</f>
        <v>4</v>
      </c>
      <c r="L1314" s="3" t="str">
        <f t="shared" si="141"/>
        <v>BOM</v>
      </c>
      <c r="M1314">
        <v>18</v>
      </c>
      <c r="N1314">
        <v>100</v>
      </c>
      <c r="O1314">
        <v>27.44282744282744</v>
      </c>
    </row>
    <row r="1315" spans="1:15" customFormat="1" hidden="1" x14ac:dyDescent="0.25">
      <c r="A1315" s="11">
        <v>46042</v>
      </c>
      <c r="B1315" t="s">
        <v>35</v>
      </c>
      <c r="C1315" t="s">
        <v>32</v>
      </c>
      <c r="D1315">
        <v>17</v>
      </c>
      <c r="E1315">
        <v>17</v>
      </c>
      <c r="F1315">
        <v>30.1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41"/>
        <v>BOM</v>
      </c>
      <c r="M1315">
        <v>19</v>
      </c>
      <c r="N1315">
        <v>99.49</v>
      </c>
      <c r="O1315">
        <v>40.200000000000003</v>
      </c>
    </row>
    <row r="1316" spans="1:15" customFormat="1" hidden="1" x14ac:dyDescent="0.25">
      <c r="A1316" s="11">
        <v>46042</v>
      </c>
      <c r="B1316" t="s">
        <v>18</v>
      </c>
      <c r="C1316" t="s">
        <v>16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 t="shared" si="141"/>
        <v>BOM</v>
      </c>
      <c r="M1316">
        <v>0</v>
      </c>
      <c r="N1316">
        <v>100</v>
      </c>
      <c r="O1316">
        <v>25</v>
      </c>
    </row>
    <row r="1317" spans="1:15" customFormat="1" hidden="1" x14ac:dyDescent="0.25">
      <c r="A1317" s="11">
        <v>46042</v>
      </c>
      <c r="B1317" t="s">
        <v>52</v>
      </c>
      <c r="C1317" t="s">
        <v>48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 t="shared" ref="I1317:I1324" si="145">E1317+G1317+H1317</f>
        <v>20</v>
      </c>
      <c r="J1317" s="3">
        <f t="shared" ref="J1317:J1324" si="146"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 t="shared" ref="K1317:K1324" si="147">I1317-J1317</f>
        <v>5</v>
      </c>
      <c r="L1317" s="3" t="str">
        <f t="shared" si="141"/>
        <v>BOM</v>
      </c>
      <c r="M1317">
        <v>21</v>
      </c>
      <c r="N1317">
        <v>100</v>
      </c>
      <c r="O1317">
        <v>34.15094339622641</v>
      </c>
    </row>
    <row r="1318" spans="1:15" customFormat="1" hidden="1" x14ac:dyDescent="0.25">
      <c r="A1318" s="11">
        <v>46042</v>
      </c>
      <c r="B1318" t="s">
        <v>36</v>
      </c>
      <c r="C1318" t="s">
        <v>32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 t="shared" si="145"/>
        <v>12</v>
      </c>
      <c r="J1318" s="3">
        <f t="shared" si="146"/>
        <v>19</v>
      </c>
      <c r="K1318" s="3">
        <f t="shared" si="147"/>
        <v>-7</v>
      </c>
      <c r="L1318" s="3" t="str">
        <f t="shared" si="141"/>
        <v>CRÍTICO</v>
      </c>
      <c r="M1318">
        <v>16</v>
      </c>
      <c r="N1318">
        <v>100</v>
      </c>
      <c r="O1318">
        <v>32.731376975169297</v>
      </c>
    </row>
    <row r="1319" spans="1:15" customFormat="1" hidden="1" x14ac:dyDescent="0.25">
      <c r="A1319" s="11">
        <v>46042</v>
      </c>
      <c r="B1319" t="s">
        <v>53</v>
      </c>
      <c r="C1319" t="s">
        <v>48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 t="shared" si="145"/>
        <v>21</v>
      </c>
      <c r="J1319" s="3">
        <f t="shared" si="146"/>
        <v>15</v>
      </c>
      <c r="K1319" s="3">
        <f t="shared" si="147"/>
        <v>6</v>
      </c>
      <c r="L1319" s="3" t="str">
        <f t="shared" si="141"/>
        <v>EXCELENTE</v>
      </c>
      <c r="M1319">
        <v>19</v>
      </c>
      <c r="N1319">
        <v>99.31</v>
      </c>
      <c r="O1319">
        <v>30.96234309623431</v>
      </c>
    </row>
    <row r="1320" spans="1:15" customFormat="1" hidden="1" x14ac:dyDescent="0.25">
      <c r="A1320" s="11">
        <v>46076</v>
      </c>
      <c r="B1320" t="s">
        <v>22</v>
      </c>
      <c r="C1320" t="s">
        <v>23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 t="shared" si="145"/>
        <v>16</v>
      </c>
      <c r="J1320" s="3">
        <f t="shared" si="146"/>
        <v>15</v>
      </c>
      <c r="K1320" s="3">
        <f t="shared" si="147"/>
        <v>1</v>
      </c>
      <c r="L1320" s="3" t="str">
        <f t="shared" si="141"/>
        <v>BOM</v>
      </c>
      <c r="M1320">
        <v>16</v>
      </c>
      <c r="N1320">
        <v>96.67</v>
      </c>
      <c r="O1320">
        <v>31.451612903225811</v>
      </c>
    </row>
    <row r="1321" spans="1:15" customFormat="1" hidden="1" x14ac:dyDescent="0.25">
      <c r="A1321" s="11">
        <v>46042</v>
      </c>
      <c r="B1321" t="s">
        <v>54</v>
      </c>
      <c r="C1321" t="s">
        <v>48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 t="shared" si="145"/>
        <v>18</v>
      </c>
      <c r="J1321" s="3">
        <f t="shared" si="146"/>
        <v>15</v>
      </c>
      <c r="K1321" s="3">
        <f t="shared" si="147"/>
        <v>3</v>
      </c>
      <c r="L1321" s="3" t="str">
        <f t="shared" si="141"/>
        <v>BOM</v>
      </c>
      <c r="M1321">
        <v>18</v>
      </c>
      <c r="N1321">
        <v>100</v>
      </c>
      <c r="O1321">
        <v>27.676767676767678</v>
      </c>
    </row>
    <row r="1322" spans="1:15" customFormat="1" hidden="1" x14ac:dyDescent="0.25">
      <c r="A1322" s="11">
        <v>46042</v>
      </c>
      <c r="B1322" t="s">
        <v>37</v>
      </c>
      <c r="C1322" t="s">
        <v>32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 t="shared" si="145"/>
        <v>29</v>
      </c>
      <c r="J1322" s="3">
        <f t="shared" si="146"/>
        <v>19</v>
      </c>
      <c r="K1322" s="3">
        <f t="shared" si="147"/>
        <v>10</v>
      </c>
      <c r="L1322" s="3" t="str">
        <f t="shared" si="141"/>
        <v>EXCELENTE</v>
      </c>
      <c r="M1322">
        <v>29</v>
      </c>
      <c r="N1322">
        <v>100</v>
      </c>
      <c r="O1322">
        <v>31.17723156532988</v>
      </c>
    </row>
    <row r="1323" spans="1:15" customFormat="1" hidden="1" x14ac:dyDescent="0.25">
      <c r="A1323" s="11">
        <v>46042</v>
      </c>
      <c r="B1323" t="s">
        <v>38</v>
      </c>
      <c r="C1323" t="s">
        <v>32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 t="shared" si="145"/>
        <v>11</v>
      </c>
      <c r="J1323" s="3">
        <f t="shared" si="146"/>
        <v>19</v>
      </c>
      <c r="K1323" s="3">
        <f t="shared" si="147"/>
        <v>-8</v>
      </c>
      <c r="L1323" s="3" t="str">
        <f t="shared" si="141"/>
        <v>CRÍTICO</v>
      </c>
      <c r="M1323">
        <v>8</v>
      </c>
      <c r="N1323">
        <v>100</v>
      </c>
      <c r="O1323">
        <v>27.609427609427609</v>
      </c>
    </row>
    <row r="1324" spans="1:15" customFormat="1" hidden="1" x14ac:dyDescent="0.25">
      <c r="A1324" s="11">
        <v>46042</v>
      </c>
      <c r="B1324" t="s">
        <v>55</v>
      </c>
      <c r="C1324" t="s">
        <v>48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 t="shared" si="145"/>
        <v>22</v>
      </c>
      <c r="J1324" s="3">
        <f t="shared" si="146"/>
        <v>15</v>
      </c>
      <c r="K1324" s="3">
        <f t="shared" si="147"/>
        <v>7</v>
      </c>
      <c r="L1324" s="3" t="str">
        <f t="shared" si="141"/>
        <v>EXCELENTE</v>
      </c>
      <c r="M1324">
        <v>20</v>
      </c>
      <c r="N1324">
        <v>96.4</v>
      </c>
      <c r="O1324">
        <v>28.764044943820231</v>
      </c>
    </row>
    <row r="1325" spans="1:15" customFormat="1" hidden="1" x14ac:dyDescent="0.25">
      <c r="A1325" s="11">
        <v>46042</v>
      </c>
      <c r="B1325" t="s">
        <v>39</v>
      </c>
      <c r="C1325" t="s">
        <v>32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 t="shared" si="141"/>
        <v>BOM</v>
      </c>
      <c r="M1325">
        <v>0</v>
      </c>
      <c r="N1325">
        <v>100</v>
      </c>
      <c r="O1325">
        <v>33.980582524271853</v>
      </c>
    </row>
    <row r="1326" spans="1:15" customFormat="1" hidden="1" x14ac:dyDescent="0.25">
      <c r="A1326" s="11">
        <v>46042</v>
      </c>
      <c r="B1326" t="s">
        <v>25</v>
      </c>
      <c r="C1326" t="s">
        <v>26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11</v>
      </c>
      <c r="K1326" s="3">
        <f>I1326-J1326</f>
        <v>-1</v>
      </c>
      <c r="L1326" s="3" t="str">
        <f t="shared" si="141"/>
        <v>ATENÇÃO</v>
      </c>
      <c r="M1326">
        <v>8</v>
      </c>
      <c r="N1326">
        <v>97.56</v>
      </c>
      <c r="O1326">
        <v>32.515337423312893</v>
      </c>
    </row>
    <row r="1327" spans="1:15" customFormat="1" hidden="1" x14ac:dyDescent="0.25">
      <c r="A1327" s="11">
        <v>46042</v>
      </c>
      <c r="B1327" t="s">
        <v>40</v>
      </c>
      <c r="C1327" t="s">
        <v>32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19</v>
      </c>
      <c r="K1327" s="3">
        <f>I1327-J1327</f>
        <v>-4</v>
      </c>
      <c r="L1327" s="3" t="str">
        <f t="shared" si="141"/>
        <v>ATENÇÃO</v>
      </c>
      <c r="M1327">
        <v>12</v>
      </c>
      <c r="N1327">
        <v>97.11</v>
      </c>
      <c r="O1327">
        <v>37.408312958435211</v>
      </c>
    </row>
    <row r="1328" spans="1:15" customFormat="1" hidden="1" x14ac:dyDescent="0.25">
      <c r="A1328" s="11">
        <v>46042</v>
      </c>
      <c r="B1328" t="s">
        <v>27</v>
      </c>
      <c r="C1328" t="s">
        <v>26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 t="shared" si="141"/>
        <v>BOM</v>
      </c>
      <c r="M1328">
        <v>0</v>
      </c>
      <c r="N1328">
        <v>0</v>
      </c>
      <c r="O1328">
        <v>0</v>
      </c>
    </row>
    <row r="1329" spans="1:15" customFormat="1" hidden="1" x14ac:dyDescent="0.25">
      <c r="A1329" s="11">
        <v>46042</v>
      </c>
      <c r="B1329" t="s">
        <v>41</v>
      </c>
      <c r="C1329" t="s">
        <v>32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4</v>
      </c>
      <c r="L1329" s="3" t="str">
        <f t="shared" si="141"/>
        <v>BOM</v>
      </c>
      <c r="M1329">
        <v>19</v>
      </c>
      <c r="N1329">
        <v>100</v>
      </c>
      <c r="O1329">
        <v>30.470347648261761</v>
      </c>
    </row>
    <row r="1330" spans="1:15" customFormat="1" hidden="1" x14ac:dyDescent="0.25">
      <c r="A1330" s="11">
        <v>46042</v>
      </c>
      <c r="B1330" t="s">
        <v>56</v>
      </c>
      <c r="C1330" t="s">
        <v>48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15</v>
      </c>
      <c r="K1330" s="3">
        <f>I1330-J1330</f>
        <v>2</v>
      </c>
      <c r="L1330" s="3" t="str">
        <f t="shared" si="141"/>
        <v>BOM</v>
      </c>
      <c r="M1330">
        <v>15</v>
      </c>
      <c r="N1330">
        <v>100</v>
      </c>
      <c r="O1330">
        <v>32.371134020618562</v>
      </c>
    </row>
    <row r="1331" spans="1:15" customFormat="1" hidden="1" x14ac:dyDescent="0.25">
      <c r="A1331" s="11">
        <v>46042</v>
      </c>
      <c r="B1331" t="s">
        <v>57</v>
      </c>
      <c r="C1331" t="s">
        <v>48</v>
      </c>
      <c r="D1331">
        <v>25</v>
      </c>
      <c r="E1331">
        <v>24</v>
      </c>
      <c r="F1331">
        <v>19.16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 t="shared" si="141"/>
        <v>BOM</v>
      </c>
      <c r="M1331">
        <v>17</v>
      </c>
      <c r="N1331">
        <v>98.32</v>
      </c>
      <c r="O1331">
        <v>32.318501170960189</v>
      </c>
    </row>
    <row r="1332" spans="1:15" customFormat="1" hidden="1" x14ac:dyDescent="0.25">
      <c r="A1332" s="11">
        <v>46042</v>
      </c>
      <c r="B1332" t="s">
        <v>42</v>
      </c>
      <c r="C1332" t="s">
        <v>32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-9</v>
      </c>
      <c r="L1332" s="3" t="str">
        <f t="shared" si="141"/>
        <v>CRÍTICO</v>
      </c>
      <c r="M1332">
        <v>7</v>
      </c>
      <c r="N1332">
        <v>96.43</v>
      </c>
      <c r="O1332">
        <v>27.015250544662312</v>
      </c>
    </row>
    <row r="1333" spans="1:15" customFormat="1" hidden="1" x14ac:dyDescent="0.25">
      <c r="A1333" s="11">
        <v>46042</v>
      </c>
      <c r="B1333" t="s">
        <v>62</v>
      </c>
      <c r="C1333" t="s">
        <v>23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13</v>
      </c>
      <c r="K1333" s="3">
        <f>I1333-J1333</f>
        <v>4</v>
      </c>
      <c r="L1333" s="3" t="str">
        <f t="shared" si="141"/>
        <v>BOM</v>
      </c>
      <c r="M1333">
        <v>15</v>
      </c>
      <c r="N1333">
        <v>98.89</v>
      </c>
      <c r="O1333">
        <v>28.021978021978018</v>
      </c>
    </row>
    <row r="1334" spans="1:15" customFormat="1" hidden="1" x14ac:dyDescent="0.25">
      <c r="A1334" s="11">
        <v>46042</v>
      </c>
      <c r="B1334" t="s">
        <v>19</v>
      </c>
      <c r="C1334" t="s">
        <v>16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6</v>
      </c>
      <c r="K1334" s="3">
        <f>I1334-J1334</f>
        <v>-2</v>
      </c>
      <c r="L1334" s="3" t="str">
        <f t="shared" si="141"/>
        <v>ATENÇÃO</v>
      </c>
      <c r="M1334">
        <v>3</v>
      </c>
      <c r="N1334">
        <v>100</v>
      </c>
      <c r="O1334">
        <v>33.333333333333329</v>
      </c>
    </row>
    <row r="1335" spans="1:15" customFormat="1" hidden="1" x14ac:dyDescent="0.25">
      <c r="A1335" s="11">
        <v>46042</v>
      </c>
      <c r="B1335" t="s">
        <v>43</v>
      </c>
      <c r="C1335" t="s">
        <v>32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41"/>
        <v>BOM</v>
      </c>
      <c r="M1335">
        <v>22</v>
      </c>
      <c r="N1335">
        <v>100</v>
      </c>
      <c r="O1335">
        <v>27.43362831858407</v>
      </c>
    </row>
    <row r="1336" spans="1:15" customFormat="1" hidden="1" x14ac:dyDescent="0.25">
      <c r="A1336" s="11">
        <v>46042</v>
      </c>
      <c r="B1336" t="s">
        <v>44</v>
      </c>
      <c r="C1336" t="s">
        <v>32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19</v>
      </c>
      <c r="K1336" s="3">
        <f>I1336-J1336</f>
        <v>5</v>
      </c>
      <c r="L1336" s="3" t="str">
        <f t="shared" si="141"/>
        <v>BOM</v>
      </c>
      <c r="M1336">
        <v>24</v>
      </c>
      <c r="N1336">
        <v>98.65</v>
      </c>
      <c r="O1336">
        <v>30.978260869565219</v>
      </c>
    </row>
    <row r="1337" spans="1:15" customFormat="1" hidden="1" x14ac:dyDescent="0.25">
      <c r="A1337" s="11">
        <v>46042</v>
      </c>
      <c r="B1337" t="s">
        <v>20</v>
      </c>
      <c r="C1337" t="s">
        <v>16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41"/>
        <v>BOM</v>
      </c>
      <c r="M1337">
        <v>0</v>
      </c>
      <c r="N1337">
        <v>100</v>
      </c>
      <c r="O1337">
        <v>12</v>
      </c>
    </row>
    <row r="1338" spans="1:15" customFormat="1" hidden="1" x14ac:dyDescent="0.25">
      <c r="A1338" s="11">
        <v>46042</v>
      </c>
      <c r="B1338" t="s">
        <v>28</v>
      </c>
      <c r="C1338" t="s">
        <v>26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 t="shared" si="141"/>
        <v>BOM</v>
      </c>
      <c r="M1338">
        <v>0</v>
      </c>
      <c r="N1338">
        <v>0</v>
      </c>
      <c r="O1338">
        <v>0</v>
      </c>
    </row>
    <row r="1339" spans="1:15" customFormat="1" hidden="1" x14ac:dyDescent="0.25">
      <c r="A1339" s="11">
        <v>46042</v>
      </c>
      <c r="B1339" t="s">
        <v>58</v>
      </c>
      <c r="C1339" t="s">
        <v>48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15</v>
      </c>
      <c r="K1339" s="3">
        <f>I1339-J1339</f>
        <v>1</v>
      </c>
      <c r="L1339" s="3" t="str">
        <f t="shared" si="141"/>
        <v>BOM</v>
      </c>
      <c r="M1339">
        <v>14</v>
      </c>
      <c r="N1339">
        <v>97.56</v>
      </c>
      <c r="O1339">
        <v>31.067961165048541</v>
      </c>
    </row>
    <row r="1340" spans="1:15" customFormat="1" hidden="1" x14ac:dyDescent="0.25">
      <c r="A1340" s="11">
        <v>46042</v>
      </c>
      <c r="B1340" t="s">
        <v>29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41"/>
        <v>BOM</v>
      </c>
      <c r="M1340">
        <v>0</v>
      </c>
      <c r="N1340">
        <v>0</v>
      </c>
      <c r="O1340">
        <v>0</v>
      </c>
    </row>
    <row r="1341" spans="1:15" customFormat="1" hidden="1" x14ac:dyDescent="0.25">
      <c r="A1341" s="11">
        <v>46042</v>
      </c>
      <c r="B1341" t="s">
        <v>30</v>
      </c>
      <c r="C1341" t="s">
        <v>26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41"/>
        <v>BOM</v>
      </c>
      <c r="M1341">
        <v>0</v>
      </c>
      <c r="N1341">
        <v>0</v>
      </c>
      <c r="O1341">
        <v>0</v>
      </c>
    </row>
    <row r="1342" spans="1:15" customFormat="1" hidden="1" x14ac:dyDescent="0.25">
      <c r="A1342" s="11">
        <v>46042</v>
      </c>
      <c r="B1342" t="s">
        <v>21</v>
      </c>
      <c r="C1342" t="s">
        <v>16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41"/>
        <v>BOM</v>
      </c>
      <c r="M1342">
        <v>0</v>
      </c>
      <c r="N1342">
        <v>0</v>
      </c>
      <c r="O1342">
        <v>0</v>
      </c>
    </row>
    <row r="1343" spans="1:15" customFormat="1" hidden="1" x14ac:dyDescent="0.25">
      <c r="A1343" s="11">
        <v>46042</v>
      </c>
      <c r="B1343" t="s">
        <v>63</v>
      </c>
      <c r="C1343" t="s">
        <v>23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 t="shared" si="141"/>
        <v>BOM</v>
      </c>
      <c r="M1343">
        <v>0</v>
      </c>
      <c r="N1343">
        <v>100</v>
      </c>
      <c r="O1343">
        <v>53.846153846153847</v>
      </c>
    </row>
    <row r="1344" spans="1:15" customFormat="1" hidden="1" x14ac:dyDescent="0.25">
      <c r="A1344" s="11">
        <v>46042</v>
      </c>
      <c r="B1344" t="s">
        <v>45</v>
      </c>
      <c r="C1344" t="s">
        <v>32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19</v>
      </c>
      <c r="K1344" s="3">
        <f>I1344-J1344</f>
        <v>6</v>
      </c>
      <c r="L1344" s="3" t="str">
        <f t="shared" si="141"/>
        <v>EXCELENTE</v>
      </c>
      <c r="M1344">
        <v>27</v>
      </c>
      <c r="N1344">
        <v>100</v>
      </c>
      <c r="O1344">
        <v>44.05594405594406</v>
      </c>
    </row>
    <row r="1345" spans="1:15" customFormat="1" hidden="1" x14ac:dyDescent="0.25">
      <c r="A1345" s="11">
        <v>46042</v>
      </c>
      <c r="B1345" t="s">
        <v>64</v>
      </c>
      <c r="C1345" t="s">
        <v>23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13</v>
      </c>
      <c r="K1345" s="3">
        <f>I1345-J1345</f>
        <v>-2</v>
      </c>
      <c r="L1345" s="3" t="str">
        <f t="shared" si="141"/>
        <v>ATENÇÃO</v>
      </c>
      <c r="M1345">
        <v>11</v>
      </c>
      <c r="N1345">
        <v>100</v>
      </c>
      <c r="O1345">
        <v>31.872509960159359</v>
      </c>
    </row>
    <row r="1346" spans="1:15" customFormat="1" hidden="1" x14ac:dyDescent="0.25">
      <c r="A1346" s="11">
        <v>46042</v>
      </c>
      <c r="B1346" t="s">
        <v>46</v>
      </c>
      <c r="C1346" t="s">
        <v>32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19</v>
      </c>
      <c r="K1346" s="3">
        <f>I1346-J1346</f>
        <v>7</v>
      </c>
      <c r="L1346" s="3" t="str">
        <f t="shared" si="141"/>
        <v>EXCELENTE</v>
      </c>
      <c r="M1346">
        <v>23</v>
      </c>
      <c r="N1346">
        <v>98.41</v>
      </c>
      <c r="O1346">
        <v>29.22465208747515</v>
      </c>
    </row>
    <row r="1347" spans="1:15" customFormat="1" hidden="1" x14ac:dyDescent="0.25">
      <c r="A1347" s="11">
        <v>46043</v>
      </c>
      <c r="B1347" t="s">
        <v>47</v>
      </c>
      <c r="C1347" t="s">
        <v>48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16</v>
      </c>
      <c r="K1347" s="3">
        <f>I1347-J1347</f>
        <v>7</v>
      </c>
      <c r="L1347" s="3" t="str">
        <f t="shared" si="141"/>
        <v>EXCELENTE</v>
      </c>
      <c r="M1347">
        <v>19</v>
      </c>
      <c r="N1347">
        <v>96.81</v>
      </c>
      <c r="O1347">
        <v>27.980535279805348</v>
      </c>
    </row>
    <row r="1348" spans="1:15" customFormat="1" hidden="1" x14ac:dyDescent="0.25">
      <c r="A1348" s="11">
        <v>46043</v>
      </c>
      <c r="B1348" t="s">
        <v>31</v>
      </c>
      <c r="C1348" t="s">
        <v>32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 t="shared" si="141"/>
        <v>BOM</v>
      </c>
      <c r="M1348">
        <v>28</v>
      </c>
      <c r="N1348">
        <v>98.73</v>
      </c>
      <c r="O1348">
        <v>35.756385068762278</v>
      </c>
    </row>
    <row r="1349" spans="1:15" customFormat="1" hidden="1" x14ac:dyDescent="0.25">
      <c r="A1349" s="11">
        <v>46043</v>
      </c>
      <c r="B1349" t="s">
        <v>59</v>
      </c>
      <c r="C1349" t="s">
        <v>23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13</v>
      </c>
      <c r="K1349" s="3">
        <f>I1349-J1349</f>
        <v>8</v>
      </c>
      <c r="L1349" s="3" t="str">
        <f t="shared" si="141"/>
        <v>EXCELENTE</v>
      </c>
      <c r="M1349">
        <v>18</v>
      </c>
      <c r="N1349">
        <v>98.32</v>
      </c>
      <c r="O1349">
        <v>26.763485477178421</v>
      </c>
    </row>
    <row r="1350" spans="1:15" customFormat="1" hidden="1" x14ac:dyDescent="0.25">
      <c r="A1350" s="11">
        <v>46043</v>
      </c>
      <c r="B1350" t="s">
        <v>33</v>
      </c>
      <c r="C1350" t="s">
        <v>32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20</v>
      </c>
      <c r="K1350" s="3">
        <f>I1350-J1350</f>
        <v>0</v>
      </c>
      <c r="L1350" s="3" t="str">
        <f t="shared" si="141"/>
        <v>BOM</v>
      </c>
      <c r="M1350">
        <v>20</v>
      </c>
      <c r="N1350">
        <v>99.19</v>
      </c>
      <c r="O1350">
        <v>27.637130801687761</v>
      </c>
    </row>
    <row r="1351" spans="1:15" customFormat="1" hidden="1" x14ac:dyDescent="0.25">
      <c r="A1351" s="11">
        <v>46043</v>
      </c>
      <c r="B1351" t="s">
        <v>15</v>
      </c>
      <c r="C1351" t="s">
        <v>16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6</v>
      </c>
      <c r="K1351" s="3">
        <f>I1351-J1351</f>
        <v>3</v>
      </c>
      <c r="L1351" s="3" t="str">
        <f t="shared" ref="L1351:L1414" si="148">IF(K1351&lt;-5,"CRÍTICO",IF(K1351&lt;0,"ATENÇÃO",IF(K1351&lt;=5,"BOM","EXCELENTE")))</f>
        <v>BOM</v>
      </c>
      <c r="M1351">
        <v>6</v>
      </c>
      <c r="N1351">
        <v>100</v>
      </c>
      <c r="O1351">
        <v>39.568345323741013</v>
      </c>
    </row>
    <row r="1352" spans="1:15" customFormat="1" hidden="1" x14ac:dyDescent="0.25">
      <c r="A1352" s="11">
        <v>46043</v>
      </c>
      <c r="B1352" t="s">
        <v>49</v>
      </c>
      <c r="C1352" t="s">
        <v>48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9</v>
      </c>
      <c r="L1352" s="3" t="str">
        <f t="shared" si="148"/>
        <v>EXCELENTE</v>
      </c>
      <c r="M1352">
        <v>25</v>
      </c>
      <c r="N1352">
        <v>98.54</v>
      </c>
      <c r="O1352">
        <v>28.544776119402989</v>
      </c>
    </row>
    <row r="1353" spans="1:15" customFormat="1" hidden="1" x14ac:dyDescent="0.25">
      <c r="A1353" s="11">
        <v>46043</v>
      </c>
      <c r="B1353" t="s">
        <v>50</v>
      </c>
      <c r="C1353" t="s">
        <v>48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16</v>
      </c>
      <c r="K1353" s="3">
        <f>I1353-J1353</f>
        <v>-4</v>
      </c>
      <c r="L1353" s="3" t="str">
        <f t="shared" si="148"/>
        <v>ATENÇÃO</v>
      </c>
      <c r="M1353">
        <v>12</v>
      </c>
      <c r="N1353">
        <v>100</v>
      </c>
      <c r="O1353">
        <v>34.366925064599492</v>
      </c>
    </row>
    <row r="1354" spans="1:15" customFormat="1" hidden="1" x14ac:dyDescent="0.25">
      <c r="A1354" s="11">
        <v>46043</v>
      </c>
      <c r="B1354" t="s">
        <v>17</v>
      </c>
      <c r="C1354" t="s">
        <v>16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 t="shared" si="148"/>
        <v>BOM</v>
      </c>
      <c r="M1354">
        <v>0</v>
      </c>
      <c r="N1354">
        <v>0</v>
      </c>
      <c r="O1354">
        <v>0</v>
      </c>
    </row>
    <row r="1355" spans="1:15" customFormat="1" hidden="1" x14ac:dyDescent="0.25">
      <c r="A1355" s="11">
        <v>46043</v>
      </c>
      <c r="B1355" t="s">
        <v>60</v>
      </c>
      <c r="C1355" t="s">
        <v>23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12</v>
      </c>
      <c r="L1355" s="3" t="str">
        <f t="shared" si="148"/>
        <v>EXCELENTE</v>
      </c>
      <c r="M1355">
        <v>22</v>
      </c>
      <c r="N1355">
        <v>100</v>
      </c>
      <c r="O1355">
        <v>29.518072289156631</v>
      </c>
    </row>
    <row r="1356" spans="1:15" customFormat="1" hidden="1" x14ac:dyDescent="0.25">
      <c r="A1356" s="11">
        <v>46043</v>
      </c>
      <c r="B1356" t="s">
        <v>34</v>
      </c>
      <c r="C1356" t="s">
        <v>32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20</v>
      </c>
      <c r="K1356" s="3">
        <f>I1356-J1356</f>
        <v>7</v>
      </c>
      <c r="L1356" s="3" t="str">
        <f t="shared" si="148"/>
        <v>EXCELENTE</v>
      </c>
      <c r="M1356">
        <v>24</v>
      </c>
      <c r="N1356">
        <v>97.45</v>
      </c>
      <c r="O1356">
        <v>41.421143847487002</v>
      </c>
    </row>
    <row r="1357" spans="1:15" customFormat="1" hidden="1" x14ac:dyDescent="0.25">
      <c r="A1357" s="11">
        <v>46043</v>
      </c>
      <c r="B1357" t="s">
        <v>51</v>
      </c>
      <c r="C1357" t="s">
        <v>48</v>
      </c>
      <c r="D1357">
        <v>25</v>
      </c>
      <c r="E1357">
        <v>19</v>
      </c>
      <c r="F1357">
        <v>10.4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 t="shared" si="148"/>
        <v>BOM</v>
      </c>
      <c r="M1357">
        <v>19</v>
      </c>
      <c r="N1357">
        <v>96.58</v>
      </c>
      <c r="O1357">
        <v>30.396475770925111</v>
      </c>
    </row>
    <row r="1358" spans="1:15" customFormat="1" hidden="1" x14ac:dyDescent="0.25">
      <c r="A1358" s="11">
        <v>46043</v>
      </c>
      <c r="B1358" t="s">
        <v>61</v>
      </c>
      <c r="C1358" t="s">
        <v>23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13</v>
      </c>
      <c r="K1358" s="3">
        <f>I1358-J1358</f>
        <v>7</v>
      </c>
      <c r="L1358" s="3" t="str">
        <f t="shared" si="148"/>
        <v>EXCELENTE</v>
      </c>
      <c r="M1358">
        <v>27</v>
      </c>
      <c r="N1358">
        <v>100</v>
      </c>
      <c r="O1358">
        <v>27.44282744282744</v>
      </c>
    </row>
    <row r="1359" spans="1:15" customFormat="1" hidden="1" x14ac:dyDescent="0.25">
      <c r="A1359" s="11">
        <v>46043</v>
      </c>
      <c r="B1359" t="s">
        <v>35</v>
      </c>
      <c r="C1359" t="s">
        <v>32</v>
      </c>
      <c r="D1359">
        <v>19</v>
      </c>
      <c r="E1359">
        <v>17</v>
      </c>
      <c r="F1359">
        <v>25.25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48"/>
        <v>BOM</v>
      </c>
      <c r="M1359">
        <v>19</v>
      </c>
      <c r="N1359">
        <v>99.49</v>
      </c>
      <c r="O1359">
        <v>40.200000000000003</v>
      </c>
    </row>
    <row r="1360" spans="1:15" customFormat="1" hidden="1" x14ac:dyDescent="0.25">
      <c r="A1360" s="11">
        <v>46043</v>
      </c>
      <c r="B1360" t="s">
        <v>18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 t="shared" si="148"/>
        <v>BOM</v>
      </c>
      <c r="M1360">
        <v>0</v>
      </c>
      <c r="N1360">
        <v>100</v>
      </c>
      <c r="O1360">
        <v>25</v>
      </c>
    </row>
    <row r="1361" spans="1:15" customFormat="1" hidden="1" x14ac:dyDescent="0.25">
      <c r="A1361" s="11">
        <v>46043</v>
      </c>
      <c r="B1361" t="s">
        <v>52</v>
      </c>
      <c r="C1361" t="s">
        <v>48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 t="shared" ref="I1361:I1367" si="149">E1361+G1361+H1361</f>
        <v>30</v>
      </c>
      <c r="J1361" s="3">
        <f t="shared" ref="J1361:J1367" si="150"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16</v>
      </c>
      <c r="K1361" s="3">
        <f t="shared" ref="K1361:K1367" si="151">I1361-J1361</f>
        <v>14</v>
      </c>
      <c r="L1361" s="3" t="str">
        <f t="shared" si="148"/>
        <v>EXCELENTE</v>
      </c>
      <c r="M1361">
        <v>25</v>
      </c>
      <c r="N1361">
        <v>100</v>
      </c>
      <c r="O1361">
        <v>34.15094339622641</v>
      </c>
    </row>
    <row r="1362" spans="1:15" customFormat="1" hidden="1" x14ac:dyDescent="0.25">
      <c r="A1362" s="11">
        <v>46043</v>
      </c>
      <c r="B1362" t="s">
        <v>36</v>
      </c>
      <c r="C1362" t="s">
        <v>32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 t="shared" si="149"/>
        <v>22</v>
      </c>
      <c r="J1362" s="3">
        <f t="shared" si="150"/>
        <v>20</v>
      </c>
      <c r="K1362" s="3">
        <f t="shared" si="151"/>
        <v>2</v>
      </c>
      <c r="L1362" s="3" t="str">
        <f t="shared" si="148"/>
        <v>BOM</v>
      </c>
      <c r="M1362">
        <v>21</v>
      </c>
      <c r="N1362">
        <v>100</v>
      </c>
      <c r="O1362">
        <v>32.731376975169297</v>
      </c>
    </row>
    <row r="1363" spans="1:15" customFormat="1" hidden="1" x14ac:dyDescent="0.25">
      <c r="A1363" s="11">
        <v>46043</v>
      </c>
      <c r="B1363" t="s">
        <v>53</v>
      </c>
      <c r="C1363" t="s">
        <v>48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 t="shared" si="149"/>
        <v>8</v>
      </c>
      <c r="J1363" s="3">
        <f t="shared" si="150"/>
        <v>16</v>
      </c>
      <c r="K1363" s="3">
        <f t="shared" si="151"/>
        <v>-8</v>
      </c>
      <c r="L1363" s="3" t="str">
        <f t="shared" si="148"/>
        <v>CRÍTICO</v>
      </c>
      <c r="M1363">
        <v>8</v>
      </c>
      <c r="N1363">
        <v>99.31</v>
      </c>
      <c r="O1363">
        <v>30.96234309623431</v>
      </c>
    </row>
    <row r="1364" spans="1:15" customFormat="1" hidden="1" x14ac:dyDescent="0.25">
      <c r="A1364" s="11">
        <v>46077</v>
      </c>
      <c r="B1364" t="s">
        <v>22</v>
      </c>
      <c r="C1364" t="s">
        <v>23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 t="shared" si="149"/>
        <v>25</v>
      </c>
      <c r="J1364" s="3">
        <f t="shared" si="150"/>
        <v>13</v>
      </c>
      <c r="K1364" s="3">
        <f t="shared" si="151"/>
        <v>12</v>
      </c>
      <c r="L1364" s="3" t="str">
        <f t="shared" si="148"/>
        <v>EXCELENTE</v>
      </c>
      <c r="M1364">
        <v>24</v>
      </c>
      <c r="N1364">
        <v>96.67</v>
      </c>
      <c r="O1364">
        <v>31.451612903225811</v>
      </c>
    </row>
    <row r="1365" spans="1:15" customFormat="1" hidden="1" x14ac:dyDescent="0.25">
      <c r="A1365" s="11">
        <v>46043</v>
      </c>
      <c r="B1365" t="s">
        <v>54</v>
      </c>
      <c r="C1365" t="s">
        <v>48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 t="shared" si="149"/>
        <v>22</v>
      </c>
      <c r="J1365" s="3">
        <f t="shared" si="150"/>
        <v>16</v>
      </c>
      <c r="K1365" s="3">
        <f t="shared" si="151"/>
        <v>6</v>
      </c>
      <c r="L1365" s="3" t="str">
        <f t="shared" si="148"/>
        <v>EXCELENTE</v>
      </c>
      <c r="M1365">
        <v>21</v>
      </c>
      <c r="N1365">
        <v>100</v>
      </c>
      <c r="O1365">
        <v>27.676767676767678</v>
      </c>
    </row>
    <row r="1366" spans="1:15" customFormat="1" hidden="1" x14ac:dyDescent="0.25">
      <c r="A1366" s="11">
        <v>46043</v>
      </c>
      <c r="B1366" t="s">
        <v>37</v>
      </c>
      <c r="C1366" t="s">
        <v>32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 t="shared" si="149"/>
        <v>29</v>
      </c>
      <c r="J1366" s="3">
        <f t="shared" si="150"/>
        <v>20</v>
      </c>
      <c r="K1366" s="3">
        <f t="shared" si="151"/>
        <v>9</v>
      </c>
      <c r="L1366" s="3" t="str">
        <f t="shared" si="148"/>
        <v>EXCELENTE</v>
      </c>
      <c r="M1366">
        <v>26</v>
      </c>
      <c r="N1366">
        <v>100</v>
      </c>
      <c r="O1366">
        <v>31.17723156532988</v>
      </c>
    </row>
    <row r="1367" spans="1:15" customFormat="1" hidden="1" x14ac:dyDescent="0.25">
      <c r="A1367" s="11">
        <v>46043</v>
      </c>
      <c r="B1367" t="s">
        <v>38</v>
      </c>
      <c r="C1367" t="s">
        <v>32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 t="shared" si="149"/>
        <v>12</v>
      </c>
      <c r="J1367" s="3">
        <f t="shared" si="150"/>
        <v>20</v>
      </c>
      <c r="K1367" s="3">
        <f t="shared" si="151"/>
        <v>-8</v>
      </c>
      <c r="L1367" s="3" t="str">
        <f t="shared" si="148"/>
        <v>CRÍTICO</v>
      </c>
      <c r="M1367">
        <v>11</v>
      </c>
      <c r="N1367">
        <v>100</v>
      </c>
      <c r="O1367">
        <v>27.609427609427609</v>
      </c>
    </row>
    <row r="1368" spans="1:15" customFormat="1" hidden="1" x14ac:dyDescent="0.25">
      <c r="A1368" s="11">
        <v>46043</v>
      </c>
      <c r="B1368" t="s">
        <v>55</v>
      </c>
      <c r="C1368" t="s">
        <v>48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48"/>
        <v>BOM</v>
      </c>
      <c r="M1368">
        <v>0</v>
      </c>
      <c r="N1368">
        <v>96.4</v>
      </c>
      <c r="O1368">
        <v>28.764044943820231</v>
      </c>
    </row>
    <row r="1369" spans="1:15" customFormat="1" hidden="1" x14ac:dyDescent="0.25">
      <c r="A1369" s="11">
        <v>46043</v>
      </c>
      <c r="B1369" t="s">
        <v>39</v>
      </c>
      <c r="C1369" t="s">
        <v>32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 t="shared" si="148"/>
        <v>BOM</v>
      </c>
      <c r="M1369">
        <v>0</v>
      </c>
      <c r="N1369">
        <v>100</v>
      </c>
      <c r="O1369">
        <v>33.980582524271853</v>
      </c>
    </row>
    <row r="1370" spans="1:15" customFormat="1" hidden="1" x14ac:dyDescent="0.25">
      <c r="A1370" s="11">
        <v>46043</v>
      </c>
      <c r="B1370" t="s">
        <v>25</v>
      </c>
      <c r="C1370" t="s">
        <v>26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 t="shared" si="148"/>
        <v>ATENÇÃO</v>
      </c>
      <c r="M1370">
        <v>9</v>
      </c>
      <c r="N1370">
        <v>97.56</v>
      </c>
      <c r="O1370">
        <v>32.515337423312893</v>
      </c>
    </row>
    <row r="1371" spans="1:15" customFormat="1" hidden="1" x14ac:dyDescent="0.25">
      <c r="A1371" s="11">
        <v>46043</v>
      </c>
      <c r="B1371" t="s">
        <v>40</v>
      </c>
      <c r="C1371" t="s">
        <v>32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20</v>
      </c>
      <c r="K1371" s="3">
        <f>I1371-J1371</f>
        <v>4</v>
      </c>
      <c r="L1371" s="3" t="str">
        <f t="shared" si="148"/>
        <v>BOM</v>
      </c>
      <c r="M1371">
        <v>21</v>
      </c>
      <c r="N1371">
        <v>97.11</v>
      </c>
      <c r="O1371">
        <v>37.408312958435211</v>
      </c>
    </row>
    <row r="1372" spans="1:15" customFormat="1" hidden="1" x14ac:dyDescent="0.25">
      <c r="A1372" s="11">
        <v>46043</v>
      </c>
      <c r="B1372" t="s">
        <v>27</v>
      </c>
      <c r="C1372" t="s">
        <v>26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 t="shared" si="148"/>
        <v>BOM</v>
      </c>
      <c r="M1372">
        <v>0</v>
      </c>
      <c r="N1372">
        <v>0</v>
      </c>
      <c r="O1372">
        <v>0</v>
      </c>
    </row>
    <row r="1373" spans="1:15" customFormat="1" hidden="1" x14ac:dyDescent="0.25">
      <c r="A1373" s="11">
        <v>46043</v>
      </c>
      <c r="B1373" t="s">
        <v>41</v>
      </c>
      <c r="C1373" t="s">
        <v>32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 t="shared" si="148"/>
        <v>ATENÇÃO</v>
      </c>
      <c r="M1373">
        <v>21</v>
      </c>
      <c r="N1373">
        <v>100</v>
      </c>
      <c r="O1373">
        <v>30.470347648261761</v>
      </c>
    </row>
    <row r="1374" spans="1:15" customFormat="1" hidden="1" x14ac:dyDescent="0.25">
      <c r="A1374" s="11">
        <v>46043</v>
      </c>
      <c r="B1374" t="s">
        <v>56</v>
      </c>
      <c r="C1374" t="s">
        <v>48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16</v>
      </c>
      <c r="K1374" s="3">
        <f>I1374-J1374</f>
        <v>11</v>
      </c>
      <c r="L1374" s="3" t="str">
        <f t="shared" si="148"/>
        <v>EXCELENTE</v>
      </c>
      <c r="M1374">
        <v>24</v>
      </c>
      <c r="N1374">
        <v>100</v>
      </c>
      <c r="O1374">
        <v>32.371134020618562</v>
      </c>
    </row>
    <row r="1375" spans="1:15" customFormat="1" hidden="1" x14ac:dyDescent="0.25">
      <c r="A1375" s="11">
        <v>46043</v>
      </c>
      <c r="B1375" t="s">
        <v>57</v>
      </c>
      <c r="C1375" t="s">
        <v>48</v>
      </c>
      <c r="D1375">
        <v>26</v>
      </c>
      <c r="E1375">
        <v>23</v>
      </c>
      <c r="F1375">
        <v>13.38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 t="shared" si="148"/>
        <v>BOM</v>
      </c>
      <c r="M1375">
        <v>19</v>
      </c>
      <c r="N1375">
        <v>98.32</v>
      </c>
      <c r="O1375">
        <v>32.318501170960189</v>
      </c>
    </row>
    <row r="1376" spans="1:15" customFormat="1" hidden="1" x14ac:dyDescent="0.25">
      <c r="A1376" s="11">
        <v>46043</v>
      </c>
      <c r="B1376" t="s">
        <v>42</v>
      </c>
      <c r="C1376" t="s">
        <v>32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 t="shared" ref="I1376:I1381" si="152">E1376+G1376+H1376</f>
        <v>19</v>
      </c>
      <c r="J1376" s="3">
        <f t="shared" ref="J1376:J1381" si="153"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 t="shared" ref="K1376:K1381" si="154">I1376-J1376</f>
        <v>-1</v>
      </c>
      <c r="L1376" s="3" t="str">
        <f t="shared" si="148"/>
        <v>ATENÇÃO</v>
      </c>
      <c r="M1376">
        <v>13</v>
      </c>
      <c r="N1376">
        <v>96.43</v>
      </c>
      <c r="O1376">
        <v>27.015250544662312</v>
      </c>
    </row>
    <row r="1377" spans="1:15" customFormat="1" hidden="1" x14ac:dyDescent="0.25">
      <c r="A1377" s="11">
        <v>46043</v>
      </c>
      <c r="B1377" t="s">
        <v>62</v>
      </c>
      <c r="C1377" t="s">
        <v>23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 t="shared" si="152"/>
        <v>17</v>
      </c>
      <c r="J1377" s="3">
        <f t="shared" si="153"/>
        <v>13</v>
      </c>
      <c r="K1377" s="3">
        <f t="shared" si="154"/>
        <v>4</v>
      </c>
      <c r="L1377" s="3" t="str">
        <f t="shared" si="148"/>
        <v>BOM</v>
      </c>
      <c r="M1377">
        <v>20</v>
      </c>
      <c r="N1377">
        <v>98.89</v>
      </c>
      <c r="O1377">
        <v>28.021978021978018</v>
      </c>
    </row>
    <row r="1378" spans="1:15" customFormat="1" hidden="1" x14ac:dyDescent="0.25">
      <c r="A1378" s="11">
        <v>46043</v>
      </c>
      <c r="B1378" t="s">
        <v>19</v>
      </c>
      <c r="C1378" t="s">
        <v>16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 t="shared" si="152"/>
        <v>8</v>
      </c>
      <c r="J1378" s="3">
        <f t="shared" si="153"/>
        <v>6</v>
      </c>
      <c r="K1378" s="3">
        <f t="shared" si="154"/>
        <v>2</v>
      </c>
      <c r="L1378" s="3" t="str">
        <f t="shared" si="148"/>
        <v>BOM</v>
      </c>
      <c r="M1378">
        <v>4</v>
      </c>
      <c r="N1378">
        <v>100</v>
      </c>
      <c r="O1378">
        <v>33.333333333333329</v>
      </c>
    </row>
    <row r="1379" spans="1:15" customFormat="1" hidden="1" x14ac:dyDescent="0.25">
      <c r="A1379" s="11">
        <v>46043</v>
      </c>
      <c r="B1379" t="s">
        <v>43</v>
      </c>
      <c r="C1379" t="s">
        <v>32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 t="shared" si="152"/>
        <v>27</v>
      </c>
      <c r="J1379" s="3">
        <f t="shared" si="153"/>
        <v>20</v>
      </c>
      <c r="K1379" s="3">
        <f t="shared" si="154"/>
        <v>7</v>
      </c>
      <c r="L1379" s="3" t="str">
        <f t="shared" si="148"/>
        <v>EXCELENTE</v>
      </c>
      <c r="M1379">
        <v>25</v>
      </c>
      <c r="N1379">
        <v>100</v>
      </c>
      <c r="O1379">
        <v>27.43362831858407</v>
      </c>
    </row>
    <row r="1380" spans="1:15" customFormat="1" hidden="1" x14ac:dyDescent="0.25">
      <c r="A1380" s="11">
        <v>46043</v>
      </c>
      <c r="B1380" t="s">
        <v>44</v>
      </c>
      <c r="C1380" t="s">
        <v>32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 t="shared" si="152"/>
        <v>27</v>
      </c>
      <c r="J1380" s="3">
        <f t="shared" si="153"/>
        <v>20</v>
      </c>
      <c r="K1380" s="3">
        <f t="shared" si="154"/>
        <v>7</v>
      </c>
      <c r="L1380" s="3" t="str">
        <f t="shared" si="148"/>
        <v>EXCELENTE</v>
      </c>
      <c r="M1380">
        <v>25</v>
      </c>
      <c r="N1380">
        <v>98.65</v>
      </c>
      <c r="O1380">
        <v>30.978260869565219</v>
      </c>
    </row>
    <row r="1381" spans="1:15" customFormat="1" hidden="1" x14ac:dyDescent="0.25">
      <c r="A1381" s="11">
        <v>46043</v>
      </c>
      <c r="B1381" t="s">
        <v>20</v>
      </c>
      <c r="C1381" t="s">
        <v>16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 t="shared" si="152"/>
        <v>5</v>
      </c>
      <c r="J1381" s="3">
        <f t="shared" si="153"/>
        <v>6</v>
      </c>
      <c r="K1381" s="3">
        <f t="shared" si="154"/>
        <v>-1</v>
      </c>
      <c r="L1381" s="3" t="str">
        <f t="shared" si="148"/>
        <v>ATENÇÃO</v>
      </c>
      <c r="M1381">
        <v>2</v>
      </c>
      <c r="N1381">
        <v>100</v>
      </c>
      <c r="O1381">
        <v>12</v>
      </c>
    </row>
    <row r="1382" spans="1:15" customFormat="1" hidden="1" x14ac:dyDescent="0.25">
      <c r="A1382" s="11">
        <v>46043</v>
      </c>
      <c r="B1382" t="s">
        <v>28</v>
      </c>
      <c r="C1382" t="s">
        <v>26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 t="shared" si="148"/>
        <v>BOM</v>
      </c>
      <c r="M1382">
        <v>0</v>
      </c>
      <c r="N1382">
        <v>0</v>
      </c>
      <c r="O1382">
        <v>0</v>
      </c>
    </row>
    <row r="1383" spans="1:15" customFormat="1" hidden="1" x14ac:dyDescent="0.25">
      <c r="A1383" s="11">
        <v>46043</v>
      </c>
      <c r="B1383" t="s">
        <v>58</v>
      </c>
      <c r="C1383" t="s">
        <v>48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16</v>
      </c>
      <c r="K1383" s="3">
        <f>I1383-J1383</f>
        <v>2</v>
      </c>
      <c r="L1383" s="3" t="str">
        <f t="shared" si="148"/>
        <v>BOM</v>
      </c>
      <c r="M1383">
        <v>16</v>
      </c>
      <c r="N1383">
        <v>97.56</v>
      </c>
      <c r="O1383">
        <v>31.067961165048541</v>
      </c>
    </row>
    <row r="1384" spans="1:15" customFormat="1" hidden="1" x14ac:dyDescent="0.25">
      <c r="A1384" s="11">
        <v>46043</v>
      </c>
      <c r="B1384" t="s">
        <v>29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48"/>
        <v>BOM</v>
      </c>
      <c r="M1384">
        <v>0</v>
      </c>
      <c r="N1384">
        <v>0</v>
      </c>
      <c r="O1384">
        <v>0</v>
      </c>
    </row>
    <row r="1385" spans="1:15" customFormat="1" hidden="1" x14ac:dyDescent="0.25">
      <c r="A1385" s="11">
        <v>46043</v>
      </c>
      <c r="B1385" t="s">
        <v>30</v>
      </c>
      <c r="C1385" t="s">
        <v>26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48"/>
        <v>BOM</v>
      </c>
      <c r="M1385">
        <v>0</v>
      </c>
      <c r="N1385">
        <v>0</v>
      </c>
      <c r="O1385">
        <v>0</v>
      </c>
    </row>
    <row r="1386" spans="1:15" customFormat="1" hidden="1" x14ac:dyDescent="0.25">
      <c r="A1386" s="11">
        <v>46043</v>
      </c>
      <c r="B1386" t="s">
        <v>21</v>
      </c>
      <c r="C1386" t="s">
        <v>16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48"/>
        <v>BOM</v>
      </c>
      <c r="M1386">
        <v>0</v>
      </c>
      <c r="N1386">
        <v>0</v>
      </c>
      <c r="O1386">
        <v>0</v>
      </c>
    </row>
    <row r="1387" spans="1:15" customFormat="1" hidden="1" x14ac:dyDescent="0.25">
      <c r="A1387" s="11">
        <v>46043</v>
      </c>
      <c r="B1387" t="s">
        <v>63</v>
      </c>
      <c r="C1387" t="s">
        <v>23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 t="shared" si="148"/>
        <v>BOM</v>
      </c>
      <c r="M1387">
        <v>0</v>
      </c>
      <c r="N1387">
        <v>100</v>
      </c>
      <c r="O1387">
        <v>53.846153846153847</v>
      </c>
    </row>
    <row r="1388" spans="1:15" customFormat="1" hidden="1" x14ac:dyDescent="0.25">
      <c r="A1388" s="11">
        <v>46043</v>
      </c>
      <c r="B1388" t="s">
        <v>45</v>
      </c>
      <c r="C1388" t="s">
        <v>32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20</v>
      </c>
      <c r="K1388" s="3">
        <f>I1388-J1388</f>
        <v>0</v>
      </c>
      <c r="L1388" s="3" t="str">
        <f t="shared" si="148"/>
        <v>BOM</v>
      </c>
      <c r="M1388">
        <v>19</v>
      </c>
      <c r="N1388">
        <v>100</v>
      </c>
      <c r="O1388">
        <v>44.05594405594406</v>
      </c>
    </row>
    <row r="1389" spans="1:15" customFormat="1" hidden="1" x14ac:dyDescent="0.25">
      <c r="A1389" s="11">
        <v>46043</v>
      </c>
      <c r="B1389" t="s">
        <v>64</v>
      </c>
      <c r="C1389" t="s">
        <v>23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13</v>
      </c>
      <c r="K1389" s="3">
        <f>I1389-J1389</f>
        <v>1</v>
      </c>
      <c r="L1389" s="3" t="str">
        <f t="shared" si="148"/>
        <v>BOM</v>
      </c>
      <c r="M1389">
        <v>15</v>
      </c>
      <c r="N1389">
        <v>100</v>
      </c>
      <c r="O1389">
        <v>31.872509960159359</v>
      </c>
    </row>
    <row r="1390" spans="1:15" customFormat="1" hidden="1" x14ac:dyDescent="0.25">
      <c r="A1390" s="11">
        <v>46043</v>
      </c>
      <c r="B1390" t="s">
        <v>46</v>
      </c>
      <c r="C1390" t="s">
        <v>32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20</v>
      </c>
      <c r="K1390" s="3">
        <f>I1390-J1390</f>
        <v>-2</v>
      </c>
      <c r="L1390" s="3" t="str">
        <f t="shared" si="148"/>
        <v>ATENÇÃO</v>
      </c>
      <c r="M1390">
        <v>17</v>
      </c>
      <c r="N1390">
        <v>98.41</v>
      </c>
      <c r="O1390">
        <v>29.22465208747515</v>
      </c>
    </row>
    <row r="1391" spans="1:15" customFormat="1" hidden="1" x14ac:dyDescent="0.25">
      <c r="A1391" s="11">
        <v>46044</v>
      </c>
      <c r="B1391" t="s">
        <v>47</v>
      </c>
      <c r="C1391" t="s">
        <v>48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17</v>
      </c>
      <c r="K1391" s="3">
        <f>I1391-J1391</f>
        <v>6</v>
      </c>
      <c r="L1391" s="3" t="str">
        <f t="shared" si="148"/>
        <v>EXCELENTE</v>
      </c>
      <c r="M1391">
        <v>15</v>
      </c>
      <c r="N1391">
        <v>96.81</v>
      </c>
      <c r="O1391">
        <v>27.980535279805348</v>
      </c>
    </row>
    <row r="1392" spans="1:15" customFormat="1" hidden="1" x14ac:dyDescent="0.25">
      <c r="A1392" s="11">
        <v>46044</v>
      </c>
      <c r="B1392" t="s">
        <v>31</v>
      </c>
      <c r="C1392" t="s">
        <v>32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 t="shared" si="148"/>
        <v>BOM</v>
      </c>
      <c r="M1392">
        <v>27</v>
      </c>
      <c r="N1392">
        <v>98.73</v>
      </c>
      <c r="O1392">
        <v>35.756385068762278</v>
      </c>
    </row>
    <row r="1393" spans="1:15" customFormat="1" hidden="1" x14ac:dyDescent="0.25">
      <c r="A1393" s="11">
        <v>46044</v>
      </c>
      <c r="B1393" t="s">
        <v>59</v>
      </c>
      <c r="C1393" t="s">
        <v>23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14</v>
      </c>
      <c r="K1393" s="3">
        <f>I1393-J1393</f>
        <v>4</v>
      </c>
      <c r="L1393" s="3" t="str">
        <f t="shared" si="148"/>
        <v>BOM</v>
      </c>
      <c r="M1393">
        <v>20</v>
      </c>
      <c r="N1393">
        <v>98.32</v>
      </c>
      <c r="O1393">
        <v>26.763485477178421</v>
      </c>
    </row>
    <row r="1394" spans="1:15" customFormat="1" hidden="1" x14ac:dyDescent="0.25">
      <c r="A1394" s="11">
        <v>46044</v>
      </c>
      <c r="B1394" t="s">
        <v>33</v>
      </c>
      <c r="C1394" t="s">
        <v>32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22</v>
      </c>
      <c r="K1394" s="3">
        <f>I1394-J1394</f>
        <v>7</v>
      </c>
      <c r="L1394" s="3" t="str">
        <f t="shared" si="148"/>
        <v>EXCELENTE</v>
      </c>
      <c r="M1394">
        <v>29</v>
      </c>
      <c r="N1394">
        <v>99.19</v>
      </c>
      <c r="O1394">
        <v>27.637130801687761</v>
      </c>
    </row>
    <row r="1395" spans="1:15" customFormat="1" hidden="1" x14ac:dyDescent="0.25">
      <c r="A1395" s="11">
        <v>46044</v>
      </c>
      <c r="B1395" t="s">
        <v>15</v>
      </c>
      <c r="C1395" t="s">
        <v>16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 t="shared" si="148"/>
        <v>BOM</v>
      </c>
      <c r="M1395">
        <v>9</v>
      </c>
      <c r="N1395">
        <v>100</v>
      </c>
      <c r="O1395">
        <v>39.568345323741013</v>
      </c>
    </row>
    <row r="1396" spans="1:15" customFormat="1" hidden="1" x14ac:dyDescent="0.25">
      <c r="A1396" s="11">
        <v>46044</v>
      </c>
      <c r="B1396" t="s">
        <v>49</v>
      </c>
      <c r="C1396" t="s">
        <v>48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9</v>
      </c>
      <c r="L1396" s="3" t="str">
        <f t="shared" si="148"/>
        <v>EXCELENTE</v>
      </c>
      <c r="M1396">
        <v>25</v>
      </c>
      <c r="N1396">
        <v>98.54</v>
      </c>
      <c r="O1396">
        <v>28.544776119402989</v>
      </c>
    </row>
    <row r="1397" spans="1:15" customFormat="1" hidden="1" x14ac:dyDescent="0.25">
      <c r="A1397" s="11">
        <v>46044</v>
      </c>
      <c r="B1397" t="s">
        <v>50</v>
      </c>
      <c r="C1397" t="s">
        <v>48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17</v>
      </c>
      <c r="K1397" s="3">
        <f>I1397-J1397</f>
        <v>-2</v>
      </c>
      <c r="L1397" s="3" t="str">
        <f t="shared" si="148"/>
        <v>ATENÇÃO</v>
      </c>
      <c r="M1397">
        <v>14</v>
      </c>
      <c r="N1397">
        <v>100</v>
      </c>
      <c r="O1397">
        <v>34.366925064599492</v>
      </c>
    </row>
    <row r="1398" spans="1:15" customFormat="1" hidden="1" x14ac:dyDescent="0.25">
      <c r="A1398" s="11">
        <v>46044</v>
      </c>
      <c r="B1398" t="s">
        <v>17</v>
      </c>
      <c r="C1398" t="s">
        <v>16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 t="shared" si="148"/>
        <v>BOM</v>
      </c>
      <c r="M1398">
        <v>0</v>
      </c>
      <c r="N1398">
        <v>0</v>
      </c>
      <c r="O1398">
        <v>0</v>
      </c>
    </row>
    <row r="1399" spans="1:15" customFormat="1" hidden="1" x14ac:dyDescent="0.25">
      <c r="A1399" s="11">
        <v>46044</v>
      </c>
      <c r="B1399" t="s">
        <v>60</v>
      </c>
      <c r="C1399" t="s">
        <v>23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8</v>
      </c>
      <c r="L1399" s="3" t="str">
        <f t="shared" si="148"/>
        <v>EXCELENTE</v>
      </c>
      <c r="M1399">
        <v>21</v>
      </c>
      <c r="N1399">
        <v>100</v>
      </c>
      <c r="O1399">
        <v>29.518072289156631</v>
      </c>
    </row>
    <row r="1400" spans="1:15" customFormat="1" hidden="1" x14ac:dyDescent="0.25">
      <c r="A1400" s="11">
        <v>46044</v>
      </c>
      <c r="B1400" t="s">
        <v>34</v>
      </c>
      <c r="C1400" t="s">
        <v>32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22</v>
      </c>
      <c r="K1400" s="3">
        <f>I1400-J1400</f>
        <v>7</v>
      </c>
      <c r="L1400" s="3" t="str">
        <f t="shared" si="148"/>
        <v>EXCELENTE</v>
      </c>
      <c r="M1400">
        <v>24</v>
      </c>
      <c r="N1400">
        <v>97.45</v>
      </c>
      <c r="O1400">
        <v>41.421143847487002</v>
      </c>
    </row>
    <row r="1401" spans="1:15" customFormat="1" hidden="1" x14ac:dyDescent="0.25">
      <c r="A1401" s="11">
        <v>46044</v>
      </c>
      <c r="B1401" t="s">
        <v>51</v>
      </c>
      <c r="C1401" t="s">
        <v>48</v>
      </c>
      <c r="D1401">
        <v>29</v>
      </c>
      <c r="E1401">
        <v>24</v>
      </c>
      <c r="F1401">
        <v>12.11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 t="shared" si="148"/>
        <v>BOM</v>
      </c>
      <c r="M1401">
        <v>22</v>
      </c>
      <c r="N1401">
        <v>96.58</v>
      </c>
      <c r="O1401">
        <v>30.396475770925111</v>
      </c>
    </row>
    <row r="1402" spans="1:15" customFormat="1" hidden="1" x14ac:dyDescent="0.25">
      <c r="A1402" s="11">
        <v>46044</v>
      </c>
      <c r="B1402" t="s">
        <v>61</v>
      </c>
      <c r="C1402" t="s">
        <v>23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14</v>
      </c>
      <c r="K1402" s="3">
        <f>I1402-J1402</f>
        <v>-9</v>
      </c>
      <c r="L1402" s="3" t="str">
        <f t="shared" si="148"/>
        <v>CRÍTICO</v>
      </c>
      <c r="M1402">
        <v>7</v>
      </c>
      <c r="N1402">
        <v>100</v>
      </c>
      <c r="O1402">
        <v>27.44282744282744</v>
      </c>
    </row>
    <row r="1403" spans="1:15" customFormat="1" hidden="1" x14ac:dyDescent="0.25">
      <c r="A1403" s="11">
        <v>46044</v>
      </c>
      <c r="B1403" t="s">
        <v>35</v>
      </c>
      <c r="C1403" t="s">
        <v>32</v>
      </c>
      <c r="D1403">
        <v>23</v>
      </c>
      <c r="E1403">
        <v>23</v>
      </c>
      <c r="F1403">
        <v>22.17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48"/>
        <v>BOM</v>
      </c>
      <c r="M1403">
        <v>23</v>
      </c>
      <c r="N1403">
        <v>99.49</v>
      </c>
      <c r="O1403">
        <v>40.200000000000003</v>
      </c>
    </row>
    <row r="1404" spans="1:15" customFormat="1" hidden="1" x14ac:dyDescent="0.25">
      <c r="A1404" s="11">
        <v>46044</v>
      </c>
      <c r="B1404" t="s">
        <v>18</v>
      </c>
      <c r="C1404" t="s">
        <v>16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 t="shared" si="148"/>
        <v>BOM</v>
      </c>
      <c r="M1404">
        <v>0</v>
      </c>
      <c r="N1404">
        <v>100</v>
      </c>
      <c r="O1404">
        <v>25</v>
      </c>
    </row>
    <row r="1405" spans="1:15" customFormat="1" hidden="1" x14ac:dyDescent="0.25">
      <c r="A1405" s="11">
        <v>46044</v>
      </c>
      <c r="B1405" t="s">
        <v>52</v>
      </c>
      <c r="C1405" t="s">
        <v>48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 t="shared" ref="I1405:I1412" si="155">E1405+G1405+H1405</f>
        <v>26</v>
      </c>
      <c r="J1405" s="3">
        <f t="shared" ref="J1405:J1412" si="156"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17</v>
      </c>
      <c r="K1405" s="3">
        <f t="shared" ref="K1405:K1412" si="157">I1405-J1405</f>
        <v>9</v>
      </c>
      <c r="L1405" s="3" t="str">
        <f t="shared" si="148"/>
        <v>EXCELENTE</v>
      </c>
      <c r="M1405">
        <v>24</v>
      </c>
      <c r="N1405">
        <v>100</v>
      </c>
      <c r="O1405">
        <v>34.15094339622641</v>
      </c>
    </row>
    <row r="1406" spans="1:15" customFormat="1" hidden="1" x14ac:dyDescent="0.25">
      <c r="A1406" s="11">
        <v>46044</v>
      </c>
      <c r="B1406" t="s">
        <v>36</v>
      </c>
      <c r="C1406" t="s">
        <v>32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 t="shared" si="155"/>
        <v>17</v>
      </c>
      <c r="J1406" s="3">
        <f t="shared" si="156"/>
        <v>22</v>
      </c>
      <c r="K1406" s="3">
        <f t="shared" si="157"/>
        <v>-5</v>
      </c>
      <c r="L1406" s="3" t="str">
        <f t="shared" si="148"/>
        <v>ATENÇÃO</v>
      </c>
      <c r="M1406">
        <v>17</v>
      </c>
      <c r="N1406">
        <v>100</v>
      </c>
      <c r="O1406">
        <v>32.731376975169297</v>
      </c>
    </row>
    <row r="1407" spans="1:15" customFormat="1" hidden="1" x14ac:dyDescent="0.25">
      <c r="A1407" s="11">
        <v>46044</v>
      </c>
      <c r="B1407" t="s">
        <v>53</v>
      </c>
      <c r="C1407" t="s">
        <v>48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 t="shared" si="155"/>
        <v>20</v>
      </c>
      <c r="J1407" s="3">
        <f t="shared" si="156"/>
        <v>17</v>
      </c>
      <c r="K1407" s="3">
        <f t="shared" si="157"/>
        <v>3</v>
      </c>
      <c r="L1407" s="3" t="str">
        <f t="shared" si="148"/>
        <v>BOM</v>
      </c>
      <c r="M1407">
        <v>19</v>
      </c>
      <c r="N1407">
        <v>99.31</v>
      </c>
      <c r="O1407">
        <v>30.96234309623431</v>
      </c>
    </row>
    <row r="1408" spans="1:15" customFormat="1" hidden="1" x14ac:dyDescent="0.25">
      <c r="A1408" s="11">
        <v>46078</v>
      </c>
      <c r="B1408" t="s">
        <v>22</v>
      </c>
      <c r="C1408" t="s">
        <v>23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 t="shared" si="155"/>
        <v>15</v>
      </c>
      <c r="J1408" s="3">
        <f t="shared" si="156"/>
        <v>13</v>
      </c>
      <c r="K1408" s="3">
        <f t="shared" si="157"/>
        <v>2</v>
      </c>
      <c r="L1408" s="3" t="str">
        <f t="shared" si="148"/>
        <v>BOM</v>
      </c>
      <c r="M1408">
        <v>14</v>
      </c>
      <c r="N1408">
        <v>96.67</v>
      </c>
      <c r="O1408">
        <v>31.451612903225811</v>
      </c>
    </row>
    <row r="1409" spans="1:15" customFormat="1" hidden="1" x14ac:dyDescent="0.25">
      <c r="A1409" s="11">
        <v>46044</v>
      </c>
      <c r="B1409" t="s">
        <v>54</v>
      </c>
      <c r="C1409" t="s">
        <v>48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 t="shared" si="155"/>
        <v>20</v>
      </c>
      <c r="J1409" s="3">
        <f t="shared" si="156"/>
        <v>17</v>
      </c>
      <c r="K1409" s="3">
        <f t="shared" si="157"/>
        <v>3</v>
      </c>
      <c r="L1409" s="3" t="str">
        <f t="shared" si="148"/>
        <v>BOM</v>
      </c>
      <c r="M1409">
        <v>17</v>
      </c>
      <c r="N1409">
        <v>100</v>
      </c>
      <c r="O1409">
        <v>27.676767676767678</v>
      </c>
    </row>
    <row r="1410" spans="1:15" customFormat="1" hidden="1" x14ac:dyDescent="0.25">
      <c r="A1410" s="11">
        <v>46044</v>
      </c>
      <c r="B1410" t="s">
        <v>37</v>
      </c>
      <c r="C1410" t="s">
        <v>32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 t="shared" si="155"/>
        <v>25</v>
      </c>
      <c r="J1410" s="3">
        <f t="shared" si="156"/>
        <v>22</v>
      </c>
      <c r="K1410" s="3">
        <f t="shared" si="157"/>
        <v>3</v>
      </c>
      <c r="L1410" s="3" t="str">
        <f t="shared" si="148"/>
        <v>BOM</v>
      </c>
      <c r="M1410">
        <v>23</v>
      </c>
      <c r="N1410">
        <v>100</v>
      </c>
      <c r="O1410">
        <v>31.17723156532988</v>
      </c>
    </row>
    <row r="1411" spans="1:15" customFormat="1" hidden="1" x14ac:dyDescent="0.25">
      <c r="A1411" s="11">
        <v>46044</v>
      </c>
      <c r="B1411" t="s">
        <v>38</v>
      </c>
      <c r="C1411" t="s">
        <v>32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 t="shared" si="155"/>
        <v>8</v>
      </c>
      <c r="J1411" s="3">
        <f t="shared" si="156"/>
        <v>22</v>
      </c>
      <c r="K1411" s="3">
        <f t="shared" si="157"/>
        <v>-14</v>
      </c>
      <c r="L1411" s="3" t="str">
        <f t="shared" si="148"/>
        <v>CRÍTICO</v>
      </c>
      <c r="M1411">
        <v>5</v>
      </c>
      <c r="N1411">
        <v>100</v>
      </c>
      <c r="O1411">
        <v>27.609427609427609</v>
      </c>
    </row>
    <row r="1412" spans="1:15" customFormat="1" hidden="1" x14ac:dyDescent="0.25">
      <c r="A1412" s="11">
        <v>46044</v>
      </c>
      <c r="B1412" t="s">
        <v>55</v>
      </c>
      <c r="C1412" t="s">
        <v>48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 t="shared" si="155"/>
        <v>20</v>
      </c>
      <c r="J1412" s="3">
        <f t="shared" si="156"/>
        <v>17</v>
      </c>
      <c r="K1412" s="3">
        <f t="shared" si="157"/>
        <v>3</v>
      </c>
      <c r="L1412" s="3" t="str">
        <f t="shared" si="148"/>
        <v>BOM</v>
      </c>
      <c r="M1412">
        <v>19</v>
      </c>
      <c r="N1412">
        <v>96.4</v>
      </c>
      <c r="O1412">
        <v>28.764044943820231</v>
      </c>
    </row>
    <row r="1413" spans="1:15" customFormat="1" hidden="1" x14ac:dyDescent="0.25">
      <c r="A1413" s="11">
        <v>46044</v>
      </c>
      <c r="B1413" t="s">
        <v>39</v>
      </c>
      <c r="C1413" t="s">
        <v>32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 t="shared" si="148"/>
        <v>BOM</v>
      </c>
      <c r="M1413">
        <v>0</v>
      </c>
      <c r="N1413">
        <v>100</v>
      </c>
      <c r="O1413">
        <v>33.980582524271853</v>
      </c>
    </row>
    <row r="1414" spans="1:15" customFormat="1" hidden="1" x14ac:dyDescent="0.25">
      <c r="A1414" s="11">
        <v>46044</v>
      </c>
      <c r="B1414" t="s">
        <v>25</v>
      </c>
      <c r="C1414" t="s">
        <v>26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12</v>
      </c>
      <c r="K1414" s="3">
        <f>I1414-J1414</f>
        <v>-8</v>
      </c>
      <c r="L1414" s="3" t="str">
        <f t="shared" si="148"/>
        <v>CRÍTICO</v>
      </c>
      <c r="M1414">
        <v>4</v>
      </c>
      <c r="N1414">
        <v>97.56</v>
      </c>
      <c r="O1414">
        <v>32.515337423312893</v>
      </c>
    </row>
    <row r="1415" spans="1:15" customFormat="1" hidden="1" x14ac:dyDescent="0.25">
      <c r="A1415" s="11">
        <v>46044</v>
      </c>
      <c r="B1415" t="s">
        <v>40</v>
      </c>
      <c r="C1415" t="s">
        <v>32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22</v>
      </c>
      <c r="K1415" s="3">
        <f>I1415-J1415</f>
        <v>-4</v>
      </c>
      <c r="L1415" s="3" t="str">
        <f t="shared" ref="L1415:L1478" si="158">IF(K1415&lt;-5,"CRÍTICO",IF(K1415&lt;0,"ATENÇÃO",IF(K1415&lt;=5,"BOM","EXCELENTE")))</f>
        <v>ATENÇÃO</v>
      </c>
      <c r="M1415">
        <v>18</v>
      </c>
      <c r="N1415">
        <v>97.11</v>
      </c>
      <c r="O1415">
        <v>37.408312958435211</v>
      </c>
    </row>
    <row r="1416" spans="1:15" customFormat="1" hidden="1" x14ac:dyDescent="0.25">
      <c r="A1416" s="11">
        <v>46044</v>
      </c>
      <c r="B1416" t="s">
        <v>27</v>
      </c>
      <c r="C1416" t="s">
        <v>26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 t="shared" si="158"/>
        <v>BOM</v>
      </c>
      <c r="M1416">
        <v>0</v>
      </c>
      <c r="N1416">
        <v>0</v>
      </c>
      <c r="O1416">
        <v>0</v>
      </c>
    </row>
    <row r="1417" spans="1:15" customFormat="1" hidden="1" x14ac:dyDescent="0.25">
      <c r="A1417" s="11">
        <v>46044</v>
      </c>
      <c r="B1417" t="s">
        <v>41</v>
      </c>
      <c r="C1417" t="s">
        <v>32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-1</v>
      </c>
      <c r="L1417" s="3" t="str">
        <f t="shared" si="158"/>
        <v>ATENÇÃO</v>
      </c>
      <c r="M1417">
        <v>21</v>
      </c>
      <c r="N1417">
        <v>100</v>
      </c>
      <c r="O1417">
        <v>30.470347648261761</v>
      </c>
    </row>
    <row r="1418" spans="1:15" customFormat="1" hidden="1" x14ac:dyDescent="0.25">
      <c r="A1418" s="11">
        <v>46044</v>
      </c>
      <c r="B1418" t="s">
        <v>56</v>
      </c>
      <c r="C1418" t="s">
        <v>48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17</v>
      </c>
      <c r="K1418" s="3">
        <f>I1418-J1418</f>
        <v>6</v>
      </c>
      <c r="L1418" s="3" t="str">
        <f t="shared" si="158"/>
        <v>EXCELENTE</v>
      </c>
      <c r="M1418">
        <v>17</v>
      </c>
      <c r="N1418">
        <v>100</v>
      </c>
      <c r="O1418">
        <v>32.371134020618562</v>
      </c>
    </row>
    <row r="1419" spans="1:15" customFormat="1" hidden="1" x14ac:dyDescent="0.25">
      <c r="A1419" s="11">
        <v>46044</v>
      </c>
      <c r="B1419" t="s">
        <v>57</v>
      </c>
      <c r="C1419" t="s">
        <v>48</v>
      </c>
      <c r="D1419">
        <v>28</v>
      </c>
      <c r="E1419">
        <v>27</v>
      </c>
      <c r="F1419">
        <v>17.059999999999999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 t="shared" si="158"/>
        <v>BOM</v>
      </c>
      <c r="M1419">
        <v>21</v>
      </c>
      <c r="N1419">
        <v>98.32</v>
      </c>
      <c r="O1419">
        <v>32.318501170960189</v>
      </c>
    </row>
    <row r="1420" spans="1:15" customFormat="1" hidden="1" x14ac:dyDescent="0.25">
      <c r="A1420" s="11">
        <v>46044</v>
      </c>
      <c r="B1420" t="s">
        <v>42</v>
      </c>
      <c r="C1420" t="s">
        <v>32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 t="shared" ref="I1420:I1425" si="159">E1420+G1420+H1420</f>
        <v>29</v>
      </c>
      <c r="J1420" s="3">
        <f t="shared" ref="J1420:J1425" si="160"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 t="shared" ref="K1420:K1425" si="161">I1420-J1420</f>
        <v>7</v>
      </c>
      <c r="L1420" s="3" t="str">
        <f t="shared" si="158"/>
        <v>EXCELENTE</v>
      </c>
      <c r="M1420">
        <v>22</v>
      </c>
      <c r="N1420">
        <v>96.43</v>
      </c>
      <c r="O1420">
        <v>27.015250544662312</v>
      </c>
    </row>
    <row r="1421" spans="1:15" customFormat="1" hidden="1" x14ac:dyDescent="0.25">
      <c r="A1421" s="11">
        <v>46044</v>
      </c>
      <c r="B1421" t="s">
        <v>62</v>
      </c>
      <c r="C1421" t="s">
        <v>23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 t="shared" si="159"/>
        <v>23</v>
      </c>
      <c r="J1421" s="3">
        <f t="shared" si="160"/>
        <v>14</v>
      </c>
      <c r="K1421" s="3">
        <f t="shared" si="161"/>
        <v>9</v>
      </c>
      <c r="L1421" s="3" t="str">
        <f t="shared" si="158"/>
        <v>EXCELENTE</v>
      </c>
      <c r="M1421">
        <v>23</v>
      </c>
      <c r="N1421">
        <v>98.89</v>
      </c>
      <c r="O1421">
        <v>28.021978021978018</v>
      </c>
    </row>
    <row r="1422" spans="1:15" customFormat="1" hidden="1" x14ac:dyDescent="0.25">
      <c r="A1422" s="11">
        <v>46044</v>
      </c>
      <c r="B1422" t="s">
        <v>19</v>
      </c>
      <c r="C1422" t="s">
        <v>16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 t="shared" si="159"/>
        <v>8</v>
      </c>
      <c r="J1422" s="3">
        <f t="shared" si="160"/>
        <v>6</v>
      </c>
      <c r="K1422" s="3">
        <f t="shared" si="161"/>
        <v>2</v>
      </c>
      <c r="L1422" s="3" t="str">
        <f t="shared" si="158"/>
        <v>BOM</v>
      </c>
      <c r="M1422">
        <v>6</v>
      </c>
      <c r="N1422">
        <v>100</v>
      </c>
      <c r="O1422">
        <v>33.333333333333329</v>
      </c>
    </row>
    <row r="1423" spans="1:15" customFormat="1" hidden="1" x14ac:dyDescent="0.25">
      <c r="A1423" s="11">
        <v>46044</v>
      </c>
      <c r="B1423" t="s">
        <v>43</v>
      </c>
      <c r="C1423" t="s">
        <v>32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 t="shared" si="159"/>
        <v>22</v>
      </c>
      <c r="J1423" s="3">
        <f t="shared" si="160"/>
        <v>22</v>
      </c>
      <c r="K1423" s="3">
        <f t="shared" si="161"/>
        <v>0</v>
      </c>
      <c r="L1423" s="3" t="str">
        <f t="shared" si="158"/>
        <v>BOM</v>
      </c>
      <c r="M1423">
        <v>19</v>
      </c>
      <c r="N1423">
        <v>100</v>
      </c>
      <c r="O1423">
        <v>27.43362831858407</v>
      </c>
    </row>
    <row r="1424" spans="1:15" customFormat="1" hidden="1" x14ac:dyDescent="0.25">
      <c r="A1424" s="11">
        <v>46044</v>
      </c>
      <c r="B1424" t="s">
        <v>44</v>
      </c>
      <c r="C1424" t="s">
        <v>32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 t="shared" si="159"/>
        <v>23</v>
      </c>
      <c r="J1424" s="3">
        <f t="shared" si="160"/>
        <v>22</v>
      </c>
      <c r="K1424" s="3">
        <f t="shared" si="161"/>
        <v>1</v>
      </c>
      <c r="L1424" s="3" t="str">
        <f t="shared" si="158"/>
        <v>BOM</v>
      </c>
      <c r="M1424">
        <v>17</v>
      </c>
      <c r="N1424">
        <v>98.65</v>
      </c>
      <c r="O1424">
        <v>30.978260869565219</v>
      </c>
    </row>
    <row r="1425" spans="1:15" customFormat="1" hidden="1" x14ac:dyDescent="0.25">
      <c r="A1425" s="11">
        <v>46044</v>
      </c>
      <c r="B1425" t="s">
        <v>20</v>
      </c>
      <c r="C1425" t="s">
        <v>16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 t="shared" si="159"/>
        <v>9</v>
      </c>
      <c r="J1425" s="3">
        <f t="shared" si="160"/>
        <v>6</v>
      </c>
      <c r="K1425" s="3">
        <f t="shared" si="161"/>
        <v>3</v>
      </c>
      <c r="L1425" s="3" t="str">
        <f t="shared" si="158"/>
        <v>BOM</v>
      </c>
      <c r="M1425">
        <v>2</v>
      </c>
      <c r="N1425">
        <v>100</v>
      </c>
      <c r="O1425">
        <v>12</v>
      </c>
    </row>
    <row r="1426" spans="1:15" customFormat="1" hidden="1" x14ac:dyDescent="0.25">
      <c r="A1426" s="11">
        <v>46044</v>
      </c>
      <c r="B1426" t="s">
        <v>28</v>
      </c>
      <c r="C1426" t="s">
        <v>26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 t="shared" si="158"/>
        <v>BOM</v>
      </c>
      <c r="M1426">
        <v>0</v>
      </c>
      <c r="N1426">
        <v>0</v>
      </c>
      <c r="O1426">
        <v>0</v>
      </c>
    </row>
    <row r="1427" spans="1:15" customFormat="1" hidden="1" x14ac:dyDescent="0.25">
      <c r="A1427" s="11">
        <v>46044</v>
      </c>
      <c r="B1427" t="s">
        <v>58</v>
      </c>
      <c r="C1427" t="s">
        <v>48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17</v>
      </c>
      <c r="K1427" s="3">
        <f>I1427-J1427</f>
        <v>1</v>
      </c>
      <c r="L1427" s="3" t="str">
        <f t="shared" si="158"/>
        <v>BOM</v>
      </c>
      <c r="M1427">
        <v>20</v>
      </c>
      <c r="N1427">
        <v>97.56</v>
      </c>
      <c r="O1427">
        <v>31.067961165048541</v>
      </c>
    </row>
    <row r="1428" spans="1:15" customFormat="1" hidden="1" x14ac:dyDescent="0.25">
      <c r="A1428" s="11">
        <v>46044</v>
      </c>
      <c r="B1428" t="s">
        <v>29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58"/>
        <v>BOM</v>
      </c>
      <c r="M1428">
        <v>0</v>
      </c>
      <c r="N1428">
        <v>0</v>
      </c>
      <c r="O1428">
        <v>0</v>
      </c>
    </row>
    <row r="1429" spans="1:15" customFormat="1" hidden="1" x14ac:dyDescent="0.25">
      <c r="A1429" s="11">
        <v>46044</v>
      </c>
      <c r="B1429" t="s">
        <v>30</v>
      </c>
      <c r="C1429" t="s">
        <v>26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58"/>
        <v>BOM</v>
      </c>
      <c r="M1429">
        <v>0</v>
      </c>
      <c r="N1429">
        <v>0</v>
      </c>
      <c r="O1429">
        <v>0</v>
      </c>
    </row>
    <row r="1430" spans="1:15" customFormat="1" hidden="1" x14ac:dyDescent="0.25">
      <c r="A1430" s="11">
        <v>46044</v>
      </c>
      <c r="B1430" t="s">
        <v>21</v>
      </c>
      <c r="C1430" t="s">
        <v>16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58"/>
        <v>BOM</v>
      </c>
      <c r="M1430">
        <v>0</v>
      </c>
      <c r="N1430">
        <v>0</v>
      </c>
      <c r="O1430">
        <v>0</v>
      </c>
    </row>
    <row r="1431" spans="1:15" customFormat="1" hidden="1" x14ac:dyDescent="0.25">
      <c r="A1431" s="11">
        <v>46044</v>
      </c>
      <c r="B1431" t="s">
        <v>63</v>
      </c>
      <c r="C1431" t="s">
        <v>23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 t="shared" si="158"/>
        <v>BOM</v>
      </c>
      <c r="M1431">
        <v>0</v>
      </c>
      <c r="N1431">
        <v>100</v>
      </c>
      <c r="O1431">
        <v>53.846153846153847</v>
      </c>
    </row>
    <row r="1432" spans="1:15" customFormat="1" hidden="1" x14ac:dyDescent="0.25">
      <c r="A1432" s="11">
        <v>46044</v>
      </c>
      <c r="B1432" t="s">
        <v>45</v>
      </c>
      <c r="C1432" t="s">
        <v>32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22</v>
      </c>
      <c r="K1432" s="3">
        <f>I1432-J1432</f>
        <v>2</v>
      </c>
      <c r="L1432" s="3" t="str">
        <f t="shared" si="158"/>
        <v>BOM</v>
      </c>
      <c r="M1432">
        <v>24</v>
      </c>
      <c r="N1432">
        <v>100</v>
      </c>
      <c r="O1432">
        <v>44.05594405594406</v>
      </c>
    </row>
    <row r="1433" spans="1:15" customFormat="1" hidden="1" x14ac:dyDescent="0.25">
      <c r="A1433" s="11">
        <v>46044</v>
      </c>
      <c r="B1433" t="s">
        <v>64</v>
      </c>
      <c r="C1433" t="s">
        <v>23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14</v>
      </c>
      <c r="K1433" s="3">
        <f>I1433-J1433</f>
        <v>-1</v>
      </c>
      <c r="L1433" s="3" t="str">
        <f t="shared" si="158"/>
        <v>ATENÇÃO</v>
      </c>
      <c r="M1433">
        <v>10</v>
      </c>
      <c r="N1433">
        <v>100</v>
      </c>
      <c r="O1433">
        <v>31.872509960159359</v>
      </c>
    </row>
    <row r="1434" spans="1:15" customFormat="1" hidden="1" x14ac:dyDescent="0.25">
      <c r="A1434" s="11">
        <v>46044</v>
      </c>
      <c r="B1434" t="s">
        <v>46</v>
      </c>
      <c r="C1434" t="s">
        <v>32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22</v>
      </c>
      <c r="K1434" s="3">
        <f>I1434-J1434</f>
        <v>5</v>
      </c>
      <c r="L1434" s="3" t="str">
        <f t="shared" si="158"/>
        <v>BOM</v>
      </c>
      <c r="M1434">
        <v>22</v>
      </c>
      <c r="N1434">
        <v>98.41</v>
      </c>
      <c r="O1434">
        <v>29.22465208747515</v>
      </c>
    </row>
    <row r="1435" spans="1:15" customFormat="1" hidden="1" x14ac:dyDescent="0.25">
      <c r="A1435" s="11">
        <v>46045</v>
      </c>
      <c r="B1435" t="s">
        <v>47</v>
      </c>
      <c r="C1435" t="s">
        <v>48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17</v>
      </c>
      <c r="K1435" s="3">
        <f>I1435-J1435</f>
        <v>5</v>
      </c>
      <c r="L1435" s="3" t="str">
        <f t="shared" si="158"/>
        <v>BOM</v>
      </c>
      <c r="M1435">
        <v>17</v>
      </c>
      <c r="N1435">
        <v>96.81</v>
      </c>
      <c r="O1435">
        <v>27.980535279805348</v>
      </c>
    </row>
    <row r="1436" spans="1:15" customFormat="1" hidden="1" x14ac:dyDescent="0.25">
      <c r="A1436" s="11">
        <v>46045</v>
      </c>
      <c r="B1436" t="s">
        <v>31</v>
      </c>
      <c r="C1436" t="s">
        <v>32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 t="shared" si="158"/>
        <v>BOM</v>
      </c>
      <c r="M1436">
        <v>22</v>
      </c>
      <c r="N1436">
        <v>98.73</v>
      </c>
      <c r="O1436">
        <v>35.756385068762278</v>
      </c>
    </row>
    <row r="1437" spans="1:15" customFormat="1" hidden="1" x14ac:dyDescent="0.25">
      <c r="A1437" s="11">
        <v>46045</v>
      </c>
      <c r="B1437" t="s">
        <v>59</v>
      </c>
      <c r="C1437" t="s">
        <v>23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14</v>
      </c>
      <c r="K1437" s="3">
        <f>I1437-J1437</f>
        <v>15</v>
      </c>
      <c r="L1437" s="3" t="str">
        <f t="shared" si="158"/>
        <v>EXCELENTE</v>
      </c>
      <c r="M1437">
        <v>25</v>
      </c>
      <c r="N1437">
        <v>98.32</v>
      </c>
      <c r="O1437">
        <v>26.763485477178421</v>
      </c>
    </row>
    <row r="1438" spans="1:15" customFormat="1" hidden="1" x14ac:dyDescent="0.25">
      <c r="A1438" s="11">
        <v>46045</v>
      </c>
      <c r="B1438" t="s">
        <v>33</v>
      </c>
      <c r="C1438" t="s">
        <v>32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21</v>
      </c>
      <c r="K1438" s="3">
        <f>I1438-J1438</f>
        <v>1</v>
      </c>
      <c r="L1438" s="3" t="str">
        <f t="shared" si="158"/>
        <v>BOM</v>
      </c>
      <c r="M1438">
        <v>21</v>
      </c>
      <c r="N1438">
        <v>99.19</v>
      </c>
      <c r="O1438">
        <v>27.637130801687761</v>
      </c>
    </row>
    <row r="1439" spans="1:15" customFormat="1" hidden="1" x14ac:dyDescent="0.25">
      <c r="A1439" s="11">
        <v>46045</v>
      </c>
      <c r="B1439" t="s">
        <v>15</v>
      </c>
      <c r="C1439" t="s">
        <v>16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 t="shared" si="158"/>
        <v>BOM</v>
      </c>
      <c r="M1439">
        <v>7</v>
      </c>
      <c r="N1439">
        <v>100</v>
      </c>
      <c r="O1439">
        <v>39.568345323741013</v>
      </c>
    </row>
    <row r="1440" spans="1:15" customFormat="1" hidden="1" x14ac:dyDescent="0.25">
      <c r="A1440" s="11">
        <v>46045</v>
      </c>
      <c r="B1440" t="s">
        <v>49</v>
      </c>
      <c r="C1440" t="s">
        <v>48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4</v>
      </c>
      <c r="L1440" s="3" t="str">
        <f t="shared" si="158"/>
        <v>BOM</v>
      </c>
      <c r="M1440">
        <v>21</v>
      </c>
      <c r="N1440">
        <v>98.54</v>
      </c>
      <c r="O1440">
        <v>28.544776119402989</v>
      </c>
    </row>
    <row r="1441" spans="1:15" customFormat="1" hidden="1" x14ac:dyDescent="0.25">
      <c r="A1441" s="11">
        <v>46045</v>
      </c>
      <c r="B1441" t="s">
        <v>50</v>
      </c>
      <c r="C1441" t="s">
        <v>48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17</v>
      </c>
      <c r="K1441" s="3">
        <f>I1441-J1441</f>
        <v>6</v>
      </c>
      <c r="L1441" s="3" t="str">
        <f t="shared" si="158"/>
        <v>EXCELENTE</v>
      </c>
      <c r="M1441">
        <v>21</v>
      </c>
      <c r="N1441">
        <v>100</v>
      </c>
      <c r="O1441">
        <v>34.366925064599492</v>
      </c>
    </row>
    <row r="1442" spans="1:15" customFormat="1" hidden="1" x14ac:dyDescent="0.25">
      <c r="A1442" s="11">
        <v>46045</v>
      </c>
      <c r="B1442" t="s">
        <v>17</v>
      </c>
      <c r="C1442" t="s">
        <v>16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 t="shared" si="158"/>
        <v>BOM</v>
      </c>
      <c r="M1442">
        <v>0</v>
      </c>
      <c r="N1442">
        <v>0</v>
      </c>
      <c r="O1442">
        <v>0</v>
      </c>
    </row>
    <row r="1443" spans="1:15" customFormat="1" hidden="1" x14ac:dyDescent="0.25">
      <c r="A1443" s="11">
        <v>46045</v>
      </c>
      <c r="B1443" t="s">
        <v>60</v>
      </c>
      <c r="C1443" t="s">
        <v>23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</v>
      </c>
      <c r="L1443" s="3" t="str">
        <f t="shared" si="158"/>
        <v>BOM</v>
      </c>
      <c r="M1443">
        <v>15</v>
      </c>
      <c r="N1443">
        <v>100</v>
      </c>
      <c r="O1443">
        <v>29.518072289156631</v>
      </c>
    </row>
    <row r="1444" spans="1:15" customFormat="1" hidden="1" x14ac:dyDescent="0.25">
      <c r="A1444" s="11">
        <v>46045</v>
      </c>
      <c r="B1444" t="s">
        <v>34</v>
      </c>
      <c r="C1444" t="s">
        <v>32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21</v>
      </c>
      <c r="K1444" s="3">
        <f>I1444-J1444</f>
        <v>6</v>
      </c>
      <c r="L1444" s="3" t="str">
        <f t="shared" si="158"/>
        <v>EXCELENTE</v>
      </c>
      <c r="M1444">
        <v>20</v>
      </c>
      <c r="N1444">
        <v>97.45</v>
      </c>
      <c r="O1444">
        <v>41.421143847487002</v>
      </c>
    </row>
    <row r="1445" spans="1:15" customFormat="1" hidden="1" x14ac:dyDescent="0.25">
      <c r="A1445" s="11">
        <v>46045</v>
      </c>
      <c r="B1445" t="s">
        <v>51</v>
      </c>
      <c r="C1445" t="s">
        <v>48</v>
      </c>
      <c r="D1445">
        <v>31</v>
      </c>
      <c r="E1445">
        <v>20</v>
      </c>
      <c r="F1445">
        <v>11.42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 t="shared" si="158"/>
        <v>BOM</v>
      </c>
      <c r="M1445">
        <v>16</v>
      </c>
      <c r="N1445">
        <v>96.58</v>
      </c>
      <c r="O1445">
        <v>30.396475770925111</v>
      </c>
    </row>
    <row r="1446" spans="1:15" customFormat="1" hidden="1" x14ac:dyDescent="0.25">
      <c r="A1446" s="11">
        <v>46045</v>
      </c>
      <c r="B1446" t="s">
        <v>61</v>
      </c>
      <c r="C1446" t="s">
        <v>23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14</v>
      </c>
      <c r="K1446" s="3">
        <f>I1446-J1446</f>
        <v>13</v>
      </c>
      <c r="L1446" s="3" t="str">
        <f t="shared" si="158"/>
        <v>EXCELENTE</v>
      </c>
      <c r="M1446">
        <v>31</v>
      </c>
      <c r="N1446">
        <v>100</v>
      </c>
      <c r="O1446">
        <v>27.44282744282744</v>
      </c>
    </row>
    <row r="1447" spans="1:15" customFormat="1" hidden="1" x14ac:dyDescent="0.25">
      <c r="A1447" s="11">
        <v>46045</v>
      </c>
      <c r="B1447" t="s">
        <v>35</v>
      </c>
      <c r="C1447" t="s">
        <v>32</v>
      </c>
      <c r="D1447">
        <v>25</v>
      </c>
      <c r="E1447">
        <v>24</v>
      </c>
      <c r="F1447">
        <v>23.24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58"/>
        <v>BOM</v>
      </c>
      <c r="M1447">
        <v>24</v>
      </c>
      <c r="N1447">
        <v>99.49</v>
      </c>
      <c r="O1447">
        <v>40.200000000000003</v>
      </c>
    </row>
    <row r="1448" spans="1:15" customFormat="1" hidden="1" x14ac:dyDescent="0.25">
      <c r="A1448" s="11">
        <v>46045</v>
      </c>
      <c r="B1448" t="s">
        <v>18</v>
      </c>
      <c r="C1448" t="s">
        <v>16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 t="shared" si="158"/>
        <v>BOM</v>
      </c>
      <c r="M1448">
        <v>0</v>
      </c>
      <c r="N1448">
        <v>100</v>
      </c>
      <c r="O1448">
        <v>25</v>
      </c>
    </row>
    <row r="1449" spans="1:15" customFormat="1" hidden="1" x14ac:dyDescent="0.25">
      <c r="A1449" s="11">
        <v>46045</v>
      </c>
      <c r="B1449" t="s">
        <v>52</v>
      </c>
      <c r="C1449" t="s">
        <v>48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 t="shared" ref="I1449:I1456" si="162">E1449+G1449+H1449</f>
        <v>20</v>
      </c>
      <c r="J1449" s="3">
        <f t="shared" ref="J1449:J1456" si="163"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17</v>
      </c>
      <c r="K1449" s="3">
        <f t="shared" ref="K1449:K1456" si="164">I1449-J1449</f>
        <v>3</v>
      </c>
      <c r="L1449" s="3" t="str">
        <f t="shared" si="158"/>
        <v>BOM</v>
      </c>
      <c r="M1449">
        <v>20</v>
      </c>
      <c r="N1449">
        <v>100</v>
      </c>
      <c r="O1449">
        <v>34.15094339622641</v>
      </c>
    </row>
    <row r="1450" spans="1:15" customFormat="1" hidden="1" x14ac:dyDescent="0.25">
      <c r="A1450" s="11">
        <v>46045</v>
      </c>
      <c r="B1450" t="s">
        <v>36</v>
      </c>
      <c r="C1450" t="s">
        <v>32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 t="shared" si="162"/>
        <v>13</v>
      </c>
      <c r="J1450" s="3">
        <f t="shared" si="163"/>
        <v>21</v>
      </c>
      <c r="K1450" s="3">
        <f t="shared" si="164"/>
        <v>-8</v>
      </c>
      <c r="L1450" s="3" t="str">
        <f t="shared" si="158"/>
        <v>CRÍTICO</v>
      </c>
      <c r="M1450">
        <v>15</v>
      </c>
      <c r="N1450">
        <v>100</v>
      </c>
      <c r="O1450">
        <v>32.731376975169297</v>
      </c>
    </row>
    <row r="1451" spans="1:15" customFormat="1" hidden="1" x14ac:dyDescent="0.25">
      <c r="A1451" s="11">
        <v>46045</v>
      </c>
      <c r="B1451" t="s">
        <v>53</v>
      </c>
      <c r="C1451" t="s">
        <v>48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 t="shared" si="162"/>
        <v>17</v>
      </c>
      <c r="J1451" s="3">
        <f t="shared" si="163"/>
        <v>17</v>
      </c>
      <c r="K1451" s="3">
        <f t="shared" si="164"/>
        <v>0</v>
      </c>
      <c r="L1451" s="3" t="str">
        <f t="shared" si="158"/>
        <v>BOM</v>
      </c>
      <c r="M1451">
        <v>18</v>
      </c>
      <c r="N1451">
        <v>99.31</v>
      </c>
      <c r="O1451">
        <v>30.96234309623431</v>
      </c>
    </row>
    <row r="1452" spans="1:15" customFormat="1" hidden="1" x14ac:dyDescent="0.25">
      <c r="A1452" s="11">
        <v>46079</v>
      </c>
      <c r="B1452" t="s">
        <v>22</v>
      </c>
      <c r="C1452" t="s">
        <v>23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 t="shared" si="162"/>
        <v>13</v>
      </c>
      <c r="J1452" s="3">
        <f t="shared" si="163"/>
        <v>13</v>
      </c>
      <c r="K1452" s="3">
        <f t="shared" si="164"/>
        <v>0</v>
      </c>
      <c r="L1452" s="3" t="str">
        <f t="shared" si="158"/>
        <v>BOM</v>
      </c>
      <c r="M1452">
        <v>13</v>
      </c>
      <c r="N1452">
        <v>96.67</v>
      </c>
      <c r="O1452">
        <v>31.451612903225811</v>
      </c>
    </row>
    <row r="1453" spans="1:15" customFormat="1" hidden="1" x14ac:dyDescent="0.25">
      <c r="A1453" s="11">
        <v>46045</v>
      </c>
      <c r="B1453" t="s">
        <v>54</v>
      </c>
      <c r="C1453" t="s">
        <v>48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 t="shared" si="162"/>
        <v>23</v>
      </c>
      <c r="J1453" s="3">
        <f t="shared" si="163"/>
        <v>17</v>
      </c>
      <c r="K1453" s="3">
        <f t="shared" si="164"/>
        <v>6</v>
      </c>
      <c r="L1453" s="3" t="str">
        <f t="shared" si="158"/>
        <v>EXCELENTE</v>
      </c>
      <c r="M1453">
        <v>22</v>
      </c>
      <c r="N1453">
        <v>100</v>
      </c>
      <c r="O1453">
        <v>27.676767676767678</v>
      </c>
    </row>
    <row r="1454" spans="1:15" customFormat="1" hidden="1" x14ac:dyDescent="0.25">
      <c r="A1454" s="11">
        <v>46045</v>
      </c>
      <c r="B1454" t="s">
        <v>37</v>
      </c>
      <c r="C1454" t="s">
        <v>32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 t="shared" si="162"/>
        <v>34</v>
      </c>
      <c r="J1454" s="3">
        <f t="shared" si="163"/>
        <v>21</v>
      </c>
      <c r="K1454" s="3">
        <f t="shared" si="164"/>
        <v>13</v>
      </c>
      <c r="L1454" s="3" t="str">
        <f t="shared" si="158"/>
        <v>EXCELENTE</v>
      </c>
      <c r="M1454">
        <v>29</v>
      </c>
      <c r="N1454">
        <v>100</v>
      </c>
      <c r="O1454">
        <v>31.17723156532988</v>
      </c>
    </row>
    <row r="1455" spans="1:15" customFormat="1" hidden="1" x14ac:dyDescent="0.25">
      <c r="A1455" s="11">
        <v>46045</v>
      </c>
      <c r="B1455" t="s">
        <v>38</v>
      </c>
      <c r="C1455" t="s">
        <v>32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 t="shared" si="162"/>
        <v>6</v>
      </c>
      <c r="J1455" s="3">
        <f t="shared" si="163"/>
        <v>21</v>
      </c>
      <c r="K1455" s="3">
        <f t="shared" si="164"/>
        <v>-15</v>
      </c>
      <c r="L1455" s="3" t="str">
        <f t="shared" si="158"/>
        <v>CRÍTICO</v>
      </c>
      <c r="M1455">
        <v>8</v>
      </c>
      <c r="N1455">
        <v>100</v>
      </c>
      <c r="O1455">
        <v>27.609427609427609</v>
      </c>
    </row>
    <row r="1456" spans="1:15" customFormat="1" hidden="1" x14ac:dyDescent="0.25">
      <c r="A1456" s="11">
        <v>46045</v>
      </c>
      <c r="B1456" t="s">
        <v>55</v>
      </c>
      <c r="C1456" t="s">
        <v>48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 t="shared" si="162"/>
        <v>17</v>
      </c>
      <c r="J1456" s="3">
        <f t="shared" si="163"/>
        <v>17</v>
      </c>
      <c r="K1456" s="3">
        <f t="shared" si="164"/>
        <v>0</v>
      </c>
      <c r="L1456" s="3" t="str">
        <f t="shared" si="158"/>
        <v>BOM</v>
      </c>
      <c r="M1456">
        <v>18</v>
      </c>
      <c r="N1456">
        <v>96.4</v>
      </c>
      <c r="O1456">
        <v>28.764044943820231</v>
      </c>
    </row>
    <row r="1457" spans="1:15" customFormat="1" hidden="1" x14ac:dyDescent="0.25">
      <c r="A1457" s="11">
        <v>46045</v>
      </c>
      <c r="B1457" t="s">
        <v>39</v>
      </c>
      <c r="C1457" t="s">
        <v>32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 t="shared" si="158"/>
        <v>BOM</v>
      </c>
      <c r="M1457">
        <v>0</v>
      </c>
      <c r="N1457">
        <v>100</v>
      </c>
      <c r="O1457">
        <v>33.980582524271853</v>
      </c>
    </row>
    <row r="1458" spans="1:15" customFormat="1" hidden="1" x14ac:dyDescent="0.25">
      <c r="A1458" s="11">
        <v>46045</v>
      </c>
      <c r="B1458" t="s">
        <v>25</v>
      </c>
      <c r="C1458" t="s">
        <v>26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12</v>
      </c>
      <c r="K1458" s="3">
        <f>I1458-J1458</f>
        <v>-7</v>
      </c>
      <c r="L1458" s="3" t="str">
        <f t="shared" si="158"/>
        <v>CRÍTICO</v>
      </c>
      <c r="M1458">
        <v>5</v>
      </c>
      <c r="N1458">
        <v>97.56</v>
      </c>
      <c r="O1458">
        <v>32.515337423312893</v>
      </c>
    </row>
    <row r="1459" spans="1:15" customFormat="1" hidden="1" x14ac:dyDescent="0.25">
      <c r="A1459" s="11">
        <v>46045</v>
      </c>
      <c r="B1459" t="s">
        <v>40</v>
      </c>
      <c r="C1459" t="s">
        <v>32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21</v>
      </c>
      <c r="K1459" s="3">
        <f>I1459-J1459</f>
        <v>1</v>
      </c>
      <c r="L1459" s="3" t="str">
        <f t="shared" si="158"/>
        <v>BOM</v>
      </c>
      <c r="M1459">
        <v>23</v>
      </c>
      <c r="N1459">
        <v>97.11</v>
      </c>
      <c r="O1459">
        <v>37.408312958435211</v>
      </c>
    </row>
    <row r="1460" spans="1:15" customFormat="1" hidden="1" x14ac:dyDescent="0.25">
      <c r="A1460" s="11">
        <v>46045</v>
      </c>
      <c r="B1460" t="s">
        <v>27</v>
      </c>
      <c r="C1460" t="s">
        <v>26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 t="shared" si="158"/>
        <v>BOM</v>
      </c>
      <c r="M1460">
        <v>0</v>
      </c>
      <c r="N1460">
        <v>0</v>
      </c>
      <c r="O1460">
        <v>0</v>
      </c>
    </row>
    <row r="1461" spans="1:15" customFormat="1" hidden="1" x14ac:dyDescent="0.25">
      <c r="A1461" s="11">
        <v>46045</v>
      </c>
      <c r="B1461" t="s">
        <v>41</v>
      </c>
      <c r="C1461" t="s">
        <v>32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-10</v>
      </c>
      <c r="L1461" s="3" t="str">
        <f t="shared" si="158"/>
        <v>CRÍTICO</v>
      </c>
      <c r="M1461">
        <v>9</v>
      </c>
      <c r="N1461">
        <v>100</v>
      </c>
      <c r="O1461">
        <v>30.470347648261761</v>
      </c>
    </row>
    <row r="1462" spans="1:15" customFormat="1" hidden="1" x14ac:dyDescent="0.25">
      <c r="A1462" s="11">
        <v>46045</v>
      </c>
      <c r="B1462" t="s">
        <v>56</v>
      </c>
      <c r="C1462" t="s">
        <v>48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17</v>
      </c>
      <c r="K1462" s="3">
        <f>I1462-J1462</f>
        <v>6</v>
      </c>
      <c r="L1462" s="3" t="str">
        <f t="shared" si="158"/>
        <v>EXCELENTE</v>
      </c>
      <c r="M1462">
        <v>21</v>
      </c>
      <c r="N1462">
        <v>100</v>
      </c>
      <c r="O1462">
        <v>32.371134020618562</v>
      </c>
    </row>
    <row r="1463" spans="1:15" customFormat="1" hidden="1" x14ac:dyDescent="0.25">
      <c r="A1463" s="11">
        <v>46045</v>
      </c>
      <c r="B1463" t="s">
        <v>57</v>
      </c>
      <c r="C1463" t="s">
        <v>48</v>
      </c>
      <c r="D1463">
        <v>11</v>
      </c>
      <c r="E1463">
        <v>11</v>
      </c>
      <c r="F1463">
        <v>18.28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 t="shared" si="158"/>
        <v>BOM</v>
      </c>
      <c r="M1463">
        <v>10</v>
      </c>
      <c r="N1463">
        <v>98.32</v>
      </c>
      <c r="O1463">
        <v>32.318501170960189</v>
      </c>
    </row>
    <row r="1464" spans="1:15" customFormat="1" hidden="1" x14ac:dyDescent="0.25">
      <c r="A1464" s="11">
        <v>46045</v>
      </c>
      <c r="B1464" t="s">
        <v>42</v>
      </c>
      <c r="C1464" t="s">
        <v>32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 t="shared" ref="I1464:I1469" si="165">E1464+G1464+H1464</f>
        <v>17</v>
      </c>
      <c r="J1464" s="3">
        <f t="shared" ref="J1464:J1469" si="166"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 t="shared" ref="K1464:K1469" si="167">I1464-J1464</f>
        <v>-4</v>
      </c>
      <c r="L1464" s="3" t="str">
        <f t="shared" si="158"/>
        <v>ATENÇÃO</v>
      </c>
      <c r="M1464">
        <v>11</v>
      </c>
      <c r="N1464">
        <v>96.43</v>
      </c>
      <c r="O1464">
        <v>27.015250544662312</v>
      </c>
    </row>
    <row r="1465" spans="1:15" customFormat="1" hidden="1" x14ac:dyDescent="0.25">
      <c r="A1465" s="11">
        <v>46045</v>
      </c>
      <c r="B1465" t="s">
        <v>62</v>
      </c>
      <c r="C1465" t="s">
        <v>23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 t="shared" si="165"/>
        <v>18</v>
      </c>
      <c r="J1465" s="3">
        <f t="shared" si="166"/>
        <v>14</v>
      </c>
      <c r="K1465" s="3">
        <f t="shared" si="167"/>
        <v>4</v>
      </c>
      <c r="L1465" s="3" t="str">
        <f t="shared" si="158"/>
        <v>BOM</v>
      </c>
      <c r="M1465">
        <v>14</v>
      </c>
      <c r="N1465">
        <v>98.89</v>
      </c>
      <c r="O1465">
        <v>28.021978021978018</v>
      </c>
    </row>
    <row r="1466" spans="1:15" customFormat="1" hidden="1" x14ac:dyDescent="0.25">
      <c r="A1466" s="11">
        <v>46045</v>
      </c>
      <c r="B1466" t="s">
        <v>19</v>
      </c>
      <c r="C1466" t="s">
        <v>16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 t="shared" si="165"/>
        <v>9</v>
      </c>
      <c r="J1466" s="3">
        <f t="shared" si="166"/>
        <v>6</v>
      </c>
      <c r="K1466" s="3">
        <f t="shared" si="167"/>
        <v>3</v>
      </c>
      <c r="L1466" s="3" t="str">
        <f t="shared" si="158"/>
        <v>BOM</v>
      </c>
      <c r="M1466">
        <v>6</v>
      </c>
      <c r="N1466">
        <v>100</v>
      </c>
      <c r="O1466">
        <v>33.333333333333329</v>
      </c>
    </row>
    <row r="1467" spans="1:15" customFormat="1" hidden="1" x14ac:dyDescent="0.25">
      <c r="A1467" s="11">
        <v>46045</v>
      </c>
      <c r="B1467" t="s">
        <v>43</v>
      </c>
      <c r="C1467" t="s">
        <v>32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 t="shared" si="165"/>
        <v>26</v>
      </c>
      <c r="J1467" s="3">
        <f t="shared" si="166"/>
        <v>21</v>
      </c>
      <c r="K1467" s="3">
        <f t="shared" si="167"/>
        <v>5</v>
      </c>
      <c r="L1467" s="3" t="str">
        <f t="shared" si="158"/>
        <v>BOM</v>
      </c>
      <c r="M1467">
        <v>23</v>
      </c>
      <c r="N1467">
        <v>100</v>
      </c>
      <c r="O1467">
        <v>27.43362831858407</v>
      </c>
    </row>
    <row r="1468" spans="1:15" customFormat="1" hidden="1" x14ac:dyDescent="0.25">
      <c r="A1468" s="11">
        <v>46045</v>
      </c>
      <c r="B1468" t="s">
        <v>44</v>
      </c>
      <c r="C1468" t="s">
        <v>32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 t="shared" si="165"/>
        <v>24</v>
      </c>
      <c r="J1468" s="3">
        <f t="shared" si="166"/>
        <v>21</v>
      </c>
      <c r="K1468" s="3">
        <f t="shared" si="167"/>
        <v>3</v>
      </c>
      <c r="L1468" s="3" t="str">
        <f t="shared" si="158"/>
        <v>BOM</v>
      </c>
      <c r="M1468">
        <v>20</v>
      </c>
      <c r="N1468">
        <v>98.65</v>
      </c>
      <c r="O1468">
        <v>30.978260869565219</v>
      </c>
    </row>
    <row r="1469" spans="1:15" customFormat="1" hidden="1" x14ac:dyDescent="0.25">
      <c r="A1469" s="11">
        <v>46045</v>
      </c>
      <c r="B1469" t="s">
        <v>20</v>
      </c>
      <c r="C1469" t="s">
        <v>16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 t="shared" si="165"/>
        <v>8</v>
      </c>
      <c r="J1469" s="3">
        <f t="shared" si="166"/>
        <v>6</v>
      </c>
      <c r="K1469" s="3">
        <f t="shared" si="167"/>
        <v>2</v>
      </c>
      <c r="L1469" s="3" t="str">
        <f t="shared" si="158"/>
        <v>BOM</v>
      </c>
      <c r="M1469">
        <v>4</v>
      </c>
      <c r="N1469">
        <v>100</v>
      </c>
      <c r="O1469">
        <v>12</v>
      </c>
    </row>
    <row r="1470" spans="1:15" customFormat="1" hidden="1" x14ac:dyDescent="0.25">
      <c r="A1470" s="11">
        <v>46045</v>
      </c>
      <c r="B1470" t="s">
        <v>28</v>
      </c>
      <c r="C1470" t="s">
        <v>26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 t="shared" si="158"/>
        <v>BOM</v>
      </c>
      <c r="M1470">
        <v>0</v>
      </c>
      <c r="N1470">
        <v>0</v>
      </c>
      <c r="O1470">
        <v>0</v>
      </c>
    </row>
    <row r="1471" spans="1:15" customFormat="1" hidden="1" x14ac:dyDescent="0.25">
      <c r="A1471" s="11">
        <v>46045</v>
      </c>
      <c r="B1471" t="s">
        <v>58</v>
      </c>
      <c r="C1471" t="s">
        <v>48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17</v>
      </c>
      <c r="K1471" s="3">
        <f>I1471-J1471</f>
        <v>4</v>
      </c>
      <c r="L1471" s="3" t="str">
        <f t="shared" si="158"/>
        <v>BOM</v>
      </c>
      <c r="M1471">
        <v>16</v>
      </c>
      <c r="N1471">
        <v>97.56</v>
      </c>
      <c r="O1471">
        <v>31.067961165048541</v>
      </c>
    </row>
    <row r="1472" spans="1:15" customFormat="1" hidden="1" x14ac:dyDescent="0.25">
      <c r="A1472" s="11">
        <v>46045</v>
      </c>
      <c r="B1472" t="s">
        <v>29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58"/>
        <v>BOM</v>
      </c>
      <c r="M1472">
        <v>0</v>
      </c>
      <c r="N1472">
        <v>0</v>
      </c>
      <c r="O1472">
        <v>0</v>
      </c>
    </row>
    <row r="1473" spans="1:15" customFormat="1" hidden="1" x14ac:dyDescent="0.25">
      <c r="A1473" s="11">
        <v>46045</v>
      </c>
      <c r="B1473" t="s">
        <v>30</v>
      </c>
      <c r="C1473" t="s">
        <v>26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58"/>
        <v>BOM</v>
      </c>
      <c r="M1473">
        <v>0</v>
      </c>
      <c r="N1473">
        <v>0</v>
      </c>
      <c r="O1473">
        <v>0</v>
      </c>
    </row>
    <row r="1474" spans="1:15" customFormat="1" hidden="1" x14ac:dyDescent="0.25">
      <c r="A1474" s="11">
        <v>46045</v>
      </c>
      <c r="B1474" t="s">
        <v>21</v>
      </c>
      <c r="C1474" t="s">
        <v>16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58"/>
        <v>BOM</v>
      </c>
      <c r="M1474">
        <v>0</v>
      </c>
      <c r="N1474">
        <v>0</v>
      </c>
      <c r="O1474">
        <v>0</v>
      </c>
    </row>
    <row r="1475" spans="1:15" customFormat="1" hidden="1" x14ac:dyDescent="0.25">
      <c r="A1475" s="11">
        <v>46045</v>
      </c>
      <c r="B1475" t="s">
        <v>63</v>
      </c>
      <c r="C1475" t="s">
        <v>23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 t="shared" si="158"/>
        <v>BOM</v>
      </c>
      <c r="M1475">
        <v>0</v>
      </c>
      <c r="N1475">
        <v>100</v>
      </c>
      <c r="O1475">
        <v>53.846153846153847</v>
      </c>
    </row>
    <row r="1476" spans="1:15" customFormat="1" hidden="1" x14ac:dyDescent="0.25">
      <c r="A1476" s="11">
        <v>46045</v>
      </c>
      <c r="B1476" t="s">
        <v>45</v>
      </c>
      <c r="C1476" t="s">
        <v>32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21</v>
      </c>
      <c r="K1476" s="3">
        <f>I1476-J1476</f>
        <v>7</v>
      </c>
      <c r="L1476" s="3" t="str">
        <f t="shared" si="158"/>
        <v>EXCELENTE</v>
      </c>
      <c r="M1476">
        <v>26</v>
      </c>
      <c r="N1476">
        <v>100</v>
      </c>
      <c r="O1476">
        <v>44.05594405594406</v>
      </c>
    </row>
    <row r="1477" spans="1:15" customFormat="1" hidden="1" x14ac:dyDescent="0.25">
      <c r="A1477" s="11">
        <v>46045</v>
      </c>
      <c r="B1477" t="s">
        <v>64</v>
      </c>
      <c r="C1477" t="s">
        <v>23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14</v>
      </c>
      <c r="K1477" s="3">
        <f>I1477-J1477</f>
        <v>1</v>
      </c>
      <c r="L1477" s="3" t="str">
        <f t="shared" si="158"/>
        <v>BOM</v>
      </c>
      <c r="M1477">
        <v>14</v>
      </c>
      <c r="N1477">
        <v>100</v>
      </c>
      <c r="O1477">
        <v>31.872509960159359</v>
      </c>
    </row>
    <row r="1478" spans="1:15" customFormat="1" hidden="1" x14ac:dyDescent="0.25">
      <c r="A1478" s="11">
        <v>46045</v>
      </c>
      <c r="B1478" t="s">
        <v>46</v>
      </c>
      <c r="C1478" t="s">
        <v>32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21</v>
      </c>
      <c r="K1478" s="3">
        <f>I1478-J1478</f>
        <v>4</v>
      </c>
      <c r="L1478" s="3" t="str">
        <f t="shared" si="158"/>
        <v>BOM</v>
      </c>
      <c r="M1478">
        <v>23</v>
      </c>
      <c r="N1478">
        <v>98.41</v>
      </c>
      <c r="O1478">
        <v>29.22465208747515</v>
      </c>
    </row>
    <row r="1479" spans="1:15" customFormat="1" hidden="1" x14ac:dyDescent="0.25">
      <c r="A1479" s="11">
        <v>46048</v>
      </c>
      <c r="B1479" t="s">
        <v>47</v>
      </c>
      <c r="C1479" t="s">
        <v>48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19</v>
      </c>
      <c r="K1479" s="3">
        <f>I1479-J1479</f>
        <v>6</v>
      </c>
      <c r="L1479" s="3" t="str">
        <f t="shared" ref="L1479:L1542" si="168">IF(K1479&lt;-5,"CRÍTICO",IF(K1479&lt;0,"ATENÇÃO",IF(K1479&lt;=5,"BOM","EXCELENTE")))</f>
        <v>EXCELENTE</v>
      </c>
      <c r="M1479">
        <v>19</v>
      </c>
      <c r="N1479">
        <v>96.81</v>
      </c>
      <c r="O1479">
        <v>27.980535279805348</v>
      </c>
    </row>
    <row r="1480" spans="1:15" customFormat="1" hidden="1" x14ac:dyDescent="0.25">
      <c r="A1480" s="11">
        <v>46048</v>
      </c>
      <c r="B1480" t="s">
        <v>31</v>
      </c>
      <c r="C1480" t="s">
        <v>32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 t="shared" si="168"/>
        <v>BOM</v>
      </c>
      <c r="M1480">
        <v>21</v>
      </c>
      <c r="N1480">
        <v>98.73</v>
      </c>
      <c r="O1480">
        <v>35.756385068762278</v>
      </c>
    </row>
    <row r="1481" spans="1:15" customFormat="1" hidden="1" x14ac:dyDescent="0.25">
      <c r="A1481" s="11">
        <v>46048</v>
      </c>
      <c r="B1481" t="s">
        <v>59</v>
      </c>
      <c r="C1481" t="s">
        <v>23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15</v>
      </c>
      <c r="K1481" s="3">
        <f>I1481-J1481</f>
        <v>11</v>
      </c>
      <c r="L1481" s="3" t="str">
        <f t="shared" si="168"/>
        <v>EXCELENTE</v>
      </c>
      <c r="M1481">
        <v>27</v>
      </c>
      <c r="N1481">
        <v>98.32</v>
      </c>
      <c r="O1481">
        <v>26.763485477178421</v>
      </c>
    </row>
    <row r="1482" spans="1:15" customFormat="1" hidden="1" x14ac:dyDescent="0.25">
      <c r="A1482" s="11">
        <v>46048</v>
      </c>
      <c r="B1482" t="s">
        <v>33</v>
      </c>
      <c r="C1482" t="s">
        <v>32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23</v>
      </c>
      <c r="K1482" s="3">
        <f>I1482-J1482</f>
        <v>1</v>
      </c>
      <c r="L1482" s="3" t="str">
        <f t="shared" si="168"/>
        <v>BOM</v>
      </c>
      <c r="M1482">
        <v>16</v>
      </c>
      <c r="N1482">
        <v>99.19</v>
      </c>
      <c r="O1482">
        <v>27.637130801687761</v>
      </c>
    </row>
    <row r="1483" spans="1:15" customFormat="1" hidden="1" x14ac:dyDescent="0.25">
      <c r="A1483" s="11">
        <v>46048</v>
      </c>
      <c r="B1483" t="s">
        <v>15</v>
      </c>
      <c r="C1483" t="s">
        <v>16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7</v>
      </c>
      <c r="K1483" s="3">
        <f>I1483-J1483</f>
        <v>2</v>
      </c>
      <c r="L1483" s="3" t="str">
        <f t="shared" si="168"/>
        <v>BOM</v>
      </c>
      <c r="M1483">
        <v>7</v>
      </c>
      <c r="N1483">
        <v>100</v>
      </c>
      <c r="O1483">
        <v>39.568345323741013</v>
      </c>
    </row>
    <row r="1484" spans="1:15" customFormat="1" hidden="1" x14ac:dyDescent="0.25">
      <c r="A1484" s="11">
        <v>46048</v>
      </c>
      <c r="B1484" t="s">
        <v>49</v>
      </c>
      <c r="C1484" t="s">
        <v>48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11</v>
      </c>
      <c r="L1484" s="3" t="str">
        <f t="shared" si="168"/>
        <v>EXCELENTE</v>
      </c>
      <c r="M1484">
        <v>30</v>
      </c>
      <c r="N1484">
        <v>98.54</v>
      </c>
      <c r="O1484">
        <v>28.544776119402989</v>
      </c>
    </row>
    <row r="1485" spans="1:15" customFormat="1" hidden="1" x14ac:dyDescent="0.25">
      <c r="A1485" s="11">
        <v>46048</v>
      </c>
      <c r="B1485" t="s">
        <v>50</v>
      </c>
      <c r="C1485" t="s">
        <v>48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19</v>
      </c>
      <c r="K1485" s="3">
        <f>I1485-J1485</f>
        <v>4</v>
      </c>
      <c r="L1485" s="3" t="str">
        <f t="shared" si="168"/>
        <v>BOM</v>
      </c>
      <c r="M1485">
        <v>21</v>
      </c>
      <c r="N1485">
        <v>100</v>
      </c>
      <c r="O1485">
        <v>34.366925064599492</v>
      </c>
    </row>
    <row r="1486" spans="1:15" customFormat="1" hidden="1" x14ac:dyDescent="0.25">
      <c r="A1486" s="11">
        <v>46048</v>
      </c>
      <c r="B1486" t="s">
        <v>17</v>
      </c>
      <c r="C1486" t="s">
        <v>16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 t="shared" si="168"/>
        <v>BOM</v>
      </c>
      <c r="M1486">
        <v>0</v>
      </c>
      <c r="N1486">
        <v>0</v>
      </c>
      <c r="O1486">
        <v>0</v>
      </c>
    </row>
    <row r="1487" spans="1:15" customFormat="1" hidden="1" x14ac:dyDescent="0.25">
      <c r="A1487" s="11">
        <v>46048</v>
      </c>
      <c r="B1487" t="s">
        <v>60</v>
      </c>
      <c r="C1487" t="s">
        <v>23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5</v>
      </c>
      <c r="L1487" s="3" t="str">
        <f t="shared" si="168"/>
        <v>BOM</v>
      </c>
      <c r="M1487">
        <v>19</v>
      </c>
      <c r="N1487">
        <v>100</v>
      </c>
      <c r="O1487">
        <v>29.518072289156631</v>
      </c>
    </row>
    <row r="1488" spans="1:15" customFormat="1" hidden="1" x14ac:dyDescent="0.25">
      <c r="A1488" s="11">
        <v>46048</v>
      </c>
      <c r="B1488" t="s">
        <v>34</v>
      </c>
      <c r="C1488" t="s">
        <v>32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23</v>
      </c>
      <c r="K1488" s="3">
        <f>I1488-J1488</f>
        <v>5</v>
      </c>
      <c r="L1488" s="3" t="str">
        <f t="shared" si="168"/>
        <v>BOM</v>
      </c>
      <c r="M1488">
        <v>30</v>
      </c>
      <c r="N1488">
        <v>97.45</v>
      </c>
      <c r="O1488">
        <v>41.421143847487002</v>
      </c>
    </row>
    <row r="1489" spans="1:15" customFormat="1" hidden="1" x14ac:dyDescent="0.25">
      <c r="A1489" s="11">
        <v>46048</v>
      </c>
      <c r="B1489" t="s">
        <v>51</v>
      </c>
      <c r="C1489" t="s">
        <v>48</v>
      </c>
      <c r="D1489">
        <v>30</v>
      </c>
      <c r="E1489">
        <v>21</v>
      </c>
      <c r="F1489">
        <v>20.239999999999998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 t="shared" si="168"/>
        <v>BOM</v>
      </c>
      <c r="M1489">
        <v>21</v>
      </c>
      <c r="N1489">
        <v>96.58</v>
      </c>
      <c r="O1489">
        <v>30.396475770925111</v>
      </c>
    </row>
    <row r="1490" spans="1:15" customFormat="1" hidden="1" x14ac:dyDescent="0.25">
      <c r="A1490" s="11">
        <v>46048</v>
      </c>
      <c r="B1490" t="s">
        <v>61</v>
      </c>
      <c r="C1490" t="s">
        <v>23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15</v>
      </c>
      <c r="K1490" s="3">
        <f>I1490-J1490</f>
        <v>-4</v>
      </c>
      <c r="L1490" s="3" t="str">
        <f t="shared" si="168"/>
        <v>ATENÇÃO</v>
      </c>
      <c r="M1490">
        <v>11</v>
      </c>
      <c r="N1490">
        <v>100</v>
      </c>
      <c r="O1490">
        <v>27.44282744282744</v>
      </c>
    </row>
    <row r="1491" spans="1:15" customFormat="1" hidden="1" x14ac:dyDescent="0.25">
      <c r="A1491" s="11">
        <v>46048</v>
      </c>
      <c r="B1491" t="s">
        <v>35</v>
      </c>
      <c r="C1491" t="s">
        <v>32</v>
      </c>
      <c r="D1491">
        <v>11</v>
      </c>
      <c r="E1491">
        <v>10</v>
      </c>
      <c r="F1491">
        <v>18.54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68"/>
        <v>BOM</v>
      </c>
      <c r="M1491">
        <v>8</v>
      </c>
      <c r="N1491">
        <v>99.49</v>
      </c>
      <c r="O1491">
        <v>40.200000000000003</v>
      </c>
    </row>
    <row r="1492" spans="1:15" customFormat="1" hidden="1" x14ac:dyDescent="0.25">
      <c r="A1492" s="11">
        <v>46048</v>
      </c>
      <c r="B1492" t="s">
        <v>18</v>
      </c>
      <c r="C1492" t="s">
        <v>16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 t="shared" si="168"/>
        <v>BOM</v>
      </c>
      <c r="M1492">
        <v>0</v>
      </c>
      <c r="N1492">
        <v>100</v>
      </c>
      <c r="O1492">
        <v>25</v>
      </c>
    </row>
    <row r="1493" spans="1:15" customFormat="1" hidden="1" x14ac:dyDescent="0.25">
      <c r="A1493" s="11">
        <v>46048</v>
      </c>
      <c r="B1493" t="s">
        <v>52</v>
      </c>
      <c r="C1493" t="s">
        <v>48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 t="shared" ref="I1493:I1500" si="169">E1493+G1493+H1493</f>
        <v>31</v>
      </c>
      <c r="J1493" s="3">
        <f t="shared" ref="J1493:J1500" si="170"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19</v>
      </c>
      <c r="K1493" s="3">
        <f t="shared" ref="K1493:K1500" si="171">I1493-J1493</f>
        <v>12</v>
      </c>
      <c r="L1493" s="3" t="str">
        <f t="shared" si="168"/>
        <v>EXCELENTE</v>
      </c>
      <c r="M1493">
        <v>28</v>
      </c>
      <c r="N1493">
        <v>100</v>
      </c>
      <c r="O1493">
        <v>34.15094339622641</v>
      </c>
    </row>
    <row r="1494" spans="1:15" customFormat="1" hidden="1" x14ac:dyDescent="0.25">
      <c r="A1494" s="11">
        <v>46048</v>
      </c>
      <c r="B1494" t="s">
        <v>36</v>
      </c>
      <c r="C1494" t="s">
        <v>32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 t="shared" si="169"/>
        <v>25</v>
      </c>
      <c r="J1494" s="3">
        <f t="shared" si="170"/>
        <v>23</v>
      </c>
      <c r="K1494" s="3">
        <f t="shared" si="171"/>
        <v>2</v>
      </c>
      <c r="L1494" s="3" t="str">
        <f t="shared" si="168"/>
        <v>BOM</v>
      </c>
      <c r="M1494">
        <v>26</v>
      </c>
      <c r="N1494">
        <v>100</v>
      </c>
      <c r="O1494">
        <v>32.731376975169297</v>
      </c>
    </row>
    <row r="1495" spans="1:15" customFormat="1" hidden="1" x14ac:dyDescent="0.25">
      <c r="A1495" s="11">
        <v>46048</v>
      </c>
      <c r="B1495" t="s">
        <v>53</v>
      </c>
      <c r="C1495" t="s">
        <v>48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 t="shared" si="169"/>
        <v>24</v>
      </c>
      <c r="J1495" s="3">
        <f t="shared" si="170"/>
        <v>19</v>
      </c>
      <c r="K1495" s="3">
        <f t="shared" si="171"/>
        <v>5</v>
      </c>
      <c r="L1495" s="3" t="str">
        <f t="shared" si="168"/>
        <v>BOM</v>
      </c>
      <c r="M1495">
        <v>21</v>
      </c>
      <c r="N1495">
        <v>99.31</v>
      </c>
      <c r="O1495">
        <v>30.96234309623431</v>
      </c>
    </row>
    <row r="1496" spans="1:15" customFormat="1" hidden="1" x14ac:dyDescent="0.25">
      <c r="A1496" s="11">
        <v>46080</v>
      </c>
      <c r="B1496" t="s">
        <v>22</v>
      </c>
      <c r="C1496" t="s">
        <v>23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 t="shared" si="169"/>
        <v>13</v>
      </c>
      <c r="J1496" s="3">
        <f t="shared" si="170"/>
        <v>13</v>
      </c>
      <c r="K1496" s="3">
        <f t="shared" si="171"/>
        <v>0</v>
      </c>
      <c r="L1496" s="3" t="str">
        <f t="shared" si="168"/>
        <v>BOM</v>
      </c>
      <c r="M1496">
        <v>12</v>
      </c>
      <c r="N1496">
        <v>96.67</v>
      </c>
      <c r="O1496">
        <v>31.451612903225811</v>
      </c>
    </row>
    <row r="1497" spans="1:15" customFormat="1" hidden="1" x14ac:dyDescent="0.25">
      <c r="A1497" s="11">
        <v>46048</v>
      </c>
      <c r="B1497" t="s">
        <v>54</v>
      </c>
      <c r="C1497" t="s">
        <v>48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 t="shared" si="169"/>
        <v>26</v>
      </c>
      <c r="J1497" s="3">
        <f t="shared" si="170"/>
        <v>19</v>
      </c>
      <c r="K1497" s="3">
        <f t="shared" si="171"/>
        <v>7</v>
      </c>
      <c r="L1497" s="3" t="str">
        <f t="shared" si="168"/>
        <v>EXCELENTE</v>
      </c>
      <c r="M1497">
        <v>24</v>
      </c>
      <c r="N1497">
        <v>100</v>
      </c>
      <c r="O1497">
        <v>27.676767676767678</v>
      </c>
    </row>
    <row r="1498" spans="1:15" customFormat="1" hidden="1" x14ac:dyDescent="0.25">
      <c r="A1498" s="11">
        <v>46048</v>
      </c>
      <c r="B1498" t="s">
        <v>37</v>
      </c>
      <c r="C1498" t="s">
        <v>32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 t="shared" si="169"/>
        <v>38</v>
      </c>
      <c r="J1498" s="3">
        <f t="shared" si="170"/>
        <v>23</v>
      </c>
      <c r="K1498" s="3">
        <f t="shared" si="171"/>
        <v>15</v>
      </c>
      <c r="L1498" s="3" t="str">
        <f t="shared" si="168"/>
        <v>EXCELENTE</v>
      </c>
      <c r="M1498">
        <v>34</v>
      </c>
      <c r="N1498">
        <v>100</v>
      </c>
      <c r="O1498">
        <v>31.17723156532988</v>
      </c>
    </row>
    <row r="1499" spans="1:15" customFormat="1" hidden="1" x14ac:dyDescent="0.25">
      <c r="A1499" s="11">
        <v>46048</v>
      </c>
      <c r="B1499" t="s">
        <v>38</v>
      </c>
      <c r="C1499" t="s">
        <v>32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 t="shared" si="169"/>
        <v>21</v>
      </c>
      <c r="J1499" s="3">
        <f t="shared" si="170"/>
        <v>23</v>
      </c>
      <c r="K1499" s="3">
        <f t="shared" si="171"/>
        <v>-2</v>
      </c>
      <c r="L1499" s="3" t="str">
        <f t="shared" si="168"/>
        <v>ATENÇÃO</v>
      </c>
      <c r="M1499">
        <v>18</v>
      </c>
      <c r="N1499">
        <v>100</v>
      </c>
      <c r="O1499">
        <v>27.609427609427609</v>
      </c>
    </row>
    <row r="1500" spans="1:15" customFormat="1" hidden="1" x14ac:dyDescent="0.25">
      <c r="A1500" s="11">
        <v>46048</v>
      </c>
      <c r="B1500" t="s">
        <v>55</v>
      </c>
      <c r="C1500" t="s">
        <v>48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 t="shared" si="169"/>
        <v>28</v>
      </c>
      <c r="J1500" s="3">
        <f t="shared" si="170"/>
        <v>19</v>
      </c>
      <c r="K1500" s="3">
        <f t="shared" si="171"/>
        <v>9</v>
      </c>
      <c r="L1500" s="3" t="str">
        <f t="shared" si="168"/>
        <v>EXCELENTE</v>
      </c>
      <c r="M1500">
        <v>26</v>
      </c>
      <c r="N1500">
        <v>96.4</v>
      </c>
      <c r="O1500">
        <v>28.764044943820231</v>
      </c>
    </row>
    <row r="1501" spans="1:15" customFormat="1" hidden="1" x14ac:dyDescent="0.25">
      <c r="A1501" s="11">
        <v>46048</v>
      </c>
      <c r="B1501" t="s">
        <v>39</v>
      </c>
      <c r="C1501" t="s">
        <v>32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 t="shared" si="168"/>
        <v>BOM</v>
      </c>
      <c r="M1501">
        <v>0</v>
      </c>
      <c r="N1501">
        <v>100</v>
      </c>
      <c r="O1501">
        <v>33.980582524271853</v>
      </c>
    </row>
    <row r="1502" spans="1:15" customFormat="1" hidden="1" x14ac:dyDescent="0.25">
      <c r="A1502" s="11">
        <v>46048</v>
      </c>
      <c r="B1502" t="s">
        <v>25</v>
      </c>
      <c r="C1502" t="s">
        <v>26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 t="shared" si="168"/>
        <v>ATENÇÃO</v>
      </c>
      <c r="M1502">
        <v>8</v>
      </c>
      <c r="N1502">
        <v>97.56</v>
      </c>
      <c r="O1502">
        <v>32.515337423312893</v>
      </c>
    </row>
    <row r="1503" spans="1:15" customFormat="1" hidden="1" x14ac:dyDescent="0.25">
      <c r="A1503" s="11">
        <v>46048</v>
      </c>
      <c r="B1503" t="s">
        <v>40</v>
      </c>
      <c r="C1503" t="s">
        <v>32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23</v>
      </c>
      <c r="K1503" s="3">
        <f>I1503-J1503</f>
        <v>-7</v>
      </c>
      <c r="L1503" s="3" t="str">
        <f t="shared" si="168"/>
        <v>CRÍTICO</v>
      </c>
      <c r="M1503">
        <v>17</v>
      </c>
      <c r="N1503">
        <v>97.11</v>
      </c>
      <c r="O1503">
        <v>37.408312958435211</v>
      </c>
    </row>
    <row r="1504" spans="1:15" customFormat="1" hidden="1" x14ac:dyDescent="0.25">
      <c r="A1504" s="11">
        <v>46048</v>
      </c>
      <c r="B1504" t="s">
        <v>27</v>
      </c>
      <c r="C1504" t="s">
        <v>26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 t="shared" si="168"/>
        <v>BOM</v>
      </c>
      <c r="M1504">
        <v>0</v>
      </c>
      <c r="N1504">
        <v>0</v>
      </c>
      <c r="O1504">
        <v>0</v>
      </c>
    </row>
    <row r="1505" spans="1:15" customFormat="1" hidden="1" x14ac:dyDescent="0.25">
      <c r="A1505" s="11">
        <v>46048</v>
      </c>
      <c r="B1505" t="s">
        <v>41</v>
      </c>
      <c r="C1505" t="s">
        <v>32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1</v>
      </c>
      <c r="L1505" s="3" t="str">
        <f t="shared" si="168"/>
        <v>BOM</v>
      </c>
      <c r="M1505">
        <v>24</v>
      </c>
      <c r="N1505">
        <v>100</v>
      </c>
      <c r="O1505">
        <v>30.470347648261761</v>
      </c>
    </row>
    <row r="1506" spans="1:15" customFormat="1" hidden="1" x14ac:dyDescent="0.25">
      <c r="A1506" s="11">
        <v>46048</v>
      </c>
      <c r="B1506" t="s">
        <v>56</v>
      </c>
      <c r="C1506" t="s">
        <v>48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19</v>
      </c>
      <c r="K1506" s="3">
        <f>I1506-J1506</f>
        <v>11</v>
      </c>
      <c r="L1506" s="3" t="str">
        <f t="shared" si="168"/>
        <v>EXCELENTE</v>
      </c>
      <c r="M1506">
        <v>21</v>
      </c>
      <c r="N1506">
        <v>100</v>
      </c>
      <c r="O1506">
        <v>32.371134020618562</v>
      </c>
    </row>
    <row r="1507" spans="1:15" customFormat="1" hidden="1" x14ac:dyDescent="0.25">
      <c r="A1507" s="11">
        <v>46048</v>
      </c>
      <c r="B1507" t="s">
        <v>57</v>
      </c>
      <c r="C1507" t="s">
        <v>48</v>
      </c>
      <c r="D1507">
        <v>34</v>
      </c>
      <c r="E1507">
        <v>33</v>
      </c>
      <c r="F1507">
        <v>17.23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 t="shared" si="168"/>
        <v>BOM</v>
      </c>
      <c r="M1507">
        <v>29</v>
      </c>
      <c r="N1507">
        <v>98.32</v>
      </c>
      <c r="O1507">
        <v>32.318501170960189</v>
      </c>
    </row>
    <row r="1508" spans="1:15" customFormat="1" hidden="1" x14ac:dyDescent="0.25">
      <c r="A1508" s="11">
        <v>46048</v>
      </c>
      <c r="B1508" t="s">
        <v>42</v>
      </c>
      <c r="C1508" t="s">
        <v>32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23</v>
      </c>
      <c r="K1508" s="3">
        <f>I1508-J1508</f>
        <v>8</v>
      </c>
      <c r="L1508" s="3" t="str">
        <f t="shared" si="168"/>
        <v>EXCELENTE</v>
      </c>
      <c r="M1508">
        <v>28</v>
      </c>
      <c r="N1508">
        <v>96.43</v>
      </c>
      <c r="O1508">
        <v>27.015250544662312</v>
      </c>
    </row>
    <row r="1509" spans="1:15" customFormat="1" hidden="1" x14ac:dyDescent="0.25">
      <c r="A1509" s="11">
        <v>46048</v>
      </c>
      <c r="B1509" t="s">
        <v>62</v>
      </c>
      <c r="C1509" t="s">
        <v>23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15</v>
      </c>
      <c r="K1509" s="3">
        <f>I1509-J1509</f>
        <v>8</v>
      </c>
      <c r="L1509" s="3" t="str">
        <f t="shared" si="168"/>
        <v>EXCELENTE</v>
      </c>
      <c r="M1509">
        <v>22</v>
      </c>
      <c r="N1509">
        <v>98.89</v>
      </c>
      <c r="O1509">
        <v>28.021978021978018</v>
      </c>
    </row>
    <row r="1510" spans="1:15" customFormat="1" hidden="1" x14ac:dyDescent="0.25">
      <c r="A1510" s="11">
        <v>46048</v>
      </c>
      <c r="B1510" t="s">
        <v>19</v>
      </c>
      <c r="C1510" t="s">
        <v>16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68"/>
        <v>BOM</v>
      </c>
      <c r="M1510">
        <v>0</v>
      </c>
      <c r="N1510">
        <v>100</v>
      </c>
      <c r="O1510">
        <v>33.333333333333329</v>
      </c>
    </row>
    <row r="1511" spans="1:15" customFormat="1" hidden="1" x14ac:dyDescent="0.25">
      <c r="A1511" s="11">
        <v>46048</v>
      </c>
      <c r="B1511" t="s">
        <v>43</v>
      </c>
      <c r="C1511" t="s">
        <v>32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 t="shared" si="168"/>
        <v>BOM</v>
      </c>
      <c r="M1511">
        <v>0</v>
      </c>
      <c r="N1511">
        <v>100</v>
      </c>
      <c r="O1511">
        <v>27.43362831858407</v>
      </c>
    </row>
    <row r="1512" spans="1:15" customFormat="1" hidden="1" x14ac:dyDescent="0.25">
      <c r="A1512" s="11">
        <v>46048</v>
      </c>
      <c r="B1512" t="s">
        <v>44</v>
      </c>
      <c r="C1512" t="s">
        <v>32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23</v>
      </c>
      <c r="K1512" s="3">
        <f>I1512-J1512</f>
        <v>10</v>
      </c>
      <c r="L1512" s="3" t="str">
        <f t="shared" si="168"/>
        <v>EXCELENTE</v>
      </c>
      <c r="M1512">
        <v>31</v>
      </c>
      <c r="N1512">
        <v>98.65</v>
      </c>
      <c r="O1512">
        <v>30.978260869565219</v>
      </c>
    </row>
    <row r="1513" spans="1:15" customFormat="1" hidden="1" x14ac:dyDescent="0.25">
      <c r="A1513" s="11">
        <v>46048</v>
      </c>
      <c r="B1513" t="s">
        <v>20</v>
      </c>
      <c r="C1513" t="s">
        <v>16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7</v>
      </c>
      <c r="K1513" s="3">
        <f>I1513-J1513</f>
        <v>-4</v>
      </c>
      <c r="L1513" s="3" t="str">
        <f t="shared" si="168"/>
        <v>ATENÇÃO</v>
      </c>
      <c r="M1513">
        <v>0</v>
      </c>
      <c r="N1513">
        <v>100</v>
      </c>
      <c r="O1513">
        <v>12</v>
      </c>
    </row>
    <row r="1514" spans="1:15" customFormat="1" hidden="1" x14ac:dyDescent="0.25">
      <c r="A1514" s="11">
        <v>46048</v>
      </c>
      <c r="B1514" t="s">
        <v>28</v>
      </c>
      <c r="C1514" t="s">
        <v>26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 t="shared" si="168"/>
        <v>BOM</v>
      </c>
      <c r="M1514">
        <v>0</v>
      </c>
      <c r="N1514">
        <v>0</v>
      </c>
      <c r="O1514">
        <v>0</v>
      </c>
    </row>
    <row r="1515" spans="1:15" customFormat="1" hidden="1" x14ac:dyDescent="0.25">
      <c r="A1515" s="11">
        <v>46048</v>
      </c>
      <c r="B1515" t="s">
        <v>58</v>
      </c>
      <c r="C1515" t="s">
        <v>48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19</v>
      </c>
      <c r="K1515" s="3">
        <f>I1515-J1515</f>
        <v>0</v>
      </c>
      <c r="L1515" s="3" t="str">
        <f t="shared" si="168"/>
        <v>BOM</v>
      </c>
      <c r="M1515">
        <v>17</v>
      </c>
      <c r="N1515">
        <v>97.56</v>
      </c>
      <c r="O1515">
        <v>31.067961165048541</v>
      </c>
    </row>
    <row r="1516" spans="1:15" customFormat="1" hidden="1" x14ac:dyDescent="0.25">
      <c r="A1516" s="11">
        <v>46048</v>
      </c>
      <c r="B1516" t="s">
        <v>29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68"/>
        <v>BOM</v>
      </c>
      <c r="M1516">
        <v>0</v>
      </c>
      <c r="N1516">
        <v>0</v>
      </c>
      <c r="O1516">
        <v>0</v>
      </c>
    </row>
    <row r="1517" spans="1:15" customFormat="1" hidden="1" x14ac:dyDescent="0.25">
      <c r="A1517" s="11">
        <v>46048</v>
      </c>
      <c r="B1517" t="s">
        <v>30</v>
      </c>
      <c r="C1517" t="s">
        <v>26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68"/>
        <v>BOM</v>
      </c>
      <c r="M1517">
        <v>0</v>
      </c>
      <c r="N1517">
        <v>0</v>
      </c>
      <c r="O1517">
        <v>0</v>
      </c>
    </row>
    <row r="1518" spans="1:15" customFormat="1" hidden="1" x14ac:dyDescent="0.25">
      <c r="A1518" s="11">
        <v>46048</v>
      </c>
      <c r="B1518" t="s">
        <v>21</v>
      </c>
      <c r="C1518" t="s">
        <v>16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68"/>
        <v>BOM</v>
      </c>
      <c r="M1518">
        <v>0</v>
      </c>
      <c r="N1518">
        <v>0</v>
      </c>
      <c r="O1518">
        <v>0</v>
      </c>
    </row>
    <row r="1519" spans="1:15" customFormat="1" hidden="1" x14ac:dyDescent="0.25">
      <c r="A1519" s="11">
        <v>46048</v>
      </c>
      <c r="B1519" t="s">
        <v>63</v>
      </c>
      <c r="C1519" t="s">
        <v>23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 t="shared" si="168"/>
        <v>BOM</v>
      </c>
      <c r="M1519">
        <v>0</v>
      </c>
      <c r="N1519">
        <v>100</v>
      </c>
      <c r="O1519">
        <v>53.846153846153847</v>
      </c>
    </row>
    <row r="1520" spans="1:15" customFormat="1" hidden="1" x14ac:dyDescent="0.25">
      <c r="A1520" s="11">
        <v>46048</v>
      </c>
      <c r="B1520" t="s">
        <v>45</v>
      </c>
      <c r="C1520" t="s">
        <v>32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23</v>
      </c>
      <c r="K1520" s="3">
        <f>I1520-J1520</f>
        <v>10</v>
      </c>
      <c r="L1520" s="3" t="str">
        <f t="shared" si="168"/>
        <v>EXCELENTE</v>
      </c>
      <c r="M1520">
        <v>33</v>
      </c>
      <c r="N1520">
        <v>100</v>
      </c>
      <c r="O1520">
        <v>44.05594405594406</v>
      </c>
    </row>
    <row r="1521" spans="1:15" customFormat="1" hidden="1" x14ac:dyDescent="0.25">
      <c r="A1521" s="11">
        <v>46048</v>
      </c>
      <c r="B1521" t="s">
        <v>64</v>
      </c>
      <c r="C1521" t="s">
        <v>23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15</v>
      </c>
      <c r="K1521" s="3">
        <f>I1521-J1521</f>
        <v>-2</v>
      </c>
      <c r="L1521" s="3" t="str">
        <f t="shared" si="168"/>
        <v>ATENÇÃO</v>
      </c>
      <c r="M1521">
        <v>13</v>
      </c>
      <c r="N1521">
        <v>100</v>
      </c>
      <c r="O1521">
        <v>31.872509960159359</v>
      </c>
    </row>
    <row r="1522" spans="1:15" customFormat="1" hidden="1" x14ac:dyDescent="0.25">
      <c r="A1522" s="11">
        <v>46048</v>
      </c>
      <c r="B1522" t="s">
        <v>46</v>
      </c>
      <c r="C1522" t="s">
        <v>32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23</v>
      </c>
      <c r="K1522" s="3">
        <f>I1522-J1522</f>
        <v>3</v>
      </c>
      <c r="L1522" s="3" t="str">
        <f t="shared" si="168"/>
        <v>BOM</v>
      </c>
      <c r="M1522">
        <v>24</v>
      </c>
      <c r="N1522">
        <v>98.41</v>
      </c>
      <c r="O1522">
        <v>29.22465208747515</v>
      </c>
    </row>
    <row r="1523" spans="1:15" customFormat="1" hidden="1" x14ac:dyDescent="0.25">
      <c r="A1523" s="11">
        <v>46049</v>
      </c>
      <c r="B1523" t="s">
        <v>47</v>
      </c>
      <c r="C1523" t="s">
        <v>48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20</v>
      </c>
      <c r="K1523" s="3">
        <f>I1523-J1523</f>
        <v>8</v>
      </c>
      <c r="L1523" s="3" t="str">
        <f t="shared" si="168"/>
        <v>EXCELENTE</v>
      </c>
      <c r="M1523">
        <v>21</v>
      </c>
      <c r="N1523">
        <v>96.81</v>
      </c>
      <c r="O1523">
        <v>27.980535279805348</v>
      </c>
    </row>
    <row r="1524" spans="1:15" customFormat="1" hidden="1" x14ac:dyDescent="0.25">
      <c r="A1524" s="11">
        <v>46049</v>
      </c>
      <c r="B1524" t="s">
        <v>31</v>
      </c>
      <c r="C1524" t="s">
        <v>32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 t="shared" si="168"/>
        <v>BOM</v>
      </c>
      <c r="M1524">
        <v>29</v>
      </c>
      <c r="N1524">
        <v>98.73</v>
      </c>
      <c r="O1524">
        <v>35.756385068762278</v>
      </c>
    </row>
    <row r="1525" spans="1:15" customFormat="1" hidden="1" x14ac:dyDescent="0.25">
      <c r="A1525" s="11">
        <v>46049</v>
      </c>
      <c r="B1525" t="s">
        <v>59</v>
      </c>
      <c r="C1525" t="s">
        <v>23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17</v>
      </c>
      <c r="K1525" s="3">
        <f>I1525-J1525</f>
        <v>9</v>
      </c>
      <c r="L1525" s="3" t="str">
        <f t="shared" si="168"/>
        <v>EXCELENTE</v>
      </c>
      <c r="M1525">
        <v>24</v>
      </c>
      <c r="N1525">
        <v>98.32</v>
      </c>
      <c r="O1525">
        <v>26.763485477178421</v>
      </c>
    </row>
    <row r="1526" spans="1:15" customFormat="1" hidden="1" x14ac:dyDescent="0.25">
      <c r="A1526" s="11">
        <v>46049</v>
      </c>
      <c r="B1526" t="s">
        <v>33</v>
      </c>
      <c r="C1526" t="s">
        <v>32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25</v>
      </c>
      <c r="K1526" s="3">
        <f>I1526-J1526</f>
        <v>12</v>
      </c>
      <c r="L1526" s="3" t="str">
        <f t="shared" si="168"/>
        <v>EXCELENTE</v>
      </c>
      <c r="M1526">
        <v>31</v>
      </c>
      <c r="N1526">
        <v>99.19</v>
      </c>
      <c r="O1526">
        <v>27.637130801687761</v>
      </c>
    </row>
    <row r="1527" spans="1:15" customFormat="1" hidden="1" x14ac:dyDescent="0.25">
      <c r="A1527" s="11">
        <v>46049</v>
      </c>
      <c r="B1527" t="s">
        <v>15</v>
      </c>
      <c r="C1527" t="s">
        <v>16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 t="shared" si="168"/>
        <v>BOM</v>
      </c>
      <c r="M1527">
        <v>10</v>
      </c>
      <c r="N1527">
        <v>100</v>
      </c>
      <c r="O1527">
        <v>39.568345323741013</v>
      </c>
    </row>
    <row r="1528" spans="1:15" customFormat="1" hidden="1" x14ac:dyDescent="0.25">
      <c r="A1528" s="11">
        <v>46049</v>
      </c>
      <c r="B1528" t="s">
        <v>49</v>
      </c>
      <c r="C1528" t="s">
        <v>48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10</v>
      </c>
      <c r="L1528" s="3" t="str">
        <f t="shared" si="168"/>
        <v>EXCELENTE</v>
      </c>
      <c r="M1528">
        <v>26</v>
      </c>
      <c r="N1528">
        <v>98.54</v>
      </c>
      <c r="O1528">
        <v>28.544776119402989</v>
      </c>
    </row>
    <row r="1529" spans="1:15" customFormat="1" hidden="1" x14ac:dyDescent="0.25">
      <c r="A1529" s="11">
        <v>46049</v>
      </c>
      <c r="B1529" t="s">
        <v>50</v>
      </c>
      <c r="C1529" t="s">
        <v>48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20</v>
      </c>
      <c r="K1529" s="3">
        <f>I1529-J1529</f>
        <v>4</v>
      </c>
      <c r="L1529" s="3" t="str">
        <f t="shared" si="168"/>
        <v>BOM</v>
      </c>
      <c r="M1529">
        <v>22</v>
      </c>
      <c r="N1529">
        <v>100</v>
      </c>
      <c r="O1529">
        <v>34.366925064599492</v>
      </c>
    </row>
    <row r="1530" spans="1:15" customFormat="1" hidden="1" x14ac:dyDescent="0.25">
      <c r="A1530" s="11">
        <v>46049</v>
      </c>
      <c r="B1530" t="s">
        <v>17</v>
      </c>
      <c r="C1530" t="s">
        <v>16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 t="shared" si="168"/>
        <v>BOM</v>
      </c>
      <c r="M1530">
        <v>0</v>
      </c>
      <c r="N1530">
        <v>0</v>
      </c>
      <c r="O1530">
        <v>0</v>
      </c>
    </row>
    <row r="1531" spans="1:15" customFormat="1" hidden="1" x14ac:dyDescent="0.25">
      <c r="A1531" s="11">
        <v>46049</v>
      </c>
      <c r="B1531" t="s">
        <v>60</v>
      </c>
      <c r="C1531" t="s">
        <v>23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9</v>
      </c>
      <c r="L1531" s="3" t="str">
        <f t="shared" si="168"/>
        <v>EXCELENTE</v>
      </c>
      <c r="M1531">
        <v>22</v>
      </c>
      <c r="N1531">
        <v>100</v>
      </c>
      <c r="O1531">
        <v>29.518072289156631</v>
      </c>
    </row>
    <row r="1532" spans="1:15" customFormat="1" hidden="1" x14ac:dyDescent="0.25">
      <c r="A1532" s="11">
        <v>46049</v>
      </c>
      <c r="B1532" t="s">
        <v>34</v>
      </c>
      <c r="C1532" t="s">
        <v>32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25</v>
      </c>
      <c r="K1532" s="3">
        <f>I1532-J1532</f>
        <v>3</v>
      </c>
      <c r="L1532" s="3" t="str">
        <f t="shared" si="168"/>
        <v>BOM</v>
      </c>
      <c r="M1532">
        <v>25</v>
      </c>
      <c r="N1532">
        <v>97.45</v>
      </c>
      <c r="O1532">
        <v>41.421143847487002</v>
      </c>
    </row>
    <row r="1533" spans="1:15" customFormat="1" hidden="1" x14ac:dyDescent="0.25">
      <c r="A1533" s="11">
        <v>46049</v>
      </c>
      <c r="B1533" t="s">
        <v>51</v>
      </c>
      <c r="C1533" t="s">
        <v>48</v>
      </c>
      <c r="D1533">
        <v>35</v>
      </c>
      <c r="E1533">
        <v>25</v>
      </c>
      <c r="F1533">
        <v>13.29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 t="shared" si="168"/>
        <v>BOM</v>
      </c>
      <c r="M1533">
        <v>19</v>
      </c>
      <c r="N1533">
        <v>96.58</v>
      </c>
      <c r="O1533">
        <v>30.396475770925111</v>
      </c>
    </row>
    <row r="1534" spans="1:15" customFormat="1" hidden="1" x14ac:dyDescent="0.25">
      <c r="A1534" s="11">
        <v>46049</v>
      </c>
      <c r="B1534" t="s">
        <v>61</v>
      </c>
      <c r="C1534" t="s">
        <v>23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17</v>
      </c>
      <c r="K1534" s="3">
        <f>I1534-J1534</f>
        <v>5</v>
      </c>
      <c r="L1534" s="3" t="str">
        <f t="shared" si="168"/>
        <v>BOM</v>
      </c>
      <c r="M1534">
        <v>27</v>
      </c>
      <c r="N1534">
        <v>100</v>
      </c>
      <c r="O1534">
        <v>27.44282744282744</v>
      </c>
    </row>
    <row r="1535" spans="1:15" customFormat="1" hidden="1" x14ac:dyDescent="0.25">
      <c r="A1535" s="11">
        <v>46049</v>
      </c>
      <c r="B1535" t="s">
        <v>35</v>
      </c>
      <c r="C1535" t="s">
        <v>32</v>
      </c>
      <c r="D1535">
        <v>29</v>
      </c>
      <c r="E1535">
        <v>28</v>
      </c>
      <c r="F1535">
        <v>26.43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68"/>
        <v>BOM</v>
      </c>
      <c r="M1535">
        <v>26</v>
      </c>
      <c r="N1535">
        <v>99.49</v>
      </c>
      <c r="O1535">
        <v>40.200000000000003</v>
      </c>
    </row>
    <row r="1536" spans="1:15" customFormat="1" hidden="1" x14ac:dyDescent="0.25">
      <c r="A1536" s="11">
        <v>46049</v>
      </c>
      <c r="B1536" t="s">
        <v>18</v>
      </c>
      <c r="C1536" t="s">
        <v>16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 t="shared" si="168"/>
        <v>BOM</v>
      </c>
      <c r="M1536">
        <v>0</v>
      </c>
      <c r="N1536">
        <v>100</v>
      </c>
      <c r="O1536">
        <v>25</v>
      </c>
    </row>
    <row r="1537" spans="1:15" customFormat="1" hidden="1" x14ac:dyDescent="0.25">
      <c r="A1537" s="11">
        <v>46049</v>
      </c>
      <c r="B1537" t="s">
        <v>52</v>
      </c>
      <c r="C1537" t="s">
        <v>48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 t="shared" ref="I1537:I1544" si="172">E1537+G1537+H1537</f>
        <v>34</v>
      </c>
      <c r="J1537" s="3">
        <f t="shared" ref="J1537:J1544" si="173"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20</v>
      </c>
      <c r="K1537" s="3">
        <f t="shared" ref="K1537:K1544" si="174">I1537-J1537</f>
        <v>14</v>
      </c>
      <c r="L1537" s="3" t="str">
        <f t="shared" si="168"/>
        <v>EXCELENTE</v>
      </c>
      <c r="M1537">
        <v>30</v>
      </c>
      <c r="N1537">
        <v>100</v>
      </c>
      <c r="O1537">
        <v>34.15094339622641</v>
      </c>
    </row>
    <row r="1538" spans="1:15" customFormat="1" hidden="1" x14ac:dyDescent="0.25">
      <c r="A1538" s="11">
        <v>46049</v>
      </c>
      <c r="B1538" t="s">
        <v>36</v>
      </c>
      <c r="C1538" t="s">
        <v>32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 t="shared" si="172"/>
        <v>23</v>
      </c>
      <c r="J1538" s="3">
        <f t="shared" si="173"/>
        <v>25</v>
      </c>
      <c r="K1538" s="3">
        <f t="shared" si="174"/>
        <v>-2</v>
      </c>
      <c r="L1538" s="3" t="str">
        <f t="shared" si="168"/>
        <v>ATENÇÃO</v>
      </c>
      <c r="M1538">
        <v>25</v>
      </c>
      <c r="N1538">
        <v>100</v>
      </c>
      <c r="O1538">
        <v>32.731376975169297</v>
      </c>
    </row>
    <row r="1539" spans="1:15" customFormat="1" hidden="1" x14ac:dyDescent="0.25">
      <c r="A1539" s="11">
        <v>46049</v>
      </c>
      <c r="B1539" t="s">
        <v>53</v>
      </c>
      <c r="C1539" t="s">
        <v>48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 t="shared" si="172"/>
        <v>33</v>
      </c>
      <c r="J1539" s="3">
        <f t="shared" si="173"/>
        <v>20</v>
      </c>
      <c r="K1539" s="3">
        <f t="shared" si="174"/>
        <v>13</v>
      </c>
      <c r="L1539" s="3" t="str">
        <f t="shared" si="168"/>
        <v>EXCELENTE</v>
      </c>
      <c r="M1539">
        <v>25</v>
      </c>
      <c r="N1539">
        <v>99.31</v>
      </c>
      <c r="O1539">
        <v>30.96234309623431</v>
      </c>
    </row>
    <row r="1540" spans="1:15" customFormat="1" hidden="1" x14ac:dyDescent="0.25">
      <c r="A1540" s="11">
        <v>46083</v>
      </c>
      <c r="B1540" t="s">
        <v>22</v>
      </c>
      <c r="C1540" t="s">
        <v>23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 t="shared" si="172"/>
        <v>21</v>
      </c>
      <c r="J1540" s="3">
        <f t="shared" si="173"/>
        <v>18</v>
      </c>
      <c r="K1540" s="3">
        <f t="shared" si="174"/>
        <v>3</v>
      </c>
      <c r="L1540" s="3" t="str">
        <f t="shared" si="168"/>
        <v>BOM</v>
      </c>
      <c r="M1540">
        <v>20</v>
      </c>
      <c r="N1540">
        <v>99.05</v>
      </c>
      <c r="O1540">
        <v>26.621923937360179</v>
      </c>
    </row>
    <row r="1541" spans="1:15" customFormat="1" hidden="1" x14ac:dyDescent="0.25">
      <c r="A1541" s="11">
        <v>46049</v>
      </c>
      <c r="B1541" t="s">
        <v>54</v>
      </c>
      <c r="C1541" t="s">
        <v>48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 t="shared" si="172"/>
        <v>32</v>
      </c>
      <c r="J1541" s="3">
        <f t="shared" si="173"/>
        <v>20</v>
      </c>
      <c r="K1541" s="3">
        <f t="shared" si="174"/>
        <v>12</v>
      </c>
      <c r="L1541" s="3" t="str">
        <f t="shared" si="168"/>
        <v>EXCELENTE</v>
      </c>
      <c r="M1541">
        <v>28</v>
      </c>
      <c r="N1541">
        <v>100</v>
      </c>
      <c r="O1541">
        <v>27.676767676767678</v>
      </c>
    </row>
    <row r="1542" spans="1:15" customFormat="1" hidden="1" x14ac:dyDescent="0.25">
      <c r="A1542" s="11">
        <v>46049</v>
      </c>
      <c r="B1542" t="s">
        <v>37</v>
      </c>
      <c r="C1542" t="s">
        <v>32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 t="shared" si="172"/>
        <v>36</v>
      </c>
      <c r="J1542" s="3">
        <f t="shared" si="173"/>
        <v>25</v>
      </c>
      <c r="K1542" s="3">
        <f t="shared" si="174"/>
        <v>11</v>
      </c>
      <c r="L1542" s="3" t="str">
        <f t="shared" si="168"/>
        <v>EXCELENTE</v>
      </c>
      <c r="M1542">
        <v>30</v>
      </c>
      <c r="N1542">
        <v>100</v>
      </c>
      <c r="O1542">
        <v>31.17723156532988</v>
      </c>
    </row>
    <row r="1543" spans="1:15" customFormat="1" hidden="1" x14ac:dyDescent="0.25">
      <c r="A1543" s="11">
        <v>46049</v>
      </c>
      <c r="B1543" t="s">
        <v>38</v>
      </c>
      <c r="C1543" t="s">
        <v>32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 t="shared" si="172"/>
        <v>15</v>
      </c>
      <c r="J1543" s="3">
        <f t="shared" si="173"/>
        <v>25</v>
      </c>
      <c r="K1543" s="3">
        <f t="shared" si="174"/>
        <v>-10</v>
      </c>
      <c r="L1543" s="3" t="str">
        <f t="shared" ref="L1543:L1606" si="175">IF(K1543&lt;-5,"CRÍTICO",IF(K1543&lt;0,"ATENÇÃO",IF(K1543&lt;=5,"BOM","EXCELENTE")))</f>
        <v>CRÍTICO</v>
      </c>
      <c r="M1543">
        <v>14</v>
      </c>
      <c r="N1543">
        <v>100</v>
      </c>
      <c r="O1543">
        <v>27.609427609427609</v>
      </c>
    </row>
    <row r="1544" spans="1:15" customFormat="1" hidden="1" x14ac:dyDescent="0.25">
      <c r="A1544" s="11">
        <v>46049</v>
      </c>
      <c r="B1544" t="s">
        <v>55</v>
      </c>
      <c r="C1544" t="s">
        <v>48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 t="shared" si="172"/>
        <v>23</v>
      </c>
      <c r="J1544" s="3">
        <f t="shared" si="173"/>
        <v>20</v>
      </c>
      <c r="K1544" s="3">
        <f t="shared" si="174"/>
        <v>3</v>
      </c>
      <c r="L1544" s="3" t="str">
        <f t="shared" si="175"/>
        <v>BOM</v>
      </c>
      <c r="M1544">
        <v>23</v>
      </c>
      <c r="N1544">
        <v>96.4</v>
      </c>
      <c r="O1544">
        <v>28.764044943820231</v>
      </c>
    </row>
    <row r="1545" spans="1:15" customFormat="1" hidden="1" x14ac:dyDescent="0.25">
      <c r="A1545" s="11">
        <v>46049</v>
      </c>
      <c r="B1545" t="s">
        <v>39</v>
      </c>
      <c r="C1545" t="s">
        <v>32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 t="shared" si="175"/>
        <v>BOM</v>
      </c>
      <c r="M1545">
        <v>0</v>
      </c>
      <c r="N1545">
        <v>100</v>
      </c>
      <c r="O1545">
        <v>33.980582524271853</v>
      </c>
    </row>
    <row r="1546" spans="1:15" customFormat="1" hidden="1" x14ac:dyDescent="0.25">
      <c r="A1546" s="11">
        <v>46049</v>
      </c>
      <c r="B1546" t="s">
        <v>25</v>
      </c>
      <c r="C1546" t="s">
        <v>26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14</v>
      </c>
      <c r="K1546" s="3">
        <f>I1546-J1546</f>
        <v>-6</v>
      </c>
      <c r="L1546" s="3" t="str">
        <f t="shared" si="175"/>
        <v>CRÍTICO</v>
      </c>
      <c r="M1546">
        <v>5</v>
      </c>
      <c r="N1546">
        <v>97.56</v>
      </c>
      <c r="O1546">
        <v>32.515337423312893</v>
      </c>
    </row>
    <row r="1547" spans="1:15" customFormat="1" hidden="1" x14ac:dyDescent="0.25">
      <c r="A1547" s="11">
        <v>46049</v>
      </c>
      <c r="B1547" t="s">
        <v>40</v>
      </c>
      <c r="C1547" t="s">
        <v>32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25</v>
      </c>
      <c r="K1547" s="3">
        <f>I1547-J1547</f>
        <v>-11</v>
      </c>
      <c r="L1547" s="3" t="str">
        <f t="shared" si="175"/>
        <v>CRÍTICO</v>
      </c>
      <c r="M1547">
        <v>14</v>
      </c>
      <c r="N1547">
        <v>97.11</v>
      </c>
      <c r="O1547">
        <v>37.408312958435211</v>
      </c>
    </row>
    <row r="1548" spans="1:15" customFormat="1" hidden="1" x14ac:dyDescent="0.25">
      <c r="A1548" s="11">
        <v>46049</v>
      </c>
      <c r="B1548" t="s">
        <v>27</v>
      </c>
      <c r="C1548" t="s">
        <v>26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 t="shared" si="175"/>
        <v>BOM</v>
      </c>
      <c r="M1548">
        <v>0</v>
      </c>
      <c r="N1548">
        <v>0</v>
      </c>
      <c r="O1548">
        <v>0</v>
      </c>
    </row>
    <row r="1549" spans="1:15" customFormat="1" hidden="1" x14ac:dyDescent="0.25">
      <c r="A1549" s="11">
        <v>46049</v>
      </c>
      <c r="B1549" t="s">
        <v>41</v>
      </c>
      <c r="C1549" t="s">
        <v>32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0</v>
      </c>
      <c r="L1549" s="3" t="str">
        <f t="shared" si="175"/>
        <v>BOM</v>
      </c>
      <c r="M1549">
        <v>18</v>
      </c>
      <c r="N1549">
        <v>100</v>
      </c>
      <c r="O1549">
        <v>30.470347648261761</v>
      </c>
    </row>
    <row r="1550" spans="1:15" customFormat="1" hidden="1" x14ac:dyDescent="0.25">
      <c r="A1550" s="11">
        <v>46049</v>
      </c>
      <c r="B1550" t="s">
        <v>56</v>
      </c>
      <c r="C1550" t="s">
        <v>48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20</v>
      </c>
      <c r="K1550" s="3">
        <f>I1550-J1550</f>
        <v>17</v>
      </c>
      <c r="L1550" s="3" t="str">
        <f t="shared" si="175"/>
        <v>EXCELENTE</v>
      </c>
      <c r="M1550">
        <v>24</v>
      </c>
      <c r="N1550">
        <v>100</v>
      </c>
      <c r="O1550">
        <v>32.371134020618562</v>
      </c>
    </row>
    <row r="1551" spans="1:15" customFormat="1" hidden="1" x14ac:dyDescent="0.25">
      <c r="A1551" s="11">
        <v>46049</v>
      </c>
      <c r="B1551" t="s">
        <v>57</v>
      </c>
      <c r="C1551" t="s">
        <v>48</v>
      </c>
      <c r="D1551">
        <v>25</v>
      </c>
      <c r="E1551">
        <v>23</v>
      </c>
      <c r="F1551">
        <v>20.28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 t="shared" si="175"/>
        <v>BOM</v>
      </c>
      <c r="M1551">
        <v>19</v>
      </c>
      <c r="N1551">
        <v>98.32</v>
      </c>
      <c r="O1551">
        <v>32.318501170960189</v>
      </c>
    </row>
    <row r="1552" spans="1:15" customFormat="1" hidden="1" x14ac:dyDescent="0.25">
      <c r="A1552" s="11">
        <v>46049</v>
      </c>
      <c r="B1552" t="s">
        <v>42</v>
      </c>
      <c r="C1552" t="s">
        <v>32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25</v>
      </c>
      <c r="K1552" s="3">
        <f>I1552-J1552</f>
        <v>7</v>
      </c>
      <c r="L1552" s="3" t="str">
        <f t="shared" si="175"/>
        <v>EXCELENTE</v>
      </c>
      <c r="M1552">
        <v>13</v>
      </c>
      <c r="N1552">
        <v>96.43</v>
      </c>
      <c r="O1552">
        <v>27.015250544662312</v>
      </c>
    </row>
    <row r="1553" spans="1:15" customFormat="1" hidden="1" x14ac:dyDescent="0.25">
      <c r="A1553" s="11">
        <v>46049</v>
      </c>
      <c r="B1553" t="s">
        <v>62</v>
      </c>
      <c r="C1553" t="s">
        <v>23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17</v>
      </c>
      <c r="K1553" s="3">
        <f>I1553-J1553</f>
        <v>-2</v>
      </c>
      <c r="L1553" s="3" t="str">
        <f t="shared" si="175"/>
        <v>ATENÇÃO</v>
      </c>
      <c r="M1553">
        <v>13</v>
      </c>
      <c r="N1553">
        <v>98.89</v>
      </c>
      <c r="O1553">
        <v>28.021978021978018</v>
      </c>
    </row>
    <row r="1554" spans="1:15" customFormat="1" hidden="1" x14ac:dyDescent="0.25">
      <c r="A1554" s="11">
        <v>46049</v>
      </c>
      <c r="B1554" t="s">
        <v>19</v>
      </c>
      <c r="C1554" t="s">
        <v>16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 t="shared" si="175"/>
        <v>ATENÇÃO</v>
      </c>
      <c r="M1554">
        <v>4</v>
      </c>
      <c r="N1554">
        <v>100</v>
      </c>
      <c r="O1554">
        <v>33.333333333333329</v>
      </c>
    </row>
    <row r="1555" spans="1:15" customFormat="1" hidden="1" x14ac:dyDescent="0.25">
      <c r="A1555" s="11">
        <v>46049</v>
      </c>
      <c r="B1555" t="s">
        <v>43</v>
      </c>
      <c r="C1555" t="s">
        <v>32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 t="shared" si="175"/>
        <v>BOM</v>
      </c>
      <c r="M1555">
        <v>0</v>
      </c>
      <c r="N1555">
        <v>100</v>
      </c>
      <c r="O1555">
        <v>27.43362831858407</v>
      </c>
    </row>
    <row r="1556" spans="1:15" customFormat="1" hidden="1" x14ac:dyDescent="0.25">
      <c r="A1556" s="11">
        <v>46049</v>
      </c>
      <c r="B1556" t="s">
        <v>44</v>
      </c>
      <c r="C1556" t="s">
        <v>32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25</v>
      </c>
      <c r="K1556" s="3">
        <f>I1556-J1556</f>
        <v>-3</v>
      </c>
      <c r="L1556" s="3" t="str">
        <f t="shared" si="175"/>
        <v>ATENÇÃO</v>
      </c>
      <c r="M1556">
        <v>18</v>
      </c>
      <c r="N1556">
        <v>98.65</v>
      </c>
      <c r="O1556">
        <v>30.978260869565219</v>
      </c>
    </row>
    <row r="1557" spans="1:15" customFormat="1" hidden="1" x14ac:dyDescent="0.25">
      <c r="A1557" s="11">
        <v>46049</v>
      </c>
      <c r="B1557" t="s">
        <v>20</v>
      </c>
      <c r="C1557" t="s">
        <v>16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 t="shared" si="175"/>
        <v>ATENÇÃO</v>
      </c>
      <c r="M1557">
        <v>5</v>
      </c>
      <c r="N1557">
        <v>100</v>
      </c>
      <c r="O1557">
        <v>12</v>
      </c>
    </row>
    <row r="1558" spans="1:15" customFormat="1" hidden="1" x14ac:dyDescent="0.25">
      <c r="A1558" s="11">
        <v>46049</v>
      </c>
      <c r="B1558" t="s">
        <v>28</v>
      </c>
      <c r="C1558" t="s">
        <v>26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 t="shared" si="175"/>
        <v>BOM</v>
      </c>
      <c r="M1558">
        <v>0</v>
      </c>
      <c r="N1558">
        <v>0</v>
      </c>
      <c r="O1558">
        <v>0</v>
      </c>
    </row>
    <row r="1559" spans="1:15" customFormat="1" hidden="1" x14ac:dyDescent="0.25">
      <c r="A1559" s="11">
        <v>46049</v>
      </c>
      <c r="B1559" t="s">
        <v>58</v>
      </c>
      <c r="C1559" t="s">
        <v>48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20</v>
      </c>
      <c r="K1559" s="3">
        <f>I1559-J1559</f>
        <v>-9</v>
      </c>
      <c r="L1559" s="3" t="str">
        <f t="shared" si="175"/>
        <v>CRÍTICO</v>
      </c>
      <c r="M1559">
        <v>8</v>
      </c>
      <c r="N1559">
        <v>97.56</v>
      </c>
      <c r="O1559">
        <v>31.067961165048541</v>
      </c>
    </row>
    <row r="1560" spans="1:15" customFormat="1" hidden="1" x14ac:dyDescent="0.25">
      <c r="A1560" s="11">
        <v>46049</v>
      </c>
      <c r="B1560" t="s">
        <v>29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175"/>
        <v>BOM</v>
      </c>
      <c r="M1560">
        <v>0</v>
      </c>
      <c r="N1560">
        <v>0</v>
      </c>
      <c r="O1560">
        <v>0</v>
      </c>
    </row>
    <row r="1561" spans="1:15" customFormat="1" hidden="1" x14ac:dyDescent="0.25">
      <c r="A1561" s="11">
        <v>46049</v>
      </c>
      <c r="B1561" t="s">
        <v>30</v>
      </c>
      <c r="C1561" t="s">
        <v>26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175"/>
        <v>BOM</v>
      </c>
      <c r="M1561">
        <v>0</v>
      </c>
      <c r="N1561">
        <v>0</v>
      </c>
      <c r="O1561">
        <v>0</v>
      </c>
    </row>
    <row r="1562" spans="1:15" customFormat="1" hidden="1" x14ac:dyDescent="0.25">
      <c r="A1562" s="11">
        <v>46049</v>
      </c>
      <c r="B1562" t="s">
        <v>21</v>
      </c>
      <c r="C1562" t="s">
        <v>16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175"/>
        <v>BOM</v>
      </c>
      <c r="M1562">
        <v>0</v>
      </c>
      <c r="N1562">
        <v>0</v>
      </c>
      <c r="O1562">
        <v>0</v>
      </c>
    </row>
    <row r="1563" spans="1:15" customFormat="1" hidden="1" x14ac:dyDescent="0.25">
      <c r="A1563" s="11">
        <v>46049</v>
      </c>
      <c r="B1563" t="s">
        <v>63</v>
      </c>
      <c r="C1563" t="s">
        <v>23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 t="shared" si="175"/>
        <v>BOM</v>
      </c>
      <c r="M1563">
        <v>0</v>
      </c>
      <c r="N1563">
        <v>100</v>
      </c>
      <c r="O1563">
        <v>53.846153846153847</v>
      </c>
    </row>
    <row r="1564" spans="1:15" customFormat="1" hidden="1" x14ac:dyDescent="0.25">
      <c r="A1564" s="11">
        <v>46049</v>
      </c>
      <c r="B1564" t="s">
        <v>45</v>
      </c>
      <c r="C1564" t="s">
        <v>32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25</v>
      </c>
      <c r="K1564" s="3">
        <f>I1564-J1564</f>
        <v>9</v>
      </c>
      <c r="L1564" s="3" t="str">
        <f t="shared" si="175"/>
        <v>EXCELENTE</v>
      </c>
      <c r="M1564">
        <v>28</v>
      </c>
      <c r="N1564">
        <v>100</v>
      </c>
      <c r="O1564">
        <v>44.05594405594406</v>
      </c>
    </row>
    <row r="1565" spans="1:15" customFormat="1" hidden="1" x14ac:dyDescent="0.25">
      <c r="A1565" s="11">
        <v>46049</v>
      </c>
      <c r="B1565" t="s">
        <v>64</v>
      </c>
      <c r="C1565" t="s">
        <v>23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17</v>
      </c>
      <c r="K1565" s="3">
        <f>I1565-J1565</f>
        <v>3</v>
      </c>
      <c r="L1565" s="3" t="str">
        <f t="shared" si="175"/>
        <v>BOM</v>
      </c>
      <c r="M1565">
        <v>17</v>
      </c>
      <c r="N1565">
        <v>100</v>
      </c>
      <c r="O1565">
        <v>31.872509960159359</v>
      </c>
    </row>
    <row r="1566" spans="1:15" customFormat="1" hidden="1" x14ac:dyDescent="0.25">
      <c r="A1566" s="11">
        <v>46049</v>
      </c>
      <c r="B1566" t="s">
        <v>46</v>
      </c>
      <c r="C1566" t="s">
        <v>32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25</v>
      </c>
      <c r="K1566" s="3">
        <f>I1566-J1566</f>
        <v>6</v>
      </c>
      <c r="L1566" s="3" t="str">
        <f t="shared" si="175"/>
        <v>EXCELENTE</v>
      </c>
      <c r="M1566">
        <v>29</v>
      </c>
      <c r="N1566">
        <v>98.41</v>
      </c>
      <c r="O1566">
        <v>29.22465208747515</v>
      </c>
    </row>
    <row r="1567" spans="1:15" customFormat="1" hidden="1" x14ac:dyDescent="0.25">
      <c r="A1567" s="11">
        <v>46050</v>
      </c>
      <c r="B1567" t="s">
        <v>47</v>
      </c>
      <c r="C1567" t="s">
        <v>48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23</v>
      </c>
      <c r="K1567" s="3">
        <f>I1567-J1567</f>
        <v>17</v>
      </c>
      <c r="L1567" s="3" t="str">
        <f t="shared" si="175"/>
        <v>EXCELENTE</v>
      </c>
      <c r="M1567">
        <v>39</v>
      </c>
      <c r="N1567">
        <v>96.81</v>
      </c>
      <c r="O1567">
        <v>27.980535279805348</v>
      </c>
    </row>
    <row r="1568" spans="1:15" customFormat="1" hidden="1" x14ac:dyDescent="0.25">
      <c r="A1568" s="11">
        <v>46050</v>
      </c>
      <c r="B1568" t="s">
        <v>31</v>
      </c>
      <c r="C1568" t="s">
        <v>32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 t="shared" si="175"/>
        <v>BOM</v>
      </c>
      <c r="M1568">
        <v>36</v>
      </c>
      <c r="N1568">
        <v>98.73</v>
      </c>
      <c r="O1568">
        <v>35.756385068762278</v>
      </c>
    </row>
    <row r="1569" spans="1:15" customFormat="1" hidden="1" x14ac:dyDescent="0.25">
      <c r="A1569" s="11">
        <v>46050</v>
      </c>
      <c r="B1569" t="s">
        <v>59</v>
      </c>
      <c r="C1569" t="s">
        <v>23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19</v>
      </c>
      <c r="K1569" s="3">
        <f>I1569-J1569</f>
        <v>9</v>
      </c>
      <c r="L1569" s="3" t="str">
        <f t="shared" si="175"/>
        <v>EXCELENTE</v>
      </c>
      <c r="M1569">
        <v>24</v>
      </c>
      <c r="N1569">
        <v>98.32</v>
      </c>
      <c r="O1569">
        <v>26.763485477178421</v>
      </c>
    </row>
    <row r="1570" spans="1:15" customFormat="1" hidden="1" x14ac:dyDescent="0.25">
      <c r="A1570" s="11">
        <v>46050</v>
      </c>
      <c r="B1570" t="s">
        <v>33</v>
      </c>
      <c r="C1570" t="s">
        <v>32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29</v>
      </c>
      <c r="K1570" s="3">
        <f>I1570-J1570</f>
        <v>-6</v>
      </c>
      <c r="L1570" s="3" t="str">
        <f t="shared" si="175"/>
        <v>CRÍTICO</v>
      </c>
      <c r="M1570">
        <v>20</v>
      </c>
      <c r="N1570">
        <v>99.19</v>
      </c>
      <c r="O1570">
        <v>27.637130801687761</v>
      </c>
    </row>
    <row r="1571" spans="1:15" customFormat="1" hidden="1" x14ac:dyDescent="0.25">
      <c r="A1571" s="11">
        <v>46050</v>
      </c>
      <c r="B1571" t="s">
        <v>15</v>
      </c>
      <c r="C1571" t="s">
        <v>16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8</v>
      </c>
      <c r="K1571" s="3">
        <f>I1571-J1571</f>
        <v>5</v>
      </c>
      <c r="L1571" s="3" t="str">
        <f t="shared" si="175"/>
        <v>BOM</v>
      </c>
      <c r="M1571">
        <v>13</v>
      </c>
      <c r="N1571">
        <v>100</v>
      </c>
      <c r="O1571">
        <v>39.568345323741013</v>
      </c>
    </row>
    <row r="1572" spans="1:15" customFormat="1" hidden="1" x14ac:dyDescent="0.25">
      <c r="A1572" s="11">
        <v>46050</v>
      </c>
      <c r="B1572" t="s">
        <v>49</v>
      </c>
      <c r="C1572" t="s">
        <v>48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12</v>
      </c>
      <c r="L1572" s="3" t="str">
        <f t="shared" si="175"/>
        <v>EXCELENTE</v>
      </c>
      <c r="M1572">
        <v>38</v>
      </c>
      <c r="N1572">
        <v>98.54</v>
      </c>
      <c r="O1572">
        <v>28.544776119402989</v>
      </c>
    </row>
    <row r="1573" spans="1:15" customFormat="1" hidden="1" x14ac:dyDescent="0.25">
      <c r="A1573" s="11">
        <v>46050</v>
      </c>
      <c r="B1573" t="s">
        <v>50</v>
      </c>
      <c r="C1573" t="s">
        <v>48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23</v>
      </c>
      <c r="K1573" s="3">
        <f>I1573-J1573</f>
        <v>1</v>
      </c>
      <c r="L1573" s="3" t="str">
        <f t="shared" si="175"/>
        <v>BOM</v>
      </c>
      <c r="M1573">
        <v>20</v>
      </c>
      <c r="N1573">
        <v>100</v>
      </c>
      <c r="O1573">
        <v>34.366925064599492</v>
      </c>
    </row>
    <row r="1574" spans="1:15" customFormat="1" hidden="1" x14ac:dyDescent="0.25">
      <c r="A1574" s="11">
        <v>46050</v>
      </c>
      <c r="B1574" t="s">
        <v>17</v>
      </c>
      <c r="C1574" t="s">
        <v>16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 t="shared" si="175"/>
        <v>BOM</v>
      </c>
      <c r="M1574">
        <v>0</v>
      </c>
      <c r="N1574">
        <v>0</v>
      </c>
      <c r="O1574">
        <v>0</v>
      </c>
    </row>
    <row r="1575" spans="1:15" customFormat="1" hidden="1" x14ac:dyDescent="0.25">
      <c r="A1575" s="11">
        <v>46050</v>
      </c>
      <c r="B1575" t="s">
        <v>60</v>
      </c>
      <c r="C1575" t="s">
        <v>23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6</v>
      </c>
      <c r="L1575" s="3" t="str">
        <f t="shared" si="175"/>
        <v>EXCELENTE</v>
      </c>
      <c r="M1575">
        <v>26</v>
      </c>
      <c r="N1575">
        <v>100</v>
      </c>
      <c r="O1575">
        <v>29.518072289156631</v>
      </c>
    </row>
    <row r="1576" spans="1:15" customFormat="1" hidden="1" x14ac:dyDescent="0.25">
      <c r="A1576" s="11">
        <v>46050</v>
      </c>
      <c r="B1576" t="s">
        <v>34</v>
      </c>
      <c r="C1576" t="s">
        <v>32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29</v>
      </c>
      <c r="K1576" s="3">
        <f>I1576-J1576</f>
        <v>8</v>
      </c>
      <c r="L1576" s="3" t="str">
        <f t="shared" si="175"/>
        <v>EXCELENTE</v>
      </c>
      <c r="M1576">
        <v>36</v>
      </c>
      <c r="N1576">
        <v>97.45</v>
      </c>
      <c r="O1576">
        <v>41.421143847487002</v>
      </c>
    </row>
    <row r="1577" spans="1:15" customFormat="1" hidden="1" x14ac:dyDescent="0.25">
      <c r="A1577" s="11">
        <v>46050</v>
      </c>
      <c r="B1577" t="s">
        <v>51</v>
      </c>
      <c r="C1577" t="s">
        <v>48</v>
      </c>
      <c r="D1577">
        <v>41</v>
      </c>
      <c r="E1577">
        <v>32</v>
      </c>
      <c r="F1577">
        <v>13.51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 t="shared" si="175"/>
        <v>BOM</v>
      </c>
      <c r="M1577">
        <v>30</v>
      </c>
      <c r="N1577">
        <v>96.58</v>
      </c>
      <c r="O1577">
        <v>30.396475770925111</v>
      </c>
    </row>
    <row r="1578" spans="1:15" customFormat="1" hidden="1" x14ac:dyDescent="0.25">
      <c r="A1578" s="11">
        <v>46050</v>
      </c>
      <c r="B1578" t="s">
        <v>61</v>
      </c>
      <c r="C1578" t="s">
        <v>23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19</v>
      </c>
      <c r="K1578" s="3">
        <f>I1578-J1578</f>
        <v>4</v>
      </c>
      <c r="L1578" s="3" t="str">
        <f t="shared" si="175"/>
        <v>BOM</v>
      </c>
      <c r="M1578">
        <v>28</v>
      </c>
      <c r="N1578">
        <v>100</v>
      </c>
      <c r="O1578">
        <v>27.44282744282744</v>
      </c>
    </row>
    <row r="1579" spans="1:15" customFormat="1" hidden="1" x14ac:dyDescent="0.25">
      <c r="A1579" s="11">
        <v>46050</v>
      </c>
      <c r="B1579" t="s">
        <v>35</v>
      </c>
      <c r="C1579" t="s">
        <v>32</v>
      </c>
      <c r="D1579">
        <v>32</v>
      </c>
      <c r="E1579">
        <v>32</v>
      </c>
      <c r="F1579">
        <v>22.01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 t="shared" si="175"/>
        <v>BOM</v>
      </c>
      <c r="M1579">
        <v>31</v>
      </c>
      <c r="N1579">
        <v>99.49</v>
      </c>
      <c r="O1579">
        <v>40.200000000000003</v>
      </c>
    </row>
    <row r="1580" spans="1:15" customFormat="1" hidden="1" x14ac:dyDescent="0.25">
      <c r="A1580" s="11">
        <v>46050</v>
      </c>
      <c r="B1580" t="s">
        <v>18</v>
      </c>
      <c r="C1580" t="s">
        <v>16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 t="shared" ref="I1580:I1588" si="176">E1580+G1580+H1580</f>
        <v>2</v>
      </c>
      <c r="J1580" s="3">
        <f t="shared" ref="J1580:J1588" si="177"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8</v>
      </c>
      <c r="K1580" s="3">
        <f t="shared" ref="K1580:K1588" si="178">I1580-J1580</f>
        <v>-6</v>
      </c>
      <c r="L1580" s="3" t="str">
        <f t="shared" si="175"/>
        <v>CRÍTICO</v>
      </c>
      <c r="M1580">
        <v>0</v>
      </c>
      <c r="N1580">
        <v>100</v>
      </c>
      <c r="O1580">
        <v>25</v>
      </c>
    </row>
    <row r="1581" spans="1:15" customFormat="1" hidden="1" x14ac:dyDescent="0.25">
      <c r="A1581" s="11">
        <v>46050</v>
      </c>
      <c r="B1581" t="s">
        <v>52</v>
      </c>
      <c r="C1581" t="s">
        <v>48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 t="shared" si="176"/>
        <v>31</v>
      </c>
      <c r="J1581" s="3">
        <f t="shared" si="177"/>
        <v>23</v>
      </c>
      <c r="K1581" s="3">
        <f t="shared" si="178"/>
        <v>8</v>
      </c>
      <c r="L1581" s="3" t="str">
        <f t="shared" si="175"/>
        <v>EXCELENTE</v>
      </c>
      <c r="M1581">
        <v>31</v>
      </c>
      <c r="N1581">
        <v>100</v>
      </c>
      <c r="O1581">
        <v>34.15094339622641</v>
      </c>
    </row>
    <row r="1582" spans="1:15" customFormat="1" hidden="1" x14ac:dyDescent="0.25">
      <c r="A1582" s="11">
        <v>46050</v>
      </c>
      <c r="B1582" t="s">
        <v>36</v>
      </c>
      <c r="C1582" t="s">
        <v>32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 t="shared" si="176"/>
        <v>30</v>
      </c>
      <c r="J1582" s="3">
        <f t="shared" si="177"/>
        <v>29</v>
      </c>
      <c r="K1582" s="3">
        <f t="shared" si="178"/>
        <v>1</v>
      </c>
      <c r="L1582" s="3" t="str">
        <f t="shared" si="175"/>
        <v>BOM</v>
      </c>
      <c r="M1582">
        <v>32</v>
      </c>
      <c r="N1582">
        <v>100</v>
      </c>
      <c r="O1582">
        <v>32.731376975169297</v>
      </c>
    </row>
    <row r="1583" spans="1:15" customFormat="1" hidden="1" x14ac:dyDescent="0.25">
      <c r="A1583" s="11">
        <v>46050</v>
      </c>
      <c r="B1583" t="s">
        <v>53</v>
      </c>
      <c r="C1583" t="s">
        <v>48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 t="shared" si="176"/>
        <v>30</v>
      </c>
      <c r="J1583" s="3">
        <f t="shared" si="177"/>
        <v>23</v>
      </c>
      <c r="K1583" s="3">
        <f t="shared" si="178"/>
        <v>7</v>
      </c>
      <c r="L1583" s="3" t="str">
        <f t="shared" si="175"/>
        <v>EXCELENTE</v>
      </c>
      <c r="M1583">
        <v>28</v>
      </c>
      <c r="N1583">
        <v>99.31</v>
      </c>
      <c r="O1583">
        <v>30.96234309623431</v>
      </c>
    </row>
    <row r="1584" spans="1:15" customFormat="1" hidden="1" x14ac:dyDescent="0.25">
      <c r="A1584" s="11">
        <v>46084</v>
      </c>
      <c r="B1584" t="s">
        <v>22</v>
      </c>
      <c r="C1584" t="s">
        <v>23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 t="shared" si="176"/>
        <v>21</v>
      </c>
      <c r="J1584" s="3">
        <f t="shared" si="177"/>
        <v>18</v>
      </c>
      <c r="K1584" s="3">
        <f t="shared" si="178"/>
        <v>3</v>
      </c>
      <c r="L1584" s="3" t="str">
        <f t="shared" si="175"/>
        <v>BOM</v>
      </c>
      <c r="M1584">
        <v>21</v>
      </c>
      <c r="N1584">
        <v>99.05</v>
      </c>
      <c r="O1584">
        <v>26.621923937360179</v>
      </c>
    </row>
    <row r="1585" spans="1:15" customFormat="1" hidden="1" x14ac:dyDescent="0.25">
      <c r="A1585" s="11">
        <v>46050</v>
      </c>
      <c r="B1585" t="s">
        <v>54</v>
      </c>
      <c r="C1585" t="s">
        <v>48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 t="shared" si="176"/>
        <v>34</v>
      </c>
      <c r="J1585" s="3">
        <f t="shared" si="177"/>
        <v>23</v>
      </c>
      <c r="K1585" s="3">
        <f t="shared" si="178"/>
        <v>11</v>
      </c>
      <c r="L1585" s="3" t="str">
        <f t="shared" si="175"/>
        <v>EXCELENTE</v>
      </c>
      <c r="M1585">
        <v>30</v>
      </c>
      <c r="N1585">
        <v>100</v>
      </c>
      <c r="O1585">
        <v>27.676767676767678</v>
      </c>
    </row>
    <row r="1586" spans="1:15" customFormat="1" hidden="1" x14ac:dyDescent="0.25">
      <c r="A1586" s="11">
        <v>46050</v>
      </c>
      <c r="B1586" t="s">
        <v>37</v>
      </c>
      <c r="C1586" t="s">
        <v>32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 t="shared" si="176"/>
        <v>50</v>
      </c>
      <c r="J1586" s="3">
        <f t="shared" si="177"/>
        <v>29</v>
      </c>
      <c r="K1586" s="3">
        <f t="shared" si="178"/>
        <v>21</v>
      </c>
      <c r="L1586" s="3" t="str">
        <f t="shared" si="175"/>
        <v>EXCELENTE</v>
      </c>
      <c r="M1586">
        <v>47</v>
      </c>
      <c r="N1586">
        <v>100</v>
      </c>
      <c r="O1586">
        <v>31.17723156532988</v>
      </c>
    </row>
    <row r="1587" spans="1:15" customFormat="1" hidden="1" x14ac:dyDescent="0.25">
      <c r="A1587" s="11">
        <v>46050</v>
      </c>
      <c r="B1587" t="s">
        <v>38</v>
      </c>
      <c r="C1587" t="s">
        <v>32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 t="shared" si="176"/>
        <v>15</v>
      </c>
      <c r="J1587" s="3">
        <f t="shared" si="177"/>
        <v>29</v>
      </c>
      <c r="K1587" s="3">
        <f t="shared" si="178"/>
        <v>-14</v>
      </c>
      <c r="L1587" s="3" t="str">
        <f t="shared" si="175"/>
        <v>CRÍTICO</v>
      </c>
      <c r="M1587">
        <v>16</v>
      </c>
      <c r="N1587">
        <v>100</v>
      </c>
      <c r="O1587">
        <v>27.609427609427609</v>
      </c>
    </row>
    <row r="1588" spans="1:15" customFormat="1" hidden="1" x14ac:dyDescent="0.25">
      <c r="A1588" s="11">
        <v>46050</v>
      </c>
      <c r="B1588" t="s">
        <v>55</v>
      </c>
      <c r="C1588" t="s">
        <v>48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 t="shared" si="176"/>
        <v>38</v>
      </c>
      <c r="J1588" s="3">
        <f t="shared" si="177"/>
        <v>23</v>
      </c>
      <c r="K1588" s="3">
        <f t="shared" si="178"/>
        <v>15</v>
      </c>
      <c r="L1588" s="3" t="str">
        <f t="shared" si="175"/>
        <v>EXCELENTE</v>
      </c>
      <c r="M1588">
        <v>37</v>
      </c>
      <c r="N1588">
        <v>96.4</v>
      </c>
      <c r="O1588">
        <v>28.764044943820231</v>
      </c>
    </row>
    <row r="1589" spans="1:15" customFormat="1" hidden="1" x14ac:dyDescent="0.25">
      <c r="A1589" s="11">
        <v>46050</v>
      </c>
      <c r="B1589" t="s">
        <v>39</v>
      </c>
      <c r="C1589" t="s">
        <v>32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 t="shared" si="175"/>
        <v>BOM</v>
      </c>
      <c r="M1589">
        <v>0</v>
      </c>
      <c r="N1589">
        <v>100</v>
      </c>
      <c r="O1589">
        <v>33.980582524271853</v>
      </c>
    </row>
    <row r="1590" spans="1:15" customFormat="1" hidden="1" x14ac:dyDescent="0.25">
      <c r="A1590" s="11">
        <v>46050</v>
      </c>
      <c r="B1590" t="s">
        <v>25</v>
      </c>
      <c r="C1590" t="s">
        <v>26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16</v>
      </c>
      <c r="K1590" s="3">
        <f>I1590-J1590</f>
        <v>-7</v>
      </c>
      <c r="L1590" s="3" t="str">
        <f t="shared" si="175"/>
        <v>CRÍTICO</v>
      </c>
      <c r="M1590">
        <v>10</v>
      </c>
      <c r="N1590">
        <v>97.56</v>
      </c>
      <c r="O1590">
        <v>32.515337423312893</v>
      </c>
    </row>
    <row r="1591" spans="1:15" customFormat="1" hidden="1" x14ac:dyDescent="0.25">
      <c r="A1591" s="11">
        <v>46050</v>
      </c>
      <c r="B1591" t="s">
        <v>40</v>
      </c>
      <c r="C1591" t="s">
        <v>32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29</v>
      </c>
      <c r="K1591" s="3">
        <f>I1591-J1591</f>
        <v>-11</v>
      </c>
      <c r="L1591" s="3" t="str">
        <f t="shared" si="175"/>
        <v>CRÍTICO</v>
      </c>
      <c r="M1591">
        <v>18</v>
      </c>
      <c r="N1591">
        <v>97.11</v>
      </c>
      <c r="O1591">
        <v>37.408312958435211</v>
      </c>
    </row>
    <row r="1592" spans="1:15" customFormat="1" hidden="1" x14ac:dyDescent="0.25">
      <c r="A1592" s="11">
        <v>46050</v>
      </c>
      <c r="B1592" t="s">
        <v>27</v>
      </c>
      <c r="C1592" t="s">
        <v>26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 t="shared" si="175"/>
        <v>BOM</v>
      </c>
      <c r="M1592">
        <v>0</v>
      </c>
      <c r="N1592">
        <v>0</v>
      </c>
      <c r="O1592">
        <v>0</v>
      </c>
    </row>
    <row r="1593" spans="1:15" customFormat="1" hidden="1" x14ac:dyDescent="0.25">
      <c r="A1593" s="11">
        <v>46050</v>
      </c>
      <c r="B1593" t="s">
        <v>41</v>
      </c>
      <c r="C1593" t="s">
        <v>32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-3</v>
      </c>
      <c r="L1593" s="3" t="str">
        <f t="shared" si="175"/>
        <v>ATENÇÃO</v>
      </c>
      <c r="M1593">
        <v>28</v>
      </c>
      <c r="N1593">
        <v>100</v>
      </c>
      <c r="O1593">
        <v>30.470347648261761</v>
      </c>
    </row>
    <row r="1594" spans="1:15" customFormat="1" hidden="1" x14ac:dyDescent="0.25">
      <c r="A1594" s="11">
        <v>46050</v>
      </c>
      <c r="B1594" t="s">
        <v>56</v>
      </c>
      <c r="C1594" t="s">
        <v>48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23</v>
      </c>
      <c r="K1594" s="3">
        <f>I1594-J1594</f>
        <v>7</v>
      </c>
      <c r="L1594" s="3" t="str">
        <f t="shared" si="175"/>
        <v>EXCELENTE</v>
      </c>
      <c r="M1594">
        <v>25</v>
      </c>
      <c r="N1594">
        <v>100</v>
      </c>
      <c r="O1594">
        <v>32.371134020618562</v>
      </c>
    </row>
    <row r="1595" spans="1:15" customFormat="1" hidden="1" x14ac:dyDescent="0.25">
      <c r="A1595" s="11">
        <v>46050</v>
      </c>
      <c r="B1595" t="s">
        <v>57</v>
      </c>
      <c r="C1595" t="s">
        <v>48</v>
      </c>
      <c r="D1595">
        <v>42</v>
      </c>
      <c r="E1595">
        <v>40</v>
      </c>
      <c r="F1595">
        <v>13.55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 t="shared" si="175"/>
        <v>BOM</v>
      </c>
      <c r="M1595">
        <v>35</v>
      </c>
      <c r="N1595">
        <v>98.32</v>
      </c>
      <c r="O1595">
        <v>32.318501170960189</v>
      </c>
    </row>
    <row r="1596" spans="1:15" customFormat="1" hidden="1" x14ac:dyDescent="0.25">
      <c r="A1596" s="11">
        <v>46050</v>
      </c>
      <c r="B1596" t="s">
        <v>42</v>
      </c>
      <c r="C1596" t="s">
        <v>32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29</v>
      </c>
      <c r="K1596" s="3">
        <f>I1596-J1596</f>
        <v>-1</v>
      </c>
      <c r="L1596" s="3" t="str">
        <f t="shared" si="175"/>
        <v>ATENÇÃO</v>
      </c>
      <c r="M1596">
        <v>13</v>
      </c>
      <c r="N1596">
        <v>96.43</v>
      </c>
      <c r="O1596">
        <v>27.015250544662312</v>
      </c>
    </row>
    <row r="1597" spans="1:15" customFormat="1" hidden="1" x14ac:dyDescent="0.25">
      <c r="A1597" s="11">
        <v>46050</v>
      </c>
      <c r="B1597" t="s">
        <v>62</v>
      </c>
      <c r="C1597" t="s">
        <v>23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19</v>
      </c>
      <c r="K1597" s="3">
        <f>I1597-J1597</f>
        <v>0</v>
      </c>
      <c r="L1597" s="3" t="str">
        <f t="shared" si="175"/>
        <v>BOM</v>
      </c>
      <c r="M1597">
        <v>16</v>
      </c>
      <c r="N1597">
        <v>98.89</v>
      </c>
      <c r="O1597">
        <v>28.021978021978018</v>
      </c>
    </row>
    <row r="1598" spans="1:15" customFormat="1" hidden="1" x14ac:dyDescent="0.25">
      <c r="A1598" s="11">
        <v>46050</v>
      </c>
      <c r="B1598" t="s">
        <v>19</v>
      </c>
      <c r="C1598" t="s">
        <v>16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175"/>
        <v>BOM</v>
      </c>
      <c r="M1598">
        <v>0</v>
      </c>
      <c r="N1598">
        <v>100</v>
      </c>
      <c r="O1598">
        <v>33.333333333333329</v>
      </c>
    </row>
    <row r="1599" spans="1:15" customFormat="1" hidden="1" x14ac:dyDescent="0.25">
      <c r="A1599" s="11">
        <v>46050</v>
      </c>
      <c r="B1599" t="s">
        <v>43</v>
      </c>
      <c r="C1599" t="s">
        <v>32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 t="shared" si="175"/>
        <v>BOM</v>
      </c>
      <c r="M1599">
        <v>0</v>
      </c>
      <c r="N1599">
        <v>100</v>
      </c>
      <c r="O1599">
        <v>27.43362831858407</v>
      </c>
    </row>
    <row r="1600" spans="1:15" customFormat="1" hidden="1" x14ac:dyDescent="0.25">
      <c r="A1600" s="11">
        <v>46050</v>
      </c>
      <c r="B1600" t="s">
        <v>44</v>
      </c>
      <c r="C1600" t="s">
        <v>32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29</v>
      </c>
      <c r="K1600" s="3">
        <f>I1600-J1600</f>
        <v>13</v>
      </c>
      <c r="L1600" s="3" t="str">
        <f t="shared" si="175"/>
        <v>EXCELENTE</v>
      </c>
      <c r="M1600">
        <v>31</v>
      </c>
      <c r="N1600">
        <v>98.65</v>
      </c>
      <c r="O1600">
        <v>30.978260869565219</v>
      </c>
    </row>
    <row r="1601" spans="1:15" customFormat="1" hidden="1" x14ac:dyDescent="0.25">
      <c r="A1601" s="11">
        <v>46050</v>
      </c>
      <c r="B1601" t="s">
        <v>20</v>
      </c>
      <c r="C1601" t="s">
        <v>16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8</v>
      </c>
      <c r="K1601" s="3">
        <f>I1601-J1601</f>
        <v>-1</v>
      </c>
      <c r="L1601" s="3" t="str">
        <f t="shared" si="175"/>
        <v>ATENÇÃO</v>
      </c>
      <c r="M1601">
        <v>3</v>
      </c>
      <c r="N1601">
        <v>100</v>
      </c>
      <c r="O1601">
        <v>12</v>
      </c>
    </row>
    <row r="1602" spans="1:15" customFormat="1" hidden="1" x14ac:dyDescent="0.25">
      <c r="A1602" s="11">
        <v>46050</v>
      </c>
      <c r="B1602" t="s">
        <v>28</v>
      </c>
      <c r="C1602" t="s">
        <v>26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 t="shared" si="175"/>
        <v>BOM</v>
      </c>
      <c r="M1602">
        <v>0</v>
      </c>
      <c r="N1602">
        <v>0</v>
      </c>
      <c r="O1602">
        <v>0</v>
      </c>
    </row>
    <row r="1603" spans="1:15" customFormat="1" hidden="1" x14ac:dyDescent="0.25">
      <c r="A1603" s="11">
        <v>46050</v>
      </c>
      <c r="B1603" t="s">
        <v>58</v>
      </c>
      <c r="C1603" t="s">
        <v>48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23</v>
      </c>
      <c r="K1603" s="3">
        <f>I1603-J1603</f>
        <v>7</v>
      </c>
      <c r="L1603" s="3" t="str">
        <f t="shared" si="175"/>
        <v>EXCELENTE</v>
      </c>
      <c r="M1603">
        <v>25</v>
      </c>
      <c r="N1603">
        <v>97.56</v>
      </c>
      <c r="O1603">
        <v>31.067961165048541</v>
      </c>
    </row>
    <row r="1604" spans="1:15" customFormat="1" hidden="1" x14ac:dyDescent="0.25">
      <c r="A1604" s="11">
        <v>46050</v>
      </c>
      <c r="B1604" t="s">
        <v>29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175"/>
        <v>BOM</v>
      </c>
      <c r="M1604">
        <v>0</v>
      </c>
      <c r="N1604">
        <v>0</v>
      </c>
      <c r="O1604">
        <v>0</v>
      </c>
    </row>
    <row r="1605" spans="1:15" customFormat="1" hidden="1" x14ac:dyDescent="0.25">
      <c r="A1605" s="11">
        <v>46050</v>
      </c>
      <c r="B1605" t="s">
        <v>30</v>
      </c>
      <c r="C1605" t="s">
        <v>26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175"/>
        <v>BOM</v>
      </c>
      <c r="M1605">
        <v>0</v>
      </c>
      <c r="N1605">
        <v>0</v>
      </c>
      <c r="O1605">
        <v>0</v>
      </c>
    </row>
    <row r="1606" spans="1:15" customFormat="1" hidden="1" x14ac:dyDescent="0.25">
      <c r="A1606" s="11">
        <v>46050</v>
      </c>
      <c r="B1606" t="s">
        <v>21</v>
      </c>
      <c r="C1606" t="s">
        <v>16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 t="shared" si="175"/>
        <v>BOM</v>
      </c>
      <c r="M1606">
        <v>0</v>
      </c>
      <c r="N1606">
        <v>0</v>
      </c>
      <c r="O1606">
        <v>0</v>
      </c>
    </row>
    <row r="1607" spans="1:15" customFormat="1" hidden="1" x14ac:dyDescent="0.25">
      <c r="A1607" s="11">
        <v>46050</v>
      </c>
      <c r="B1607" t="s">
        <v>63</v>
      </c>
      <c r="C1607" t="s">
        <v>23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19</v>
      </c>
      <c r="K1607" s="3">
        <f>I1607-J1607</f>
        <v>-17</v>
      </c>
      <c r="L1607" s="3" t="str">
        <f t="shared" ref="L1607:L1670" si="179">IF(K1607&lt;-5,"CRÍTICO",IF(K1607&lt;0,"ATENÇÃO",IF(K1607&lt;=5,"BOM","EXCELENTE")))</f>
        <v>CRÍTICO</v>
      </c>
      <c r="M1607">
        <v>2</v>
      </c>
      <c r="N1607">
        <v>100</v>
      </c>
      <c r="O1607">
        <v>53.846153846153847</v>
      </c>
    </row>
    <row r="1608" spans="1:15" customFormat="1" hidden="1" x14ac:dyDescent="0.25">
      <c r="A1608" s="11">
        <v>46050</v>
      </c>
      <c r="B1608" t="s">
        <v>45</v>
      </c>
      <c r="C1608" t="s">
        <v>32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29</v>
      </c>
      <c r="K1608" s="3">
        <f>I1608-J1608</f>
        <v>7</v>
      </c>
      <c r="L1608" s="3" t="str">
        <f t="shared" si="179"/>
        <v>EXCELENTE</v>
      </c>
      <c r="M1608">
        <v>40</v>
      </c>
      <c r="N1608">
        <v>100</v>
      </c>
      <c r="O1608">
        <v>44.05594405594406</v>
      </c>
    </row>
    <row r="1609" spans="1:15" customFormat="1" hidden="1" x14ac:dyDescent="0.25">
      <c r="A1609" s="11">
        <v>46050</v>
      </c>
      <c r="B1609" t="s">
        <v>64</v>
      </c>
      <c r="C1609" t="s">
        <v>23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19</v>
      </c>
      <c r="K1609" s="3">
        <f>I1609-J1609</f>
        <v>-6</v>
      </c>
      <c r="L1609" s="3" t="str">
        <f t="shared" si="179"/>
        <v>CRÍTICO</v>
      </c>
      <c r="M1609">
        <v>7</v>
      </c>
      <c r="N1609">
        <v>100</v>
      </c>
      <c r="O1609">
        <v>31.872509960159359</v>
      </c>
    </row>
    <row r="1610" spans="1:15" customFormat="1" hidden="1" x14ac:dyDescent="0.25">
      <c r="A1610" s="11">
        <v>46050</v>
      </c>
      <c r="B1610" t="s">
        <v>46</v>
      </c>
      <c r="C1610" t="s">
        <v>32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29</v>
      </c>
      <c r="K1610" s="3">
        <f>I1610-J1610</f>
        <v>1</v>
      </c>
      <c r="L1610" s="3" t="str">
        <f t="shared" si="179"/>
        <v>BOM</v>
      </c>
      <c r="M1610">
        <v>27</v>
      </c>
      <c r="N1610">
        <v>98.41</v>
      </c>
      <c r="O1610">
        <v>29.22465208747515</v>
      </c>
    </row>
    <row r="1611" spans="1:15" customFormat="1" hidden="1" x14ac:dyDescent="0.25">
      <c r="A1611" s="11">
        <v>46051</v>
      </c>
      <c r="B1611" t="s">
        <v>47</v>
      </c>
      <c r="C1611" t="s">
        <v>48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22</v>
      </c>
      <c r="K1611" s="3">
        <f>I1611-J1611</f>
        <v>0</v>
      </c>
      <c r="L1611" s="3" t="str">
        <f t="shared" si="179"/>
        <v>BOM</v>
      </c>
      <c r="M1611">
        <v>21</v>
      </c>
      <c r="N1611">
        <v>96.81</v>
      </c>
      <c r="O1611">
        <v>27.980535279805348</v>
      </c>
    </row>
    <row r="1612" spans="1:15" customFormat="1" hidden="1" x14ac:dyDescent="0.25">
      <c r="A1612" s="11">
        <v>46051</v>
      </c>
      <c r="B1612" t="s">
        <v>31</v>
      </c>
      <c r="C1612" t="s">
        <v>32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 t="shared" si="179"/>
        <v>BOM</v>
      </c>
      <c r="M1612">
        <v>28</v>
      </c>
      <c r="N1612">
        <v>98.73</v>
      </c>
      <c r="O1612">
        <v>35.756385068762278</v>
      </c>
    </row>
    <row r="1613" spans="1:15" customFormat="1" hidden="1" x14ac:dyDescent="0.25">
      <c r="A1613" s="11">
        <v>46051</v>
      </c>
      <c r="B1613" t="s">
        <v>59</v>
      </c>
      <c r="C1613" t="s">
        <v>23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18</v>
      </c>
      <c r="K1613" s="3">
        <f>I1613-J1613</f>
        <v>10</v>
      </c>
      <c r="L1613" s="3" t="str">
        <f t="shared" si="179"/>
        <v>EXCELENTE</v>
      </c>
      <c r="M1613">
        <v>29</v>
      </c>
      <c r="N1613">
        <v>98.32</v>
      </c>
      <c r="O1613">
        <v>26.763485477178421</v>
      </c>
    </row>
    <row r="1614" spans="1:15" customFormat="1" hidden="1" x14ac:dyDescent="0.25">
      <c r="A1614" s="11">
        <v>46051</v>
      </c>
      <c r="B1614" t="s">
        <v>33</v>
      </c>
      <c r="C1614" t="s">
        <v>32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28</v>
      </c>
      <c r="K1614" s="3">
        <f>I1614-J1614</f>
        <v>-1</v>
      </c>
      <c r="L1614" s="3" t="str">
        <f t="shared" si="179"/>
        <v>ATENÇÃO</v>
      </c>
      <c r="M1614">
        <v>21</v>
      </c>
      <c r="N1614">
        <v>99.19</v>
      </c>
      <c r="O1614">
        <v>27.637130801687761</v>
      </c>
    </row>
    <row r="1615" spans="1:15" customFormat="1" hidden="1" x14ac:dyDescent="0.25">
      <c r="A1615" s="11">
        <v>46051</v>
      </c>
      <c r="B1615" t="s">
        <v>15</v>
      </c>
      <c r="C1615" t="s">
        <v>16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8</v>
      </c>
      <c r="K1615" s="3">
        <f>I1615-J1615</f>
        <v>2</v>
      </c>
      <c r="L1615" s="3" t="str">
        <f t="shared" si="179"/>
        <v>BOM</v>
      </c>
      <c r="M1615">
        <v>8</v>
      </c>
      <c r="N1615">
        <v>100</v>
      </c>
      <c r="O1615">
        <v>39.568345323741013</v>
      </c>
    </row>
    <row r="1616" spans="1:15" customFormat="1" hidden="1" x14ac:dyDescent="0.25">
      <c r="A1616" s="11">
        <v>46051</v>
      </c>
      <c r="B1616" t="s">
        <v>49</v>
      </c>
      <c r="C1616" t="s">
        <v>48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6</v>
      </c>
      <c r="L1616" s="3" t="str">
        <f t="shared" si="179"/>
        <v>EXCELENTE</v>
      </c>
      <c r="M1616">
        <v>30</v>
      </c>
      <c r="N1616">
        <v>98.54</v>
      </c>
      <c r="O1616">
        <v>28.544776119402989</v>
      </c>
    </row>
    <row r="1617" spans="1:15" customFormat="1" hidden="1" x14ac:dyDescent="0.25">
      <c r="A1617" s="11">
        <v>46051</v>
      </c>
      <c r="B1617" t="s">
        <v>50</v>
      </c>
      <c r="C1617" t="s">
        <v>48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22</v>
      </c>
      <c r="K1617" s="3">
        <f>I1617-J1617</f>
        <v>7</v>
      </c>
      <c r="L1617" s="3" t="str">
        <f t="shared" si="179"/>
        <v>EXCELENTE</v>
      </c>
      <c r="M1617">
        <v>27</v>
      </c>
      <c r="N1617">
        <v>100</v>
      </c>
      <c r="O1617">
        <v>34.366925064599492</v>
      </c>
    </row>
    <row r="1618" spans="1:15" customFormat="1" hidden="1" x14ac:dyDescent="0.25">
      <c r="A1618" s="11">
        <v>46051</v>
      </c>
      <c r="B1618" t="s">
        <v>17</v>
      </c>
      <c r="C1618" t="s">
        <v>16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 t="shared" si="179"/>
        <v>BOM</v>
      </c>
      <c r="M1618">
        <v>0</v>
      </c>
      <c r="N1618">
        <v>0</v>
      </c>
      <c r="O1618">
        <v>0</v>
      </c>
    </row>
    <row r="1619" spans="1:15" customFormat="1" hidden="1" x14ac:dyDescent="0.25">
      <c r="A1619" s="11">
        <v>46051</v>
      </c>
      <c r="B1619" t="s">
        <v>60</v>
      </c>
      <c r="C1619" t="s">
        <v>23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-4</v>
      </c>
      <c r="L1619" s="3" t="str">
        <f t="shared" si="179"/>
        <v>ATENÇÃO</v>
      </c>
      <c r="M1619">
        <v>12</v>
      </c>
      <c r="N1619">
        <v>100</v>
      </c>
      <c r="O1619">
        <v>29.518072289156631</v>
      </c>
    </row>
    <row r="1620" spans="1:15" customFormat="1" hidden="1" x14ac:dyDescent="0.25">
      <c r="A1620" s="11">
        <v>46051</v>
      </c>
      <c r="B1620" t="s">
        <v>34</v>
      </c>
      <c r="C1620" t="s">
        <v>32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28</v>
      </c>
      <c r="K1620" s="3">
        <f>I1620-J1620</f>
        <v>3</v>
      </c>
      <c r="L1620" s="3" t="str">
        <f t="shared" si="179"/>
        <v>BOM</v>
      </c>
      <c r="M1620">
        <v>25</v>
      </c>
      <c r="N1620">
        <v>97.45</v>
      </c>
      <c r="O1620">
        <v>41.421143847487002</v>
      </c>
    </row>
    <row r="1621" spans="1:15" customFormat="1" hidden="1" x14ac:dyDescent="0.25">
      <c r="A1621" s="11">
        <v>46051</v>
      </c>
      <c r="B1621" t="s">
        <v>51</v>
      </c>
      <c r="C1621" t="s">
        <v>48</v>
      </c>
      <c r="D1621">
        <v>40</v>
      </c>
      <c r="E1621">
        <v>33</v>
      </c>
      <c r="F1621">
        <v>13.31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 t="shared" si="179"/>
        <v>BOM</v>
      </c>
      <c r="M1621">
        <v>28</v>
      </c>
      <c r="N1621">
        <v>96.58</v>
      </c>
      <c r="O1621">
        <v>30.396475770925111</v>
      </c>
    </row>
    <row r="1622" spans="1:15" customFormat="1" hidden="1" x14ac:dyDescent="0.25">
      <c r="A1622" s="11">
        <v>46051</v>
      </c>
      <c r="B1622" t="s">
        <v>61</v>
      </c>
      <c r="C1622" t="s">
        <v>23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18</v>
      </c>
      <c r="K1622" s="3">
        <f>I1622-J1622</f>
        <v>3</v>
      </c>
      <c r="L1622" s="3" t="str">
        <f t="shared" si="179"/>
        <v>BOM</v>
      </c>
      <c r="M1622">
        <v>22</v>
      </c>
      <c r="N1622">
        <v>100</v>
      </c>
      <c r="O1622">
        <v>27.44282744282744</v>
      </c>
    </row>
    <row r="1623" spans="1:15" customFormat="1" hidden="1" x14ac:dyDescent="0.25">
      <c r="A1623" s="11">
        <v>46051</v>
      </c>
      <c r="B1623" t="s">
        <v>35</v>
      </c>
      <c r="C1623" t="s">
        <v>32</v>
      </c>
      <c r="D1623">
        <v>33</v>
      </c>
      <c r="E1623">
        <v>31</v>
      </c>
      <c r="F1623">
        <v>20.03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 t="shared" si="179"/>
        <v>BOM</v>
      </c>
      <c r="M1623">
        <v>31</v>
      </c>
      <c r="N1623">
        <v>99.49</v>
      </c>
      <c r="O1623">
        <v>40.200000000000003</v>
      </c>
    </row>
    <row r="1624" spans="1:15" customFormat="1" hidden="1" x14ac:dyDescent="0.25">
      <c r="A1624" s="11">
        <v>46051</v>
      </c>
      <c r="B1624" t="s">
        <v>18</v>
      </c>
      <c r="C1624" t="s">
        <v>16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 t="shared" ref="I1624:I1632" si="180">E1624+G1624+H1624</f>
        <v>4</v>
      </c>
      <c r="J1624" s="3">
        <f t="shared" ref="J1624:J1632" si="181"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8</v>
      </c>
      <c r="K1624" s="3">
        <f t="shared" ref="K1624:K1632" si="182">I1624-J1624</f>
        <v>-4</v>
      </c>
      <c r="L1624" s="3" t="str">
        <f t="shared" si="179"/>
        <v>ATENÇÃO</v>
      </c>
      <c r="M1624">
        <v>2</v>
      </c>
      <c r="N1624">
        <v>100</v>
      </c>
      <c r="O1624">
        <v>25</v>
      </c>
    </row>
    <row r="1625" spans="1:15" customFormat="1" hidden="1" x14ac:dyDescent="0.25">
      <c r="A1625" s="11">
        <v>46051</v>
      </c>
      <c r="B1625" t="s">
        <v>52</v>
      </c>
      <c r="C1625" t="s">
        <v>48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 t="shared" si="180"/>
        <v>23</v>
      </c>
      <c r="J1625" s="3">
        <f t="shared" si="181"/>
        <v>22</v>
      </c>
      <c r="K1625" s="3">
        <f t="shared" si="182"/>
        <v>1</v>
      </c>
      <c r="L1625" s="3" t="str">
        <f t="shared" si="179"/>
        <v>BOM</v>
      </c>
      <c r="M1625">
        <v>18</v>
      </c>
      <c r="N1625">
        <v>100</v>
      </c>
      <c r="O1625">
        <v>34.15094339622641</v>
      </c>
    </row>
    <row r="1626" spans="1:15" customFormat="1" hidden="1" x14ac:dyDescent="0.25">
      <c r="A1626" s="11">
        <v>46051</v>
      </c>
      <c r="B1626" t="s">
        <v>36</v>
      </c>
      <c r="C1626" t="s">
        <v>32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 t="shared" si="180"/>
        <v>28</v>
      </c>
      <c r="J1626" s="3">
        <f t="shared" si="181"/>
        <v>28</v>
      </c>
      <c r="K1626" s="3">
        <f t="shared" si="182"/>
        <v>0</v>
      </c>
      <c r="L1626" s="3" t="str">
        <f t="shared" si="179"/>
        <v>BOM</v>
      </c>
      <c r="M1626">
        <v>27</v>
      </c>
      <c r="N1626">
        <v>100</v>
      </c>
      <c r="O1626">
        <v>32.731376975169297</v>
      </c>
    </row>
    <row r="1627" spans="1:15" customFormat="1" hidden="1" x14ac:dyDescent="0.25">
      <c r="A1627" s="11">
        <v>46051</v>
      </c>
      <c r="B1627" t="s">
        <v>53</v>
      </c>
      <c r="C1627" t="s">
        <v>48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 t="shared" si="180"/>
        <v>43</v>
      </c>
      <c r="J1627" s="3">
        <f t="shared" si="181"/>
        <v>22</v>
      </c>
      <c r="K1627" s="3">
        <f t="shared" si="182"/>
        <v>21</v>
      </c>
      <c r="L1627" s="3" t="str">
        <f t="shared" si="179"/>
        <v>EXCELENTE</v>
      </c>
      <c r="M1627">
        <v>37</v>
      </c>
      <c r="N1627">
        <v>99.31</v>
      </c>
      <c r="O1627">
        <v>30.96234309623431</v>
      </c>
    </row>
    <row r="1628" spans="1:15" customFormat="1" hidden="1" x14ac:dyDescent="0.25">
      <c r="A1628" s="11">
        <v>46085</v>
      </c>
      <c r="B1628" t="s">
        <v>22</v>
      </c>
      <c r="C1628" t="s">
        <v>23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 t="shared" si="180"/>
        <v>21</v>
      </c>
      <c r="J1628" s="3">
        <f t="shared" si="181"/>
        <v>17</v>
      </c>
      <c r="K1628" s="3">
        <f t="shared" si="182"/>
        <v>4</v>
      </c>
      <c r="L1628" s="3" t="str">
        <f t="shared" si="179"/>
        <v>BOM</v>
      </c>
      <c r="M1628">
        <v>21</v>
      </c>
      <c r="N1628">
        <v>99.05</v>
      </c>
      <c r="O1628">
        <v>26.621923937360179</v>
      </c>
    </row>
    <row r="1629" spans="1:15" customFormat="1" hidden="1" x14ac:dyDescent="0.25">
      <c r="A1629" s="11">
        <v>46051</v>
      </c>
      <c r="B1629" t="s">
        <v>54</v>
      </c>
      <c r="C1629" t="s">
        <v>48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 t="shared" si="180"/>
        <v>31</v>
      </c>
      <c r="J1629" s="3">
        <f t="shared" si="181"/>
        <v>22</v>
      </c>
      <c r="K1629" s="3">
        <f t="shared" si="182"/>
        <v>9</v>
      </c>
      <c r="L1629" s="3" t="str">
        <f t="shared" si="179"/>
        <v>EXCELENTE</v>
      </c>
      <c r="M1629">
        <v>30</v>
      </c>
      <c r="N1629">
        <v>100</v>
      </c>
      <c r="O1629">
        <v>27.676767676767678</v>
      </c>
    </row>
    <row r="1630" spans="1:15" customFormat="1" hidden="1" x14ac:dyDescent="0.25">
      <c r="A1630" s="11">
        <v>46051</v>
      </c>
      <c r="B1630" t="s">
        <v>37</v>
      </c>
      <c r="C1630" t="s">
        <v>32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 t="shared" si="180"/>
        <v>37</v>
      </c>
      <c r="J1630" s="3">
        <f t="shared" si="181"/>
        <v>28</v>
      </c>
      <c r="K1630" s="3">
        <f t="shared" si="182"/>
        <v>9</v>
      </c>
      <c r="L1630" s="3" t="str">
        <f t="shared" si="179"/>
        <v>EXCELENTE</v>
      </c>
      <c r="M1630">
        <v>38</v>
      </c>
      <c r="N1630">
        <v>100</v>
      </c>
      <c r="O1630">
        <v>31.17723156532988</v>
      </c>
    </row>
    <row r="1631" spans="1:15" customFormat="1" hidden="1" x14ac:dyDescent="0.25">
      <c r="A1631" s="11">
        <v>46051</v>
      </c>
      <c r="B1631" t="s">
        <v>38</v>
      </c>
      <c r="C1631" t="s">
        <v>32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 t="shared" si="180"/>
        <v>18</v>
      </c>
      <c r="J1631" s="3">
        <f t="shared" si="181"/>
        <v>28</v>
      </c>
      <c r="K1631" s="3">
        <f t="shared" si="182"/>
        <v>-10</v>
      </c>
      <c r="L1631" s="3" t="str">
        <f t="shared" si="179"/>
        <v>CRÍTICO</v>
      </c>
      <c r="M1631">
        <v>14</v>
      </c>
      <c r="N1631">
        <v>100</v>
      </c>
      <c r="O1631">
        <v>27.609427609427609</v>
      </c>
    </row>
    <row r="1632" spans="1:15" customFormat="1" hidden="1" x14ac:dyDescent="0.25">
      <c r="A1632" s="11">
        <v>46051</v>
      </c>
      <c r="B1632" t="s">
        <v>55</v>
      </c>
      <c r="C1632" t="s">
        <v>48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 t="shared" si="180"/>
        <v>21</v>
      </c>
      <c r="J1632" s="3">
        <f t="shared" si="181"/>
        <v>22</v>
      </c>
      <c r="K1632" s="3">
        <f t="shared" si="182"/>
        <v>-1</v>
      </c>
      <c r="L1632" s="3" t="str">
        <f t="shared" si="179"/>
        <v>ATENÇÃO</v>
      </c>
      <c r="M1632">
        <v>23</v>
      </c>
      <c r="N1632">
        <v>96.4</v>
      </c>
      <c r="O1632">
        <v>28.764044943820231</v>
      </c>
    </row>
    <row r="1633" spans="1:15" customFormat="1" hidden="1" x14ac:dyDescent="0.25">
      <c r="A1633" s="11">
        <v>46051</v>
      </c>
      <c r="B1633" t="s">
        <v>39</v>
      </c>
      <c r="C1633" t="s">
        <v>32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 t="shared" si="179"/>
        <v>BOM</v>
      </c>
      <c r="M1633">
        <v>0</v>
      </c>
      <c r="N1633">
        <v>100</v>
      </c>
      <c r="O1633">
        <v>33.980582524271853</v>
      </c>
    </row>
    <row r="1634" spans="1:15" customFormat="1" hidden="1" x14ac:dyDescent="0.25">
      <c r="A1634" s="11">
        <v>46051</v>
      </c>
      <c r="B1634" t="s">
        <v>25</v>
      </c>
      <c r="C1634" t="s">
        <v>26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16</v>
      </c>
      <c r="K1634" s="3">
        <f>I1634-J1634</f>
        <v>-8</v>
      </c>
      <c r="L1634" s="3" t="str">
        <f t="shared" si="179"/>
        <v>CRÍTICO</v>
      </c>
      <c r="M1634">
        <v>7</v>
      </c>
      <c r="N1634">
        <v>97.56</v>
      </c>
      <c r="O1634">
        <v>32.515337423312893</v>
      </c>
    </row>
    <row r="1635" spans="1:15" customFormat="1" hidden="1" x14ac:dyDescent="0.25">
      <c r="A1635" s="11">
        <v>46051</v>
      </c>
      <c r="B1635" t="s">
        <v>40</v>
      </c>
      <c r="C1635" t="s">
        <v>32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28</v>
      </c>
      <c r="K1635" s="3">
        <f>I1635-J1635</f>
        <v>-14</v>
      </c>
      <c r="L1635" s="3" t="str">
        <f t="shared" si="179"/>
        <v>CRÍTICO</v>
      </c>
      <c r="M1635">
        <v>14</v>
      </c>
      <c r="N1635">
        <v>97.11</v>
      </c>
      <c r="O1635">
        <v>37.408312958435211</v>
      </c>
    </row>
    <row r="1636" spans="1:15" customFormat="1" hidden="1" x14ac:dyDescent="0.25">
      <c r="A1636" s="11">
        <v>46051</v>
      </c>
      <c r="B1636" t="s">
        <v>27</v>
      </c>
      <c r="C1636" t="s">
        <v>26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 t="shared" si="179"/>
        <v>BOM</v>
      </c>
      <c r="M1636">
        <v>0</v>
      </c>
      <c r="N1636">
        <v>0</v>
      </c>
      <c r="O1636">
        <v>0</v>
      </c>
    </row>
    <row r="1637" spans="1:15" customFormat="1" hidden="1" x14ac:dyDescent="0.25">
      <c r="A1637" s="11">
        <v>46051</v>
      </c>
      <c r="B1637" t="s">
        <v>41</v>
      </c>
      <c r="C1637" t="s">
        <v>32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1</v>
      </c>
      <c r="L1637" s="3" t="str">
        <f t="shared" si="179"/>
        <v>BOM</v>
      </c>
      <c r="M1637">
        <v>25</v>
      </c>
      <c r="N1637">
        <v>100</v>
      </c>
      <c r="O1637">
        <v>30.470347648261761</v>
      </c>
    </row>
    <row r="1638" spans="1:15" customFormat="1" hidden="1" x14ac:dyDescent="0.25">
      <c r="A1638" s="11">
        <v>46051</v>
      </c>
      <c r="B1638" t="s">
        <v>56</v>
      </c>
      <c r="C1638" t="s">
        <v>48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22</v>
      </c>
      <c r="K1638" s="3">
        <f>I1638-J1638</f>
        <v>1</v>
      </c>
      <c r="L1638" s="3" t="str">
        <f t="shared" si="179"/>
        <v>BOM</v>
      </c>
      <c r="M1638">
        <v>31</v>
      </c>
      <c r="N1638">
        <v>100</v>
      </c>
      <c r="O1638">
        <v>32.371134020618562</v>
      </c>
    </row>
    <row r="1639" spans="1:15" customFormat="1" hidden="1" x14ac:dyDescent="0.25">
      <c r="A1639" s="11">
        <v>46051</v>
      </c>
      <c r="B1639" t="s">
        <v>57</v>
      </c>
      <c r="C1639" t="s">
        <v>48</v>
      </c>
      <c r="D1639">
        <v>26</v>
      </c>
      <c r="E1639">
        <v>23</v>
      </c>
      <c r="F1639">
        <v>15.59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 t="shared" si="179"/>
        <v>BOM</v>
      </c>
      <c r="M1639">
        <v>15</v>
      </c>
      <c r="N1639">
        <v>98.32</v>
      </c>
      <c r="O1639">
        <v>32.318501170960189</v>
      </c>
    </row>
    <row r="1640" spans="1:15" customFormat="1" hidden="1" x14ac:dyDescent="0.25">
      <c r="A1640" s="11">
        <v>46051</v>
      </c>
      <c r="B1640" t="s">
        <v>42</v>
      </c>
      <c r="C1640" t="s">
        <v>32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28</v>
      </c>
      <c r="K1640" s="3">
        <f>I1640-J1640</f>
        <v>7</v>
      </c>
      <c r="L1640" s="3" t="str">
        <f t="shared" si="179"/>
        <v>EXCELENTE</v>
      </c>
      <c r="M1640">
        <v>15</v>
      </c>
      <c r="N1640">
        <v>96.43</v>
      </c>
      <c r="O1640">
        <v>27.015250544662312</v>
      </c>
    </row>
    <row r="1641" spans="1:15" customFormat="1" hidden="1" x14ac:dyDescent="0.25">
      <c r="A1641" s="11">
        <v>46051</v>
      </c>
      <c r="B1641" t="s">
        <v>62</v>
      </c>
      <c r="C1641" t="s">
        <v>23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18</v>
      </c>
      <c r="K1641" s="3">
        <f>I1641-J1641</f>
        <v>-1</v>
      </c>
      <c r="L1641" s="3" t="str">
        <f t="shared" si="179"/>
        <v>ATENÇÃO</v>
      </c>
      <c r="M1641">
        <v>17</v>
      </c>
      <c r="N1641">
        <v>98.89</v>
      </c>
      <c r="O1641">
        <v>28.021978021978018</v>
      </c>
    </row>
    <row r="1642" spans="1:15" customFormat="1" hidden="1" x14ac:dyDescent="0.25">
      <c r="A1642" s="11">
        <v>46051</v>
      </c>
      <c r="B1642" t="s">
        <v>19</v>
      </c>
      <c r="C1642" t="s">
        <v>16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0</v>
      </c>
      <c r="L1642" s="3" t="str">
        <f t="shared" si="179"/>
        <v>BOM</v>
      </c>
      <c r="M1642">
        <v>7</v>
      </c>
      <c r="N1642">
        <v>100</v>
      </c>
      <c r="O1642">
        <v>33.333333333333329</v>
      </c>
    </row>
    <row r="1643" spans="1:15" customFormat="1" hidden="1" x14ac:dyDescent="0.25">
      <c r="A1643" s="11">
        <v>46051</v>
      </c>
      <c r="B1643" t="s">
        <v>43</v>
      </c>
      <c r="C1643" t="s">
        <v>32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 t="shared" si="179"/>
        <v>BOM</v>
      </c>
      <c r="M1643">
        <v>0</v>
      </c>
      <c r="N1643">
        <v>100</v>
      </c>
      <c r="O1643">
        <v>27.43362831858407</v>
      </c>
    </row>
    <row r="1644" spans="1:15" customFormat="1" hidden="1" x14ac:dyDescent="0.25">
      <c r="A1644" s="11">
        <v>46051</v>
      </c>
      <c r="B1644" t="s">
        <v>44</v>
      </c>
      <c r="C1644" t="s">
        <v>32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28</v>
      </c>
      <c r="K1644" s="3">
        <f>I1644-J1644</f>
        <v>3</v>
      </c>
      <c r="L1644" s="3" t="str">
        <f t="shared" si="179"/>
        <v>BOM</v>
      </c>
      <c r="M1644">
        <v>28</v>
      </c>
      <c r="N1644">
        <v>98.65</v>
      </c>
      <c r="O1644">
        <v>30.978260869565219</v>
      </c>
    </row>
    <row r="1645" spans="1:15" customFormat="1" hidden="1" x14ac:dyDescent="0.25">
      <c r="A1645" s="11">
        <v>46051</v>
      </c>
      <c r="B1645" t="s">
        <v>20</v>
      </c>
      <c r="C1645" t="s">
        <v>16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8</v>
      </c>
      <c r="K1645" s="3">
        <f>I1645-J1645</f>
        <v>1</v>
      </c>
      <c r="L1645" s="3" t="str">
        <f t="shared" si="179"/>
        <v>BOM</v>
      </c>
      <c r="M1645">
        <v>5</v>
      </c>
      <c r="N1645">
        <v>100</v>
      </c>
      <c r="O1645">
        <v>12</v>
      </c>
    </row>
    <row r="1646" spans="1:15" customFormat="1" hidden="1" x14ac:dyDescent="0.25">
      <c r="A1646" s="11">
        <v>46051</v>
      </c>
      <c r="B1646" t="s">
        <v>28</v>
      </c>
      <c r="C1646" t="s">
        <v>26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 t="shared" si="179"/>
        <v>BOM</v>
      </c>
      <c r="M1646">
        <v>0</v>
      </c>
      <c r="N1646">
        <v>0</v>
      </c>
      <c r="O1646">
        <v>0</v>
      </c>
    </row>
    <row r="1647" spans="1:15" customFormat="1" hidden="1" x14ac:dyDescent="0.25">
      <c r="A1647" s="11">
        <v>46051</v>
      </c>
      <c r="B1647" t="s">
        <v>58</v>
      </c>
      <c r="C1647" t="s">
        <v>48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22</v>
      </c>
      <c r="K1647" s="3">
        <f>I1647-J1647</f>
        <v>-6</v>
      </c>
      <c r="L1647" s="3" t="str">
        <f t="shared" si="179"/>
        <v>CRÍTICO</v>
      </c>
      <c r="M1647">
        <v>11</v>
      </c>
      <c r="N1647">
        <v>97.56</v>
      </c>
      <c r="O1647">
        <v>31.067961165048541</v>
      </c>
    </row>
    <row r="1648" spans="1:15" customFormat="1" hidden="1" x14ac:dyDescent="0.25">
      <c r="A1648" s="11">
        <v>46051</v>
      </c>
      <c r="B1648" t="s">
        <v>29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179"/>
        <v>BOM</v>
      </c>
      <c r="M1648">
        <v>0</v>
      </c>
      <c r="N1648">
        <v>0</v>
      </c>
      <c r="O1648">
        <v>0</v>
      </c>
    </row>
    <row r="1649" spans="1:15" customFormat="1" hidden="1" x14ac:dyDescent="0.25">
      <c r="A1649" s="11">
        <v>46051</v>
      </c>
      <c r="B1649" t="s">
        <v>30</v>
      </c>
      <c r="C1649" t="s">
        <v>26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179"/>
        <v>BOM</v>
      </c>
      <c r="M1649">
        <v>0</v>
      </c>
      <c r="N1649">
        <v>0</v>
      </c>
      <c r="O1649">
        <v>0</v>
      </c>
    </row>
    <row r="1650" spans="1:15" customFormat="1" hidden="1" x14ac:dyDescent="0.25">
      <c r="A1650" s="11">
        <v>46051</v>
      </c>
      <c r="B1650" t="s">
        <v>21</v>
      </c>
      <c r="C1650" t="s">
        <v>16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 t="shared" si="179"/>
        <v>BOM</v>
      </c>
      <c r="M1650">
        <v>0</v>
      </c>
      <c r="N1650">
        <v>0</v>
      </c>
      <c r="O1650">
        <v>0</v>
      </c>
    </row>
    <row r="1651" spans="1:15" customFormat="1" hidden="1" x14ac:dyDescent="0.25">
      <c r="A1651" s="11">
        <v>46051</v>
      </c>
      <c r="B1651" t="s">
        <v>63</v>
      </c>
      <c r="C1651" t="s">
        <v>23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18</v>
      </c>
      <c r="K1651" s="3">
        <f>I1651-J1651</f>
        <v>-13</v>
      </c>
      <c r="L1651" s="3" t="str">
        <f t="shared" si="179"/>
        <v>CRÍTICO</v>
      </c>
      <c r="M1651">
        <v>6</v>
      </c>
      <c r="N1651">
        <v>100</v>
      </c>
      <c r="O1651">
        <v>53.846153846153847</v>
      </c>
    </row>
    <row r="1652" spans="1:15" customFormat="1" hidden="1" x14ac:dyDescent="0.25">
      <c r="A1652" s="11">
        <v>46051</v>
      </c>
      <c r="B1652" t="s">
        <v>45</v>
      </c>
      <c r="C1652" t="s">
        <v>32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28</v>
      </c>
      <c r="K1652" s="3">
        <f>I1652-J1652</f>
        <v>17</v>
      </c>
      <c r="L1652" s="3" t="str">
        <f t="shared" si="179"/>
        <v>EXCELENTE</v>
      </c>
      <c r="M1652">
        <v>34</v>
      </c>
      <c r="N1652">
        <v>100</v>
      </c>
      <c r="O1652">
        <v>44.05594405594406</v>
      </c>
    </row>
    <row r="1653" spans="1:15" customFormat="1" hidden="1" x14ac:dyDescent="0.25">
      <c r="A1653" s="11">
        <v>46051</v>
      </c>
      <c r="B1653" t="s">
        <v>64</v>
      </c>
      <c r="C1653" t="s">
        <v>23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18</v>
      </c>
      <c r="K1653" s="3">
        <f>I1653-J1653</f>
        <v>-8</v>
      </c>
      <c r="L1653" s="3" t="str">
        <f t="shared" si="179"/>
        <v>CRÍTICO</v>
      </c>
      <c r="M1653">
        <v>10</v>
      </c>
      <c r="N1653">
        <v>100</v>
      </c>
      <c r="O1653">
        <v>31.872509960159359</v>
      </c>
    </row>
    <row r="1654" spans="1:15" customFormat="1" hidden="1" x14ac:dyDescent="0.25">
      <c r="A1654" s="11">
        <v>46051</v>
      </c>
      <c r="B1654" t="s">
        <v>46</v>
      </c>
      <c r="C1654" t="s">
        <v>32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28</v>
      </c>
      <c r="K1654" s="3">
        <f>I1654-J1654</f>
        <v>4</v>
      </c>
      <c r="L1654" s="3" t="str">
        <f t="shared" si="179"/>
        <v>BOM</v>
      </c>
      <c r="M1654">
        <v>29</v>
      </c>
      <c r="N1654">
        <v>98.41</v>
      </c>
      <c r="O1654">
        <v>29.22465208747515</v>
      </c>
    </row>
    <row r="1655" spans="1:15" customFormat="1" hidden="1" x14ac:dyDescent="0.25">
      <c r="A1655" s="11">
        <v>46052</v>
      </c>
      <c r="B1655" t="s">
        <v>47</v>
      </c>
      <c r="C1655" t="s">
        <v>48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22</v>
      </c>
      <c r="K1655" s="3">
        <f>I1655-J1655</f>
        <v>10</v>
      </c>
      <c r="L1655" s="3" t="str">
        <f t="shared" si="179"/>
        <v>EXCELENTE</v>
      </c>
      <c r="M1655">
        <v>23</v>
      </c>
      <c r="N1655">
        <v>96.81</v>
      </c>
      <c r="O1655">
        <v>27.980535279805348</v>
      </c>
    </row>
    <row r="1656" spans="1:15" customFormat="1" hidden="1" x14ac:dyDescent="0.25">
      <c r="A1656" s="11">
        <v>46052</v>
      </c>
      <c r="B1656" t="s">
        <v>31</v>
      </c>
      <c r="C1656" t="s">
        <v>32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 t="shared" si="179"/>
        <v>BOM</v>
      </c>
      <c r="M1656">
        <v>29</v>
      </c>
      <c r="N1656">
        <v>98.73</v>
      </c>
      <c r="O1656">
        <v>35.756385068762278</v>
      </c>
    </row>
    <row r="1657" spans="1:15" customFormat="1" hidden="1" x14ac:dyDescent="0.25">
      <c r="A1657" s="11">
        <v>46052</v>
      </c>
      <c r="B1657" t="s">
        <v>59</v>
      </c>
      <c r="C1657" t="s">
        <v>23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18</v>
      </c>
      <c r="K1657" s="3">
        <f>I1657-J1657</f>
        <v>7</v>
      </c>
      <c r="L1657" s="3" t="str">
        <f t="shared" si="179"/>
        <v>EXCELENTE</v>
      </c>
      <c r="M1657">
        <v>21</v>
      </c>
      <c r="N1657">
        <v>98.32</v>
      </c>
      <c r="O1657">
        <v>26.763485477178421</v>
      </c>
    </row>
    <row r="1658" spans="1:15" customFormat="1" hidden="1" x14ac:dyDescent="0.25">
      <c r="A1658" s="11">
        <v>46052</v>
      </c>
      <c r="B1658" t="s">
        <v>33</v>
      </c>
      <c r="C1658" t="s">
        <v>32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28</v>
      </c>
      <c r="K1658" s="3">
        <f>I1658-J1658</f>
        <v>-3</v>
      </c>
      <c r="L1658" s="3" t="str">
        <f t="shared" si="179"/>
        <v>ATENÇÃO</v>
      </c>
      <c r="M1658">
        <v>23</v>
      </c>
      <c r="N1658">
        <v>99.19</v>
      </c>
      <c r="O1658">
        <v>27.637130801687761</v>
      </c>
    </row>
    <row r="1659" spans="1:15" customFormat="1" hidden="1" x14ac:dyDescent="0.25">
      <c r="A1659" s="11">
        <v>46052</v>
      </c>
      <c r="B1659" t="s">
        <v>15</v>
      </c>
      <c r="C1659" t="s">
        <v>16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 t="shared" si="179"/>
        <v>BOM</v>
      </c>
      <c r="M1659">
        <v>0</v>
      </c>
      <c r="N1659">
        <v>100</v>
      </c>
      <c r="O1659">
        <v>39.568345323741013</v>
      </c>
    </row>
    <row r="1660" spans="1:15" customFormat="1" hidden="1" x14ac:dyDescent="0.25">
      <c r="A1660" s="11">
        <v>46052</v>
      </c>
      <c r="B1660" t="s">
        <v>49</v>
      </c>
      <c r="C1660" t="s">
        <v>48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-4</v>
      </c>
      <c r="L1660" s="3" t="str">
        <f t="shared" si="179"/>
        <v>ATENÇÃO</v>
      </c>
      <c r="M1660">
        <v>22</v>
      </c>
      <c r="N1660">
        <v>98.54</v>
      </c>
      <c r="O1660">
        <v>28.544776119402989</v>
      </c>
    </row>
    <row r="1661" spans="1:15" customFormat="1" hidden="1" x14ac:dyDescent="0.25">
      <c r="A1661" s="11">
        <v>46052</v>
      </c>
      <c r="B1661" t="s">
        <v>50</v>
      </c>
      <c r="C1661" t="s">
        <v>48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22</v>
      </c>
      <c r="K1661" s="3">
        <f>I1661-J1661</f>
        <v>-8</v>
      </c>
      <c r="L1661" s="3" t="str">
        <f t="shared" si="179"/>
        <v>CRÍTICO</v>
      </c>
      <c r="M1661">
        <v>16</v>
      </c>
      <c r="N1661">
        <v>100</v>
      </c>
      <c r="O1661">
        <v>34.366925064599492</v>
      </c>
    </row>
    <row r="1662" spans="1:15" customFormat="1" hidden="1" x14ac:dyDescent="0.25">
      <c r="A1662" s="11">
        <v>46052</v>
      </c>
      <c r="B1662" t="s">
        <v>17</v>
      </c>
      <c r="C1662" t="s">
        <v>16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 t="shared" si="179"/>
        <v>BOM</v>
      </c>
      <c r="M1662">
        <v>0</v>
      </c>
      <c r="N1662">
        <v>0</v>
      </c>
      <c r="O1662">
        <v>0</v>
      </c>
    </row>
    <row r="1663" spans="1:15" customFormat="1" hidden="1" x14ac:dyDescent="0.25">
      <c r="A1663" s="11">
        <v>46052</v>
      </c>
      <c r="B1663" t="s">
        <v>60</v>
      </c>
      <c r="C1663" t="s">
        <v>23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5</v>
      </c>
      <c r="L1663" s="3" t="str">
        <f t="shared" si="179"/>
        <v>BOM</v>
      </c>
      <c r="M1663">
        <v>21</v>
      </c>
      <c r="N1663">
        <v>100</v>
      </c>
      <c r="O1663">
        <v>29.518072289156631</v>
      </c>
    </row>
    <row r="1664" spans="1:15" customFormat="1" hidden="1" x14ac:dyDescent="0.25">
      <c r="A1664" s="11">
        <v>46052</v>
      </c>
      <c r="B1664" t="s">
        <v>34</v>
      </c>
      <c r="C1664" t="s">
        <v>32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28</v>
      </c>
      <c r="K1664" s="3">
        <f>I1664-J1664</f>
        <v>16</v>
      </c>
      <c r="L1664" s="3" t="str">
        <f t="shared" si="179"/>
        <v>EXCELENTE</v>
      </c>
      <c r="M1664">
        <v>45</v>
      </c>
      <c r="N1664">
        <v>97.45</v>
      </c>
      <c r="O1664">
        <v>41.421143847487002</v>
      </c>
    </row>
    <row r="1665" spans="1:15" customFormat="1" hidden="1" x14ac:dyDescent="0.25">
      <c r="A1665" s="11">
        <v>46052</v>
      </c>
      <c r="B1665" t="s">
        <v>51</v>
      </c>
      <c r="C1665" t="s">
        <v>48</v>
      </c>
      <c r="D1665">
        <v>30</v>
      </c>
      <c r="E1665">
        <v>28</v>
      </c>
      <c r="F1665">
        <v>15.34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 t="shared" si="179"/>
        <v>BOM</v>
      </c>
      <c r="M1665">
        <v>24</v>
      </c>
      <c r="N1665">
        <v>96.58</v>
      </c>
      <c r="O1665">
        <v>30.396475770925111</v>
      </c>
    </row>
    <row r="1666" spans="1:15" customFormat="1" hidden="1" x14ac:dyDescent="0.25">
      <c r="A1666" s="11">
        <v>46052</v>
      </c>
      <c r="B1666" t="s">
        <v>61</v>
      </c>
      <c r="C1666" t="s">
        <v>23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18</v>
      </c>
      <c r="K1666" s="3">
        <f>I1666-J1666</f>
        <v>8</v>
      </c>
      <c r="L1666" s="3" t="str">
        <f t="shared" si="179"/>
        <v>EXCELENTE</v>
      </c>
      <c r="M1666">
        <v>29</v>
      </c>
      <c r="N1666">
        <v>100</v>
      </c>
      <c r="O1666">
        <v>27.44282744282744</v>
      </c>
    </row>
    <row r="1667" spans="1:15" customFormat="1" hidden="1" x14ac:dyDescent="0.25">
      <c r="A1667" s="11">
        <v>46052</v>
      </c>
      <c r="B1667" t="s">
        <v>35</v>
      </c>
      <c r="C1667" t="s">
        <v>32</v>
      </c>
      <c r="D1667">
        <v>38</v>
      </c>
      <c r="E1667">
        <v>38</v>
      </c>
      <c r="F1667">
        <v>18.43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 t="shared" si="179"/>
        <v>BOM</v>
      </c>
      <c r="M1667">
        <v>38</v>
      </c>
      <c r="N1667">
        <v>99.49</v>
      </c>
      <c r="O1667">
        <v>40.200000000000003</v>
      </c>
    </row>
    <row r="1668" spans="1:15" customFormat="1" hidden="1" x14ac:dyDescent="0.25">
      <c r="A1668" s="11">
        <v>46052</v>
      </c>
      <c r="B1668" t="s">
        <v>18</v>
      </c>
      <c r="C1668" t="s">
        <v>16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 t="shared" ref="I1668:I1676" si="183">E1668+G1668+H1668</f>
        <v>3</v>
      </c>
      <c r="J1668" s="3">
        <f t="shared" ref="J1668:J1676" si="184"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8</v>
      </c>
      <c r="K1668" s="3">
        <f t="shared" ref="K1668:K1676" si="185">I1668-J1668</f>
        <v>-5</v>
      </c>
      <c r="L1668" s="3" t="str">
        <f t="shared" si="179"/>
        <v>ATENÇÃO</v>
      </c>
      <c r="M1668">
        <v>2</v>
      </c>
      <c r="N1668">
        <v>100</v>
      </c>
      <c r="O1668">
        <v>25</v>
      </c>
    </row>
    <row r="1669" spans="1:15" customFormat="1" hidden="1" x14ac:dyDescent="0.25">
      <c r="A1669" s="11">
        <v>46052</v>
      </c>
      <c r="B1669" t="s">
        <v>52</v>
      </c>
      <c r="C1669" t="s">
        <v>48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 t="shared" si="183"/>
        <v>32</v>
      </c>
      <c r="J1669" s="3">
        <f t="shared" si="184"/>
        <v>22</v>
      </c>
      <c r="K1669" s="3">
        <f t="shared" si="185"/>
        <v>10</v>
      </c>
      <c r="L1669" s="3" t="str">
        <f t="shared" si="179"/>
        <v>EXCELENTE</v>
      </c>
      <c r="M1669">
        <v>31</v>
      </c>
      <c r="N1669">
        <v>100</v>
      </c>
      <c r="O1669">
        <v>34.15094339622641</v>
      </c>
    </row>
    <row r="1670" spans="1:15" customFormat="1" hidden="1" x14ac:dyDescent="0.25">
      <c r="A1670" s="11">
        <v>46052</v>
      </c>
      <c r="B1670" t="s">
        <v>36</v>
      </c>
      <c r="C1670" t="s">
        <v>32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 t="shared" si="183"/>
        <v>27</v>
      </c>
      <c r="J1670" s="3">
        <f t="shared" si="184"/>
        <v>28</v>
      </c>
      <c r="K1670" s="3">
        <f t="shared" si="185"/>
        <v>-1</v>
      </c>
      <c r="L1670" s="3" t="str">
        <f t="shared" si="179"/>
        <v>ATENÇÃO</v>
      </c>
      <c r="M1670">
        <v>28</v>
      </c>
      <c r="N1670">
        <v>100</v>
      </c>
      <c r="O1670">
        <v>32.731376975169297</v>
      </c>
    </row>
    <row r="1671" spans="1:15" customFormat="1" hidden="1" x14ac:dyDescent="0.25">
      <c r="A1671" s="11">
        <v>46052</v>
      </c>
      <c r="B1671" t="s">
        <v>53</v>
      </c>
      <c r="C1671" t="s">
        <v>48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 t="shared" si="183"/>
        <v>39</v>
      </c>
      <c r="J1671" s="3">
        <f t="shared" si="184"/>
        <v>22</v>
      </c>
      <c r="K1671" s="3">
        <f t="shared" si="185"/>
        <v>17</v>
      </c>
      <c r="L1671" s="3" t="str">
        <f t="shared" ref="L1671:L1734" si="186">IF(K1671&lt;-5,"CRÍTICO",IF(K1671&lt;0,"ATENÇÃO",IF(K1671&lt;=5,"BOM","EXCELENTE")))</f>
        <v>EXCELENTE</v>
      </c>
      <c r="M1671">
        <v>38</v>
      </c>
      <c r="N1671">
        <v>99.31</v>
      </c>
      <c r="O1671">
        <v>30.96234309623431</v>
      </c>
    </row>
    <row r="1672" spans="1:15" customFormat="1" hidden="1" x14ac:dyDescent="0.25">
      <c r="A1672" s="11">
        <v>46086</v>
      </c>
      <c r="B1672" t="s">
        <v>22</v>
      </c>
      <c r="C1672" t="s">
        <v>23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 t="shared" si="183"/>
        <v>16</v>
      </c>
      <c r="J1672" s="3">
        <f t="shared" si="184"/>
        <v>19</v>
      </c>
      <c r="K1672" s="3">
        <f t="shared" si="185"/>
        <v>-3</v>
      </c>
      <c r="L1672" s="3" t="str">
        <f t="shared" si="186"/>
        <v>ATENÇÃO</v>
      </c>
      <c r="M1672">
        <v>27</v>
      </c>
      <c r="N1672">
        <v>99.05</v>
      </c>
      <c r="O1672">
        <v>26.621923937360179</v>
      </c>
    </row>
    <row r="1673" spans="1:15" customFormat="1" hidden="1" x14ac:dyDescent="0.25">
      <c r="A1673" s="11">
        <v>46052</v>
      </c>
      <c r="B1673" t="s">
        <v>54</v>
      </c>
      <c r="C1673" t="s">
        <v>48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 t="shared" si="183"/>
        <v>35</v>
      </c>
      <c r="J1673" s="3">
        <f t="shared" si="184"/>
        <v>22</v>
      </c>
      <c r="K1673" s="3">
        <f t="shared" si="185"/>
        <v>13</v>
      </c>
      <c r="L1673" s="3" t="str">
        <f t="shared" si="186"/>
        <v>EXCELENTE</v>
      </c>
      <c r="M1673">
        <v>31</v>
      </c>
      <c r="N1673">
        <v>100</v>
      </c>
      <c r="O1673">
        <v>27.676767676767678</v>
      </c>
    </row>
    <row r="1674" spans="1:15" customFormat="1" hidden="1" x14ac:dyDescent="0.25">
      <c r="A1674" s="11">
        <v>46052</v>
      </c>
      <c r="B1674" t="s">
        <v>37</v>
      </c>
      <c r="C1674" t="s">
        <v>32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 t="shared" si="183"/>
        <v>59</v>
      </c>
      <c r="J1674" s="3">
        <f t="shared" si="184"/>
        <v>28</v>
      </c>
      <c r="K1674" s="3">
        <f t="shared" si="185"/>
        <v>31</v>
      </c>
      <c r="L1674" s="3" t="str">
        <f t="shared" si="186"/>
        <v>EXCELENTE</v>
      </c>
      <c r="M1674">
        <v>58</v>
      </c>
      <c r="N1674">
        <v>100</v>
      </c>
      <c r="O1674">
        <v>31.17723156532988</v>
      </c>
    </row>
    <row r="1675" spans="1:15" customFormat="1" hidden="1" x14ac:dyDescent="0.25">
      <c r="A1675" s="11">
        <v>46052</v>
      </c>
      <c r="B1675" t="s">
        <v>38</v>
      </c>
      <c r="C1675" t="s">
        <v>32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 t="shared" si="183"/>
        <v>17</v>
      </c>
      <c r="J1675" s="3">
        <f t="shared" si="184"/>
        <v>28</v>
      </c>
      <c r="K1675" s="3">
        <f t="shared" si="185"/>
        <v>-11</v>
      </c>
      <c r="L1675" s="3" t="str">
        <f t="shared" si="186"/>
        <v>CRÍTICO</v>
      </c>
      <c r="M1675">
        <v>15</v>
      </c>
      <c r="N1675">
        <v>100</v>
      </c>
      <c r="O1675">
        <v>27.609427609427609</v>
      </c>
    </row>
    <row r="1676" spans="1:15" customFormat="1" hidden="1" x14ac:dyDescent="0.25">
      <c r="A1676" s="11">
        <v>46052</v>
      </c>
      <c r="B1676" t="s">
        <v>55</v>
      </c>
      <c r="C1676" t="s">
        <v>48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 t="shared" si="183"/>
        <v>14</v>
      </c>
      <c r="J1676" s="3">
        <f t="shared" si="184"/>
        <v>22</v>
      </c>
      <c r="K1676" s="3">
        <f t="shared" si="185"/>
        <v>-8</v>
      </c>
      <c r="L1676" s="3" t="str">
        <f t="shared" si="186"/>
        <v>CRÍTICO</v>
      </c>
      <c r="M1676">
        <v>14</v>
      </c>
      <c r="N1676">
        <v>96.4</v>
      </c>
      <c r="O1676">
        <v>28.764044943820231</v>
      </c>
    </row>
    <row r="1677" spans="1:15" customFormat="1" hidden="1" x14ac:dyDescent="0.25">
      <c r="A1677" s="11">
        <v>46052</v>
      </c>
      <c r="B1677" t="s">
        <v>39</v>
      </c>
      <c r="C1677" t="s">
        <v>32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 t="shared" si="186"/>
        <v>BOM</v>
      </c>
      <c r="M1677">
        <v>0</v>
      </c>
      <c r="N1677">
        <v>100</v>
      </c>
      <c r="O1677">
        <v>33.980582524271853</v>
      </c>
    </row>
    <row r="1678" spans="1:15" customFormat="1" hidden="1" x14ac:dyDescent="0.25">
      <c r="A1678" s="11">
        <v>46052</v>
      </c>
      <c r="B1678" t="s">
        <v>25</v>
      </c>
      <c r="C1678" t="s">
        <v>26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16</v>
      </c>
      <c r="K1678" s="3">
        <f>I1678-J1678</f>
        <v>3</v>
      </c>
      <c r="L1678" s="3" t="str">
        <f t="shared" si="186"/>
        <v>BOM</v>
      </c>
      <c r="M1678">
        <v>16</v>
      </c>
      <c r="N1678">
        <v>97.56</v>
      </c>
      <c r="O1678">
        <v>32.515337423312893</v>
      </c>
    </row>
    <row r="1679" spans="1:15" customFormat="1" hidden="1" x14ac:dyDescent="0.25">
      <c r="A1679" s="11">
        <v>46052</v>
      </c>
      <c r="B1679" t="s">
        <v>40</v>
      </c>
      <c r="C1679" t="s">
        <v>32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28</v>
      </c>
      <c r="K1679" s="3">
        <f>I1679-J1679</f>
        <v>-11</v>
      </c>
      <c r="L1679" s="3" t="str">
        <f t="shared" si="186"/>
        <v>CRÍTICO</v>
      </c>
      <c r="M1679">
        <v>16</v>
      </c>
      <c r="N1679">
        <v>97.11</v>
      </c>
      <c r="O1679">
        <v>37.408312958435211</v>
      </c>
    </row>
    <row r="1680" spans="1:15" customFormat="1" hidden="1" x14ac:dyDescent="0.25">
      <c r="A1680" s="11">
        <v>46052</v>
      </c>
      <c r="B1680" t="s">
        <v>27</v>
      </c>
      <c r="C1680" t="s">
        <v>26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 t="shared" si="186"/>
        <v>BOM</v>
      </c>
      <c r="M1680">
        <v>0</v>
      </c>
      <c r="N1680">
        <v>0</v>
      </c>
      <c r="O1680">
        <v>0</v>
      </c>
    </row>
    <row r="1681" spans="1:15" customFormat="1" hidden="1" x14ac:dyDescent="0.25">
      <c r="A1681" s="11">
        <v>46052</v>
      </c>
      <c r="B1681" t="s">
        <v>41</v>
      </c>
      <c r="C1681" t="s">
        <v>32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-2</v>
      </c>
      <c r="L1681" s="3" t="str">
        <f t="shared" si="186"/>
        <v>ATENÇÃO</v>
      </c>
      <c r="M1681">
        <v>28</v>
      </c>
      <c r="N1681">
        <v>100</v>
      </c>
      <c r="O1681">
        <v>30.470347648261761</v>
      </c>
    </row>
    <row r="1682" spans="1:15" customFormat="1" hidden="1" x14ac:dyDescent="0.25">
      <c r="A1682" s="11">
        <v>46052</v>
      </c>
      <c r="B1682" t="s">
        <v>56</v>
      </c>
      <c r="C1682" t="s">
        <v>48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22</v>
      </c>
      <c r="K1682" s="3">
        <f>I1682-J1682</f>
        <v>19</v>
      </c>
      <c r="L1682" s="3" t="str">
        <f t="shared" si="186"/>
        <v>EXCELENTE</v>
      </c>
      <c r="M1682">
        <v>30</v>
      </c>
      <c r="N1682">
        <v>100</v>
      </c>
      <c r="O1682">
        <v>32.371134020618562</v>
      </c>
    </row>
    <row r="1683" spans="1:15" customFormat="1" hidden="1" x14ac:dyDescent="0.25">
      <c r="A1683" s="11">
        <v>46052</v>
      </c>
      <c r="B1683" t="s">
        <v>57</v>
      </c>
      <c r="C1683" t="s">
        <v>48</v>
      </c>
      <c r="D1683">
        <v>37</v>
      </c>
      <c r="E1683">
        <v>36</v>
      </c>
      <c r="F1683">
        <v>15.48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 t="shared" si="186"/>
        <v>BOM</v>
      </c>
      <c r="M1683">
        <v>29</v>
      </c>
      <c r="N1683">
        <v>98.32</v>
      </c>
      <c r="O1683">
        <v>32.318501170960189</v>
      </c>
    </row>
    <row r="1684" spans="1:15" customFormat="1" hidden="1" x14ac:dyDescent="0.25">
      <c r="A1684" s="11">
        <v>46052</v>
      </c>
      <c r="B1684" t="s">
        <v>42</v>
      </c>
      <c r="C1684" t="s">
        <v>32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28</v>
      </c>
      <c r="K1684" s="3">
        <f>I1684-J1684</f>
        <v>-4</v>
      </c>
      <c r="L1684" s="3" t="str">
        <f t="shared" si="186"/>
        <v>ATENÇÃO</v>
      </c>
      <c r="M1684">
        <v>9</v>
      </c>
      <c r="N1684">
        <v>96.43</v>
      </c>
      <c r="O1684">
        <v>27.015250544662312</v>
      </c>
    </row>
    <row r="1685" spans="1:15" customFormat="1" hidden="1" x14ac:dyDescent="0.25">
      <c r="A1685" s="11">
        <v>46052</v>
      </c>
      <c r="B1685" t="s">
        <v>62</v>
      </c>
      <c r="C1685" t="s">
        <v>23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18</v>
      </c>
      <c r="K1685" s="3">
        <f>I1685-J1685</f>
        <v>2</v>
      </c>
      <c r="L1685" s="3" t="str">
        <f t="shared" si="186"/>
        <v>BOM</v>
      </c>
      <c r="M1685">
        <v>17</v>
      </c>
      <c r="N1685">
        <v>98.89</v>
      </c>
      <c r="O1685">
        <v>28.021978021978018</v>
      </c>
    </row>
    <row r="1686" spans="1:15" customFormat="1" hidden="1" x14ac:dyDescent="0.25">
      <c r="A1686" s="11">
        <v>46052</v>
      </c>
      <c r="B1686" t="s">
        <v>19</v>
      </c>
      <c r="C1686" t="s">
        <v>16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0</v>
      </c>
      <c r="L1686" s="3" t="str">
        <f t="shared" si="186"/>
        <v>BOM</v>
      </c>
      <c r="M1686">
        <v>7</v>
      </c>
      <c r="N1686">
        <v>100</v>
      </c>
      <c r="O1686">
        <v>33.333333333333329</v>
      </c>
    </row>
    <row r="1687" spans="1:15" customFormat="1" hidden="1" x14ac:dyDescent="0.25">
      <c r="A1687" s="11">
        <v>46052</v>
      </c>
      <c r="B1687" t="s">
        <v>43</v>
      </c>
      <c r="C1687" t="s">
        <v>32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 t="shared" si="186"/>
        <v>BOM</v>
      </c>
      <c r="M1687">
        <v>0</v>
      </c>
      <c r="N1687">
        <v>100</v>
      </c>
      <c r="O1687">
        <v>27.43362831858407</v>
      </c>
    </row>
    <row r="1688" spans="1:15" customFormat="1" hidden="1" x14ac:dyDescent="0.25">
      <c r="A1688" s="11">
        <v>46052</v>
      </c>
      <c r="B1688" t="s">
        <v>44</v>
      </c>
      <c r="C1688" t="s">
        <v>32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28</v>
      </c>
      <c r="K1688" s="3">
        <f>I1688-J1688</f>
        <v>6</v>
      </c>
      <c r="L1688" s="3" t="str">
        <f t="shared" si="186"/>
        <v>EXCELENTE</v>
      </c>
      <c r="M1688">
        <v>31</v>
      </c>
      <c r="N1688">
        <v>98.65</v>
      </c>
      <c r="O1688">
        <v>30.978260869565219</v>
      </c>
    </row>
    <row r="1689" spans="1:15" customFormat="1" hidden="1" x14ac:dyDescent="0.25">
      <c r="A1689" s="11">
        <v>46052</v>
      </c>
      <c r="B1689" t="s">
        <v>20</v>
      </c>
      <c r="C1689" t="s">
        <v>16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8</v>
      </c>
      <c r="K1689" s="3">
        <f>I1689-J1689</f>
        <v>-5</v>
      </c>
      <c r="L1689" s="3" t="str">
        <f t="shared" si="186"/>
        <v>ATENÇÃO</v>
      </c>
      <c r="M1689">
        <v>2</v>
      </c>
      <c r="N1689">
        <v>100</v>
      </c>
      <c r="O1689">
        <v>12</v>
      </c>
    </row>
    <row r="1690" spans="1:15" customFormat="1" hidden="1" x14ac:dyDescent="0.25">
      <c r="A1690" s="11">
        <v>46052</v>
      </c>
      <c r="B1690" t="s">
        <v>28</v>
      </c>
      <c r="C1690" t="s">
        <v>26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 t="shared" si="186"/>
        <v>BOM</v>
      </c>
      <c r="M1690">
        <v>0</v>
      </c>
      <c r="N1690">
        <v>0</v>
      </c>
      <c r="O1690">
        <v>0</v>
      </c>
    </row>
    <row r="1691" spans="1:15" customFormat="1" hidden="1" x14ac:dyDescent="0.25">
      <c r="A1691" s="11">
        <v>46052</v>
      </c>
      <c r="B1691" t="s">
        <v>58</v>
      </c>
      <c r="C1691" t="s">
        <v>48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22</v>
      </c>
      <c r="K1691" s="3">
        <f>I1691-J1691</f>
        <v>3</v>
      </c>
      <c r="L1691" s="3" t="str">
        <f t="shared" si="186"/>
        <v>BOM</v>
      </c>
      <c r="M1691">
        <v>25</v>
      </c>
      <c r="N1691">
        <v>97.56</v>
      </c>
      <c r="O1691">
        <v>31.067961165048541</v>
      </c>
    </row>
    <row r="1692" spans="1:15" customFormat="1" hidden="1" x14ac:dyDescent="0.25">
      <c r="A1692" s="11">
        <v>46052</v>
      </c>
      <c r="B1692" t="s">
        <v>29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186"/>
        <v>BOM</v>
      </c>
      <c r="M1692">
        <v>0</v>
      </c>
      <c r="N1692">
        <v>0</v>
      </c>
      <c r="O1692">
        <v>0</v>
      </c>
    </row>
    <row r="1693" spans="1:15" customFormat="1" hidden="1" x14ac:dyDescent="0.25">
      <c r="A1693" s="11">
        <v>46052</v>
      </c>
      <c r="B1693" t="s">
        <v>30</v>
      </c>
      <c r="C1693" t="s">
        <v>26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186"/>
        <v>BOM</v>
      </c>
      <c r="M1693">
        <v>0</v>
      </c>
      <c r="N1693">
        <v>0</v>
      </c>
      <c r="O1693">
        <v>0</v>
      </c>
    </row>
    <row r="1694" spans="1:15" customFormat="1" hidden="1" x14ac:dyDescent="0.25">
      <c r="A1694" s="11">
        <v>46052</v>
      </c>
      <c r="B1694" t="s">
        <v>21</v>
      </c>
      <c r="C1694" t="s">
        <v>16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 t="shared" si="186"/>
        <v>BOM</v>
      </c>
      <c r="M1694">
        <v>0</v>
      </c>
      <c r="N1694">
        <v>0</v>
      </c>
      <c r="O1694">
        <v>0</v>
      </c>
    </row>
    <row r="1695" spans="1:15" customFormat="1" hidden="1" x14ac:dyDescent="0.25">
      <c r="A1695" s="11">
        <v>46052</v>
      </c>
      <c r="B1695" t="s">
        <v>63</v>
      </c>
      <c r="C1695" t="s">
        <v>23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18</v>
      </c>
      <c r="K1695" s="3">
        <f>I1695-J1695</f>
        <v>-10</v>
      </c>
      <c r="L1695" s="3" t="str">
        <f t="shared" si="186"/>
        <v>CRÍTICO</v>
      </c>
      <c r="M1695">
        <v>5</v>
      </c>
      <c r="N1695">
        <v>100</v>
      </c>
      <c r="O1695">
        <v>53.846153846153847</v>
      </c>
    </row>
    <row r="1696" spans="1:15" customFormat="1" hidden="1" x14ac:dyDescent="0.25">
      <c r="A1696" s="11">
        <v>46052</v>
      </c>
      <c r="B1696" t="s">
        <v>45</v>
      </c>
      <c r="C1696" t="s">
        <v>32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28</v>
      </c>
      <c r="K1696" s="3">
        <f>I1696-J1696</f>
        <v>0</v>
      </c>
      <c r="L1696" s="3" t="str">
        <f t="shared" si="186"/>
        <v>BOM</v>
      </c>
      <c r="M1696">
        <v>29</v>
      </c>
      <c r="N1696">
        <v>100</v>
      </c>
      <c r="O1696">
        <v>44.05594405594406</v>
      </c>
    </row>
    <row r="1697" spans="1:15" customFormat="1" hidden="1" x14ac:dyDescent="0.25">
      <c r="A1697" s="11">
        <v>46052</v>
      </c>
      <c r="B1697" t="s">
        <v>64</v>
      </c>
      <c r="C1697" t="s">
        <v>23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18</v>
      </c>
      <c r="K1697" s="3">
        <f>I1697-J1697</f>
        <v>-4</v>
      </c>
      <c r="L1697" s="3" t="str">
        <f t="shared" si="186"/>
        <v>ATENÇÃO</v>
      </c>
      <c r="M1697">
        <v>15</v>
      </c>
      <c r="N1697">
        <v>100</v>
      </c>
      <c r="O1697">
        <v>31.872509960159359</v>
      </c>
    </row>
    <row r="1698" spans="1:15" customFormat="1" hidden="1" x14ac:dyDescent="0.25">
      <c r="A1698" s="11">
        <v>46052</v>
      </c>
      <c r="B1698" t="s">
        <v>46</v>
      </c>
      <c r="C1698" t="s">
        <v>32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28</v>
      </c>
      <c r="K1698" s="3">
        <f>I1698-J1698</f>
        <v>8</v>
      </c>
      <c r="L1698" s="3" t="str">
        <f t="shared" si="186"/>
        <v>EXCELENTE</v>
      </c>
      <c r="M1698">
        <v>29</v>
      </c>
      <c r="N1698">
        <v>98.41</v>
      </c>
      <c r="O1698">
        <v>29.22465208747515</v>
      </c>
    </row>
    <row r="1699" spans="1:15" customFormat="1" hidden="1" x14ac:dyDescent="0.25">
      <c r="A1699" s="11">
        <v>46055</v>
      </c>
      <c r="B1699" t="s">
        <v>47</v>
      </c>
      <c r="C1699" t="s">
        <v>48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23</v>
      </c>
      <c r="K1699" s="3">
        <f>I1699-J1699</f>
        <v>20</v>
      </c>
      <c r="L1699" s="3" t="str">
        <f t="shared" si="186"/>
        <v>EXCELENTE</v>
      </c>
      <c r="M1699">
        <v>40</v>
      </c>
      <c r="N1699">
        <v>98.32</v>
      </c>
      <c r="O1699">
        <v>30.303030303030301</v>
      </c>
    </row>
    <row r="1700" spans="1:15" customFormat="1" hidden="1" x14ac:dyDescent="0.25">
      <c r="A1700" s="11">
        <v>46055</v>
      </c>
      <c r="B1700" t="s">
        <v>31</v>
      </c>
      <c r="C1700" t="s">
        <v>32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 t="shared" si="186"/>
        <v>BOM</v>
      </c>
      <c r="M1700">
        <v>30</v>
      </c>
      <c r="N1700">
        <v>98.68</v>
      </c>
      <c r="O1700">
        <v>26.219512195121951</v>
      </c>
    </row>
    <row r="1701" spans="1:15" customFormat="1" hidden="1" x14ac:dyDescent="0.25">
      <c r="A1701" s="11">
        <v>46055</v>
      </c>
      <c r="B1701" t="s">
        <v>59</v>
      </c>
      <c r="C1701" t="s">
        <v>23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19</v>
      </c>
      <c r="K1701" s="3">
        <f>I1701-J1701</f>
        <v>8</v>
      </c>
      <c r="L1701" s="3" t="str">
        <f t="shared" si="186"/>
        <v>EXCELENTE</v>
      </c>
      <c r="M1701">
        <v>28</v>
      </c>
      <c r="N1701">
        <v>100</v>
      </c>
      <c r="O1701">
        <v>31.74224343675418</v>
      </c>
    </row>
    <row r="1702" spans="1:15" customFormat="1" hidden="1" x14ac:dyDescent="0.25">
      <c r="A1702" s="11">
        <v>46055</v>
      </c>
      <c r="B1702" t="s">
        <v>33</v>
      </c>
      <c r="C1702" t="s">
        <v>32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29</v>
      </c>
      <c r="K1702" s="3">
        <f>I1702-J1702</f>
        <v>-5</v>
      </c>
      <c r="L1702" s="3" t="str">
        <f t="shared" si="186"/>
        <v>ATENÇÃO</v>
      </c>
      <c r="M1702">
        <v>23</v>
      </c>
      <c r="N1702">
        <v>98.25</v>
      </c>
      <c r="O1702">
        <v>25.83518930957684</v>
      </c>
    </row>
    <row r="1703" spans="1:15" customFormat="1" hidden="1" x14ac:dyDescent="0.25">
      <c r="A1703" s="11">
        <v>46055</v>
      </c>
      <c r="B1703" t="s">
        <v>15</v>
      </c>
      <c r="C1703" t="s">
        <v>16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 t="shared" si="186"/>
        <v>BOM</v>
      </c>
      <c r="M1703">
        <v>0</v>
      </c>
      <c r="N1703">
        <v>97.5</v>
      </c>
      <c r="O1703">
        <v>30.075187969924809</v>
      </c>
    </row>
    <row r="1704" spans="1:15" customFormat="1" hidden="1" x14ac:dyDescent="0.25">
      <c r="A1704" s="11">
        <v>46055</v>
      </c>
      <c r="B1704" t="s">
        <v>49</v>
      </c>
      <c r="C1704" t="s">
        <v>48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7</v>
      </c>
      <c r="L1704" s="3" t="str">
        <f t="shared" si="186"/>
        <v>EXCELENTE</v>
      </c>
      <c r="M1704">
        <v>30</v>
      </c>
      <c r="N1704">
        <v>100</v>
      </c>
      <c r="O1704">
        <v>29.71311475409836</v>
      </c>
    </row>
    <row r="1705" spans="1:15" customFormat="1" hidden="1" x14ac:dyDescent="0.25">
      <c r="A1705" s="11">
        <v>46055</v>
      </c>
      <c r="B1705" t="s">
        <v>50</v>
      </c>
      <c r="C1705" t="s">
        <v>48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23</v>
      </c>
      <c r="K1705" s="3">
        <f>I1705-J1705</f>
        <v>-4</v>
      </c>
      <c r="L1705" s="3" t="str">
        <f t="shared" si="186"/>
        <v>ATENÇÃO</v>
      </c>
      <c r="M1705">
        <v>18</v>
      </c>
      <c r="N1705">
        <v>99.22</v>
      </c>
      <c r="O1705">
        <v>35.256410256410263</v>
      </c>
    </row>
    <row r="1706" spans="1:15" customFormat="1" hidden="1" x14ac:dyDescent="0.25">
      <c r="A1706" s="11">
        <v>46055</v>
      </c>
      <c r="B1706" t="s">
        <v>17</v>
      </c>
      <c r="C1706" t="s">
        <v>16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 t="shared" si="186"/>
        <v>BOM</v>
      </c>
      <c r="M1706">
        <v>0</v>
      </c>
      <c r="N1706">
        <v>0</v>
      </c>
      <c r="O1706">
        <v>0</v>
      </c>
    </row>
    <row r="1707" spans="1:15" customFormat="1" hidden="1" x14ac:dyDescent="0.25">
      <c r="A1707" s="11">
        <v>46055</v>
      </c>
      <c r="B1707" t="s">
        <v>60</v>
      </c>
      <c r="C1707" t="s">
        <v>23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-18</v>
      </c>
      <c r="L1707" s="3" t="str">
        <f t="shared" si="186"/>
        <v>CRÍTICO</v>
      </c>
      <c r="M1707">
        <v>23</v>
      </c>
      <c r="N1707">
        <v>98.75</v>
      </c>
      <c r="O1707">
        <v>24.32432432432433</v>
      </c>
    </row>
    <row r="1708" spans="1:15" customFormat="1" hidden="1" x14ac:dyDescent="0.25">
      <c r="A1708" s="11">
        <v>46055</v>
      </c>
      <c r="B1708" t="s">
        <v>34</v>
      </c>
      <c r="C1708" t="s">
        <v>32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29</v>
      </c>
      <c r="K1708" s="3">
        <f>I1708-J1708</f>
        <v>13</v>
      </c>
      <c r="L1708" s="3" t="str">
        <f t="shared" si="186"/>
        <v>EXCELENTE</v>
      </c>
      <c r="M1708">
        <v>35</v>
      </c>
      <c r="N1708">
        <v>93.48</v>
      </c>
      <c r="O1708">
        <v>31.52804642166344</v>
      </c>
    </row>
    <row r="1709" spans="1:15" customFormat="1" hidden="1" x14ac:dyDescent="0.25">
      <c r="A1709" s="11">
        <v>46055</v>
      </c>
      <c r="B1709" t="s">
        <v>51</v>
      </c>
      <c r="C1709" t="s">
        <v>48</v>
      </c>
      <c r="D1709">
        <v>40</v>
      </c>
      <c r="E1709">
        <v>34</v>
      </c>
      <c r="F1709">
        <v>15.02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 t="shared" si="186"/>
        <v>BOM</v>
      </c>
      <c r="M1709">
        <v>32</v>
      </c>
      <c r="N1709">
        <v>99.16</v>
      </c>
      <c r="O1709">
        <v>26.13908872901678</v>
      </c>
    </row>
    <row r="1710" spans="1:15" customFormat="1" hidden="1" x14ac:dyDescent="0.25">
      <c r="A1710" s="11">
        <v>46055</v>
      </c>
      <c r="B1710" t="s">
        <v>61</v>
      </c>
      <c r="C1710" t="s">
        <v>23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19</v>
      </c>
      <c r="K1710" s="3">
        <f>I1710-J1710</f>
        <v>-10</v>
      </c>
      <c r="L1710" s="3" t="str">
        <f t="shared" si="186"/>
        <v>CRÍTICO</v>
      </c>
      <c r="M1710">
        <v>22</v>
      </c>
      <c r="N1710">
        <v>100</v>
      </c>
      <c r="O1710">
        <v>31.089743589743591</v>
      </c>
    </row>
    <row r="1711" spans="1:15" customFormat="1" hidden="1" x14ac:dyDescent="0.25">
      <c r="A1711" s="11">
        <v>46055</v>
      </c>
      <c r="B1711" t="s">
        <v>35</v>
      </c>
      <c r="C1711" t="s">
        <v>32</v>
      </c>
      <c r="D1711">
        <v>37</v>
      </c>
      <c r="E1711">
        <v>37</v>
      </c>
      <c r="F1711">
        <v>18.57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186"/>
        <v>BOM</v>
      </c>
      <c r="M1711">
        <v>37</v>
      </c>
      <c r="N1711">
        <v>98.11</v>
      </c>
      <c r="O1711">
        <v>33.033707865168537</v>
      </c>
    </row>
    <row r="1712" spans="1:15" customFormat="1" hidden="1" x14ac:dyDescent="0.25">
      <c r="A1712" s="11">
        <v>46055</v>
      </c>
      <c r="B1712" t="s">
        <v>18</v>
      </c>
      <c r="C1712" t="s">
        <v>16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 t="shared" si="186"/>
        <v>BOM</v>
      </c>
      <c r="M1712">
        <v>0</v>
      </c>
      <c r="N1712">
        <v>78.95</v>
      </c>
      <c r="O1712">
        <v>38.983050847457633</v>
      </c>
    </row>
    <row r="1713" spans="1:15" customFormat="1" hidden="1" x14ac:dyDescent="0.25">
      <c r="A1713" s="11">
        <v>46055</v>
      </c>
      <c r="B1713" t="s">
        <v>52</v>
      </c>
      <c r="C1713" t="s">
        <v>48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23</v>
      </c>
      <c r="K1713" s="3">
        <f>I1713-J1713</f>
        <v>4</v>
      </c>
      <c r="L1713" s="3" t="str">
        <f t="shared" si="186"/>
        <v>BOM</v>
      </c>
      <c r="M1713">
        <v>22</v>
      </c>
      <c r="N1713">
        <v>98.45</v>
      </c>
      <c r="O1713">
        <v>29.281767955801101</v>
      </c>
    </row>
    <row r="1714" spans="1:15" customFormat="1" hidden="1" x14ac:dyDescent="0.25">
      <c r="A1714" s="11">
        <v>46055</v>
      </c>
      <c r="B1714" t="s">
        <v>36</v>
      </c>
      <c r="C1714" t="s">
        <v>32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29</v>
      </c>
      <c r="K1714" s="3">
        <f>I1714-J1714</f>
        <v>-7</v>
      </c>
      <c r="L1714" s="3" t="str">
        <f t="shared" si="186"/>
        <v>CRÍTICO</v>
      </c>
      <c r="M1714">
        <v>21</v>
      </c>
      <c r="N1714">
        <v>97.84</v>
      </c>
      <c r="O1714">
        <v>26.282051282051281</v>
      </c>
    </row>
    <row r="1715" spans="1:15" customFormat="1" hidden="1" x14ac:dyDescent="0.25">
      <c r="A1715" s="11">
        <v>46055</v>
      </c>
      <c r="B1715" t="s">
        <v>53</v>
      </c>
      <c r="C1715" t="s">
        <v>48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23</v>
      </c>
      <c r="K1715" s="3">
        <f>I1715-J1715</f>
        <v>6</v>
      </c>
      <c r="L1715" s="3" t="str">
        <f t="shared" si="186"/>
        <v>EXCELENTE</v>
      </c>
      <c r="M1715">
        <v>28</v>
      </c>
      <c r="N1715">
        <v>98.5</v>
      </c>
      <c r="O1715">
        <v>23.97769516728625</v>
      </c>
    </row>
    <row r="1716" spans="1:15" customFormat="1" hidden="1" x14ac:dyDescent="0.25">
      <c r="A1716" s="11">
        <v>46087</v>
      </c>
      <c r="B1716" t="s">
        <v>22</v>
      </c>
      <c r="C1716" t="s">
        <v>23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 t="shared" si="186"/>
        <v>BOM</v>
      </c>
      <c r="M1716">
        <v>37</v>
      </c>
      <c r="N1716">
        <v>99.05</v>
      </c>
      <c r="O1716">
        <v>26.621923937360179</v>
      </c>
    </row>
    <row r="1717" spans="1:15" customFormat="1" hidden="1" x14ac:dyDescent="0.25">
      <c r="A1717" s="11">
        <v>46055</v>
      </c>
      <c r="B1717" t="s">
        <v>54</v>
      </c>
      <c r="C1717" t="s">
        <v>48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12</v>
      </c>
      <c r="L1717" s="3" t="str">
        <f t="shared" si="186"/>
        <v>EXCELENTE</v>
      </c>
      <c r="M1717">
        <v>31</v>
      </c>
      <c r="N1717">
        <v>98.53</v>
      </c>
      <c r="O1717">
        <v>31.578947368421051</v>
      </c>
    </row>
    <row r="1718" spans="1:15" customFormat="1" hidden="1" x14ac:dyDescent="0.25">
      <c r="A1718" s="11">
        <v>46055</v>
      </c>
      <c r="B1718" t="s">
        <v>37</v>
      </c>
      <c r="C1718" t="s">
        <v>32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22</v>
      </c>
      <c r="L1718" s="3" t="str">
        <f t="shared" si="186"/>
        <v>EXCELENTE</v>
      </c>
      <c r="M1718">
        <v>54</v>
      </c>
      <c r="N1718">
        <v>100</v>
      </c>
      <c r="O1718">
        <v>25.72214580467676</v>
      </c>
    </row>
    <row r="1719" spans="1:15" customFormat="1" hidden="1" x14ac:dyDescent="0.25">
      <c r="A1719" s="11">
        <v>46055</v>
      </c>
      <c r="B1719" t="s">
        <v>38</v>
      </c>
      <c r="C1719" t="s">
        <v>32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29</v>
      </c>
      <c r="K1719" s="3">
        <f>I1719-J1719</f>
        <v>-13</v>
      </c>
      <c r="L1719" s="3" t="str">
        <f t="shared" si="186"/>
        <v>CRÍTICO</v>
      </c>
      <c r="M1719">
        <v>18</v>
      </c>
      <c r="N1719">
        <v>94.64</v>
      </c>
      <c r="O1719">
        <v>27.52941176470588</v>
      </c>
    </row>
    <row r="1720" spans="1:15" customFormat="1" hidden="1" x14ac:dyDescent="0.25">
      <c r="A1720" s="11">
        <v>46055</v>
      </c>
      <c r="B1720" t="s">
        <v>55</v>
      </c>
      <c r="C1720" t="s">
        <v>48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23</v>
      </c>
      <c r="K1720" s="3">
        <f>I1720-J1720</f>
        <v>13</v>
      </c>
      <c r="L1720" s="3" t="str">
        <f t="shared" si="186"/>
        <v>EXCELENTE</v>
      </c>
      <c r="M1720">
        <v>34</v>
      </c>
      <c r="N1720">
        <v>99.07</v>
      </c>
      <c r="O1720">
        <v>26.376811594202898</v>
      </c>
    </row>
    <row r="1721" spans="1:15" customFormat="1" hidden="1" x14ac:dyDescent="0.25">
      <c r="A1721" s="11">
        <v>46055</v>
      </c>
      <c r="B1721" t="s">
        <v>39</v>
      </c>
      <c r="C1721" t="s">
        <v>32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 t="shared" si="186"/>
        <v>BOM</v>
      </c>
      <c r="M1721">
        <v>0</v>
      </c>
      <c r="N1721">
        <v>100</v>
      </c>
      <c r="O1721">
        <v>0</v>
      </c>
    </row>
    <row r="1722" spans="1:15" customFormat="1" hidden="1" x14ac:dyDescent="0.25">
      <c r="A1722" s="11">
        <v>46055</v>
      </c>
      <c r="B1722" t="s">
        <v>25</v>
      </c>
      <c r="C1722" t="s">
        <v>26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16</v>
      </c>
      <c r="K1722" s="3">
        <f>I1722-J1722</f>
        <v>-1</v>
      </c>
      <c r="L1722" s="3" t="str">
        <f t="shared" si="186"/>
        <v>ATENÇÃO</v>
      </c>
      <c r="M1722">
        <v>13</v>
      </c>
      <c r="N1722">
        <v>98.48</v>
      </c>
      <c r="O1722">
        <v>27.853881278538811</v>
      </c>
    </row>
    <row r="1723" spans="1:15" customFormat="1" hidden="1" x14ac:dyDescent="0.25">
      <c r="A1723" s="11">
        <v>46055</v>
      </c>
      <c r="B1723" t="s">
        <v>40</v>
      </c>
      <c r="C1723" t="s">
        <v>32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29</v>
      </c>
      <c r="K1723" s="3">
        <f>I1723-J1723</f>
        <v>1</v>
      </c>
      <c r="L1723" s="3" t="str">
        <f t="shared" si="186"/>
        <v>BOM</v>
      </c>
      <c r="M1723">
        <v>26</v>
      </c>
      <c r="N1723">
        <v>95.15</v>
      </c>
      <c r="O1723">
        <v>34.131736526946113</v>
      </c>
    </row>
    <row r="1724" spans="1:15" customFormat="1" hidden="1" x14ac:dyDescent="0.25">
      <c r="A1724" s="11">
        <v>46055</v>
      </c>
      <c r="B1724" t="s">
        <v>27</v>
      </c>
      <c r="C1724" t="s">
        <v>26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 t="shared" si="186"/>
        <v>BOM</v>
      </c>
      <c r="M1724">
        <v>0</v>
      </c>
      <c r="N1724">
        <v>0</v>
      </c>
      <c r="O1724">
        <v>0</v>
      </c>
    </row>
    <row r="1725" spans="1:15" customFormat="1" hidden="1" x14ac:dyDescent="0.25">
      <c r="A1725" s="11">
        <v>46055</v>
      </c>
      <c r="B1725" t="s">
        <v>41</v>
      </c>
      <c r="C1725" t="s">
        <v>32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29</v>
      </c>
      <c r="K1725" s="3">
        <f>I1725-J1725</f>
        <v>3</v>
      </c>
      <c r="L1725" s="3" t="str">
        <f t="shared" si="186"/>
        <v>BOM</v>
      </c>
      <c r="M1725">
        <v>28</v>
      </c>
      <c r="N1725">
        <v>99.26</v>
      </c>
      <c r="O1725">
        <v>30.84832904884319</v>
      </c>
    </row>
    <row r="1726" spans="1:15" customFormat="1" hidden="1" x14ac:dyDescent="0.25">
      <c r="A1726" s="11">
        <v>46055</v>
      </c>
      <c r="B1726" t="s">
        <v>56</v>
      </c>
      <c r="C1726" t="s">
        <v>48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23</v>
      </c>
      <c r="K1726" s="3">
        <f>I1726-J1726</f>
        <v>4</v>
      </c>
      <c r="L1726" s="3" t="str">
        <f t="shared" si="186"/>
        <v>BOM</v>
      </c>
      <c r="M1726">
        <v>27</v>
      </c>
      <c r="N1726">
        <v>97.48</v>
      </c>
      <c r="O1726">
        <v>27.764705882352938</v>
      </c>
    </row>
    <row r="1727" spans="1:15" customFormat="1" hidden="1" x14ac:dyDescent="0.25">
      <c r="A1727" s="11">
        <v>46055</v>
      </c>
      <c r="B1727" t="s">
        <v>57</v>
      </c>
      <c r="C1727" t="s">
        <v>48</v>
      </c>
      <c r="D1727">
        <v>33</v>
      </c>
      <c r="E1727">
        <v>32</v>
      </c>
      <c r="F1727">
        <v>17.010000000000002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186"/>
        <v>BOM</v>
      </c>
      <c r="M1727">
        <v>32</v>
      </c>
      <c r="N1727">
        <v>99.34</v>
      </c>
      <c r="O1727">
        <v>30.04291845493562</v>
      </c>
    </row>
    <row r="1728" spans="1:15" customFormat="1" hidden="1" x14ac:dyDescent="0.25">
      <c r="A1728" s="11">
        <v>46055</v>
      </c>
      <c r="B1728" t="s">
        <v>42</v>
      </c>
      <c r="C1728" t="s">
        <v>32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 t="shared" si="186"/>
        <v>BOM</v>
      </c>
      <c r="M1728">
        <v>0</v>
      </c>
      <c r="N1728">
        <v>96.3</v>
      </c>
      <c r="O1728">
        <v>24.29378531073446</v>
      </c>
    </row>
    <row r="1729" spans="1:15" customFormat="1" hidden="1" x14ac:dyDescent="0.25">
      <c r="A1729" s="11">
        <v>46055</v>
      </c>
      <c r="B1729" t="s">
        <v>62</v>
      </c>
      <c r="C1729" t="s">
        <v>23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19</v>
      </c>
      <c r="K1729" s="3">
        <f>I1729-J1729</f>
        <v>4</v>
      </c>
      <c r="L1729" s="3" t="str">
        <f t="shared" si="186"/>
        <v>BOM</v>
      </c>
      <c r="M1729">
        <v>22</v>
      </c>
      <c r="N1729">
        <v>100</v>
      </c>
      <c r="O1729">
        <v>26.543209876543209</v>
      </c>
    </row>
    <row r="1730" spans="1:15" customFormat="1" hidden="1" x14ac:dyDescent="0.25">
      <c r="A1730" s="11">
        <v>46055</v>
      </c>
      <c r="B1730" t="s">
        <v>19</v>
      </c>
      <c r="C1730" t="s">
        <v>16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0</v>
      </c>
      <c r="L1730" s="3" t="str">
        <f t="shared" si="186"/>
        <v>BOM</v>
      </c>
      <c r="M1730">
        <v>7</v>
      </c>
      <c r="N1730">
        <v>100</v>
      </c>
      <c r="O1730">
        <v>35.483870967741943</v>
      </c>
    </row>
    <row r="1731" spans="1:15" customFormat="1" hidden="1" x14ac:dyDescent="0.25">
      <c r="A1731" s="11">
        <v>46055</v>
      </c>
      <c r="B1731" t="s">
        <v>43</v>
      </c>
      <c r="C1731" t="s">
        <v>32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6</v>
      </c>
      <c r="L1731" s="3" t="str">
        <f t="shared" si="186"/>
        <v>EXCELENTE</v>
      </c>
      <c r="M1731">
        <v>33</v>
      </c>
      <c r="N1731">
        <v>99.27</v>
      </c>
      <c r="O1731">
        <v>31.163708086785011</v>
      </c>
    </row>
    <row r="1732" spans="1:15" customFormat="1" hidden="1" x14ac:dyDescent="0.25">
      <c r="A1732" s="11">
        <v>46055</v>
      </c>
      <c r="B1732" t="s">
        <v>44</v>
      </c>
      <c r="C1732" t="s">
        <v>32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29</v>
      </c>
      <c r="K1732" s="3">
        <f>I1732-J1732</f>
        <v>8</v>
      </c>
      <c r="L1732" s="3" t="str">
        <f t="shared" si="186"/>
        <v>EXCELENTE</v>
      </c>
      <c r="M1732">
        <v>38</v>
      </c>
      <c r="N1732">
        <v>94.16</v>
      </c>
      <c r="O1732">
        <v>27.038626609442058</v>
      </c>
    </row>
    <row r="1733" spans="1:15" customFormat="1" hidden="1" x14ac:dyDescent="0.25">
      <c r="A1733" s="11">
        <v>46055</v>
      </c>
      <c r="B1733" t="s">
        <v>20</v>
      </c>
      <c r="C1733" t="s">
        <v>16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8</v>
      </c>
      <c r="K1733" s="3">
        <f>I1733-J1733</f>
        <v>1</v>
      </c>
      <c r="L1733" s="3" t="str">
        <f t="shared" si="186"/>
        <v>BOM</v>
      </c>
      <c r="M1733">
        <v>1</v>
      </c>
      <c r="N1733">
        <v>93.75</v>
      </c>
      <c r="O1733">
        <v>19.31818181818182</v>
      </c>
    </row>
    <row r="1734" spans="1:15" customFormat="1" hidden="1" x14ac:dyDescent="0.25">
      <c r="A1734" s="11">
        <v>46055</v>
      </c>
      <c r="B1734" t="s">
        <v>28</v>
      </c>
      <c r="C1734" t="s">
        <v>26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 t="shared" si="186"/>
        <v>BOM</v>
      </c>
      <c r="M1734">
        <v>0</v>
      </c>
      <c r="N1734">
        <v>0</v>
      </c>
      <c r="O1734">
        <v>0</v>
      </c>
    </row>
    <row r="1735" spans="1:15" customFormat="1" hidden="1" x14ac:dyDescent="0.25">
      <c r="A1735" s="11">
        <v>46055</v>
      </c>
      <c r="B1735" t="s">
        <v>58</v>
      </c>
      <c r="C1735" t="s">
        <v>48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23</v>
      </c>
      <c r="K1735" s="3">
        <f>I1735-J1735</f>
        <v>8</v>
      </c>
      <c r="L1735" s="3" t="str">
        <f t="shared" ref="L1735:L1798" si="187">IF(K1735&lt;-5,"CRÍTICO",IF(K1735&lt;0,"ATENÇÃO",IF(K1735&lt;=5,"BOM","EXCELENTE")))</f>
        <v>EXCELENTE</v>
      </c>
      <c r="M1735">
        <v>23</v>
      </c>
      <c r="N1735">
        <v>97.92</v>
      </c>
      <c r="O1735">
        <v>32.87671232876712</v>
      </c>
    </row>
    <row r="1736" spans="1:15" customFormat="1" hidden="1" x14ac:dyDescent="0.25">
      <c r="A1736" s="11">
        <v>46055</v>
      </c>
      <c r="B1736" t="s">
        <v>29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187"/>
        <v>BOM</v>
      </c>
      <c r="M1736">
        <v>0</v>
      </c>
      <c r="N1736">
        <v>0</v>
      </c>
      <c r="O1736">
        <v>0</v>
      </c>
    </row>
    <row r="1737" spans="1:15" customFormat="1" hidden="1" x14ac:dyDescent="0.25">
      <c r="A1737" s="11">
        <v>46055</v>
      </c>
      <c r="B1737" t="s">
        <v>30</v>
      </c>
      <c r="C1737" t="s">
        <v>26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187"/>
        <v>BOM</v>
      </c>
      <c r="M1737">
        <v>0</v>
      </c>
      <c r="N1737">
        <v>0</v>
      </c>
      <c r="O1737">
        <v>0</v>
      </c>
    </row>
    <row r="1738" spans="1:15" customFormat="1" hidden="1" x14ac:dyDescent="0.25">
      <c r="A1738" s="11">
        <v>46055</v>
      </c>
      <c r="B1738" t="s">
        <v>21</v>
      </c>
      <c r="C1738" t="s">
        <v>16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 t="shared" si="187"/>
        <v>BOM</v>
      </c>
      <c r="M1738">
        <v>0</v>
      </c>
      <c r="N1738">
        <v>0</v>
      </c>
      <c r="O1738">
        <v>0</v>
      </c>
    </row>
    <row r="1739" spans="1:15" customFormat="1" hidden="1" x14ac:dyDescent="0.25">
      <c r="A1739" s="11">
        <v>46055</v>
      </c>
      <c r="B1739" t="s">
        <v>63</v>
      </c>
      <c r="C1739" t="s">
        <v>23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19</v>
      </c>
      <c r="K1739" s="3">
        <f>I1739-J1739</f>
        <v>-8</v>
      </c>
      <c r="L1739" s="3" t="str">
        <f t="shared" si="187"/>
        <v>CRÍTICO</v>
      </c>
      <c r="M1739">
        <v>11</v>
      </c>
      <c r="N1739">
        <v>98.51</v>
      </c>
      <c r="O1739">
        <v>29.710144927536231</v>
      </c>
    </row>
    <row r="1740" spans="1:15" customFormat="1" hidden="1" x14ac:dyDescent="0.25">
      <c r="A1740" s="11">
        <v>46055</v>
      </c>
      <c r="B1740" t="s">
        <v>45</v>
      </c>
      <c r="C1740" t="s">
        <v>32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29</v>
      </c>
      <c r="K1740" s="3">
        <f>I1740-J1740</f>
        <v>11</v>
      </c>
      <c r="L1740" s="3" t="str">
        <f t="shared" si="187"/>
        <v>EXCELENTE</v>
      </c>
      <c r="M1740">
        <v>40</v>
      </c>
      <c r="N1740">
        <v>98.81</v>
      </c>
      <c r="O1740">
        <v>30.712979890310791</v>
      </c>
    </row>
    <row r="1741" spans="1:15" customFormat="1" hidden="1" x14ac:dyDescent="0.25">
      <c r="A1741" s="11">
        <v>46055</v>
      </c>
      <c r="B1741" t="s">
        <v>64</v>
      </c>
      <c r="C1741" t="s">
        <v>23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19</v>
      </c>
      <c r="K1741" s="3">
        <f>I1741-J1741</f>
        <v>-3</v>
      </c>
      <c r="L1741" s="3" t="str">
        <f t="shared" si="187"/>
        <v>ATENÇÃO</v>
      </c>
      <c r="M1741">
        <v>16</v>
      </c>
      <c r="N1741">
        <v>98.48</v>
      </c>
      <c r="O1741">
        <v>29.35323383084577</v>
      </c>
    </row>
    <row r="1742" spans="1:15" customFormat="1" hidden="1" x14ac:dyDescent="0.25">
      <c r="A1742" s="11">
        <v>46055</v>
      </c>
      <c r="B1742" t="s">
        <v>46</v>
      </c>
      <c r="C1742" t="s">
        <v>32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29</v>
      </c>
      <c r="K1742" s="3">
        <f>I1742-J1742</f>
        <v>3</v>
      </c>
      <c r="L1742" s="3" t="str">
        <f t="shared" si="187"/>
        <v>BOM</v>
      </c>
      <c r="M1742">
        <v>29</v>
      </c>
      <c r="N1742">
        <v>98.56</v>
      </c>
      <c r="O1742">
        <v>29.373650107991359</v>
      </c>
    </row>
    <row r="1743" spans="1:15" customFormat="1" hidden="1" x14ac:dyDescent="0.25">
      <c r="A1743" s="11">
        <v>46056</v>
      </c>
      <c r="B1743" t="s">
        <v>47</v>
      </c>
      <c r="C1743" t="s">
        <v>48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25</v>
      </c>
      <c r="K1743" s="3">
        <f>I1743-J1743</f>
        <v>10</v>
      </c>
      <c r="L1743" s="3" t="str">
        <f t="shared" si="187"/>
        <v>EXCELENTE</v>
      </c>
      <c r="M1743">
        <v>34</v>
      </c>
      <c r="N1743">
        <v>98.32</v>
      </c>
      <c r="O1743">
        <v>30.303030303030301</v>
      </c>
    </row>
    <row r="1744" spans="1:15" customFormat="1" hidden="1" x14ac:dyDescent="0.25">
      <c r="A1744" s="11">
        <v>46056</v>
      </c>
      <c r="B1744" t="s">
        <v>31</v>
      </c>
      <c r="C1744" t="s">
        <v>32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 t="shared" si="187"/>
        <v>BOM</v>
      </c>
      <c r="M1744">
        <v>29</v>
      </c>
      <c r="N1744">
        <v>98.68</v>
      </c>
      <c r="O1744">
        <v>26.219512195121951</v>
      </c>
    </row>
    <row r="1745" spans="1:15" customFormat="1" hidden="1" x14ac:dyDescent="0.25">
      <c r="A1745" s="11">
        <v>46056</v>
      </c>
      <c r="B1745" t="s">
        <v>59</v>
      </c>
      <c r="C1745" t="s">
        <v>23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21</v>
      </c>
      <c r="K1745" s="3">
        <f>I1745-J1745</f>
        <v>6</v>
      </c>
      <c r="L1745" s="3" t="str">
        <f t="shared" si="187"/>
        <v>EXCELENTE</v>
      </c>
      <c r="M1745">
        <v>27</v>
      </c>
      <c r="N1745">
        <v>100</v>
      </c>
      <c r="O1745">
        <v>31.74224343675418</v>
      </c>
    </row>
    <row r="1746" spans="1:15" customFormat="1" hidden="1" x14ac:dyDescent="0.25">
      <c r="A1746" s="11">
        <v>46056</v>
      </c>
      <c r="B1746" t="s">
        <v>33</v>
      </c>
      <c r="C1746" t="s">
        <v>32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32</v>
      </c>
      <c r="K1746" s="3">
        <f>I1746-J1746</f>
        <v>7</v>
      </c>
      <c r="L1746" s="3" t="str">
        <f t="shared" si="187"/>
        <v>EXCELENTE</v>
      </c>
      <c r="M1746">
        <v>37</v>
      </c>
      <c r="N1746">
        <v>98.25</v>
      </c>
      <c r="O1746">
        <v>25.83518930957684</v>
      </c>
    </row>
    <row r="1747" spans="1:15" customFormat="1" hidden="1" x14ac:dyDescent="0.25">
      <c r="A1747" s="11">
        <v>46056</v>
      </c>
      <c r="B1747" t="s">
        <v>15</v>
      </c>
      <c r="C1747" t="s">
        <v>16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9</v>
      </c>
      <c r="K1747" s="3">
        <f>I1747-J1747</f>
        <v>-3</v>
      </c>
      <c r="L1747" s="3" t="str">
        <f t="shared" si="187"/>
        <v>ATENÇÃO</v>
      </c>
      <c r="M1747">
        <v>6</v>
      </c>
      <c r="N1747">
        <v>97.5</v>
      </c>
      <c r="O1747">
        <v>30.075187969924809</v>
      </c>
    </row>
    <row r="1748" spans="1:15" customFormat="1" hidden="1" x14ac:dyDescent="0.25">
      <c r="A1748" s="11">
        <v>46056</v>
      </c>
      <c r="B1748" t="s">
        <v>49</v>
      </c>
      <c r="C1748" t="s">
        <v>48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13</v>
      </c>
      <c r="L1748" s="3" t="str">
        <f t="shared" si="187"/>
        <v>EXCELENTE</v>
      </c>
      <c r="M1748">
        <v>36</v>
      </c>
      <c r="N1748">
        <v>100</v>
      </c>
      <c r="O1748">
        <v>29.71311475409836</v>
      </c>
    </row>
    <row r="1749" spans="1:15" customFormat="1" hidden="1" x14ac:dyDescent="0.25">
      <c r="A1749" s="11">
        <v>46056</v>
      </c>
      <c r="B1749" t="s">
        <v>50</v>
      </c>
      <c r="C1749" t="s">
        <v>48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25</v>
      </c>
      <c r="K1749" s="3">
        <f>I1749-J1749</f>
        <v>0</v>
      </c>
      <c r="L1749" s="3" t="str">
        <f t="shared" si="187"/>
        <v>BOM</v>
      </c>
      <c r="M1749">
        <v>23</v>
      </c>
      <c r="N1749">
        <v>99.22</v>
      </c>
      <c r="O1749">
        <v>35.256410256410263</v>
      </c>
    </row>
    <row r="1750" spans="1:15" customFormat="1" hidden="1" x14ac:dyDescent="0.25">
      <c r="A1750" s="11">
        <v>46056</v>
      </c>
      <c r="B1750" t="s">
        <v>17</v>
      </c>
      <c r="C1750" t="s">
        <v>16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 t="shared" si="187"/>
        <v>BOM</v>
      </c>
      <c r="M1750">
        <v>0</v>
      </c>
      <c r="N1750">
        <v>0</v>
      </c>
      <c r="O1750">
        <v>0</v>
      </c>
    </row>
    <row r="1751" spans="1:15" customFormat="1" hidden="1" x14ac:dyDescent="0.25">
      <c r="A1751" s="11">
        <v>46056</v>
      </c>
      <c r="B1751" t="s">
        <v>60</v>
      </c>
      <c r="C1751" t="s">
        <v>23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0</v>
      </c>
      <c r="L1751" s="3" t="str">
        <f t="shared" si="187"/>
        <v>BOM</v>
      </c>
      <c r="M1751">
        <v>21</v>
      </c>
      <c r="N1751">
        <v>98.75</v>
      </c>
      <c r="O1751">
        <v>24.32432432432433</v>
      </c>
    </row>
    <row r="1752" spans="1:15" customFormat="1" hidden="1" x14ac:dyDescent="0.25">
      <c r="A1752" s="11">
        <v>46056</v>
      </c>
      <c r="B1752" t="s">
        <v>34</v>
      </c>
      <c r="C1752" t="s">
        <v>32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32</v>
      </c>
      <c r="K1752" s="3">
        <f>I1752-J1752</f>
        <v>1</v>
      </c>
      <c r="L1752" s="3" t="str">
        <f t="shared" si="187"/>
        <v>BOM</v>
      </c>
      <c r="M1752">
        <v>29</v>
      </c>
      <c r="N1752">
        <v>93.48</v>
      </c>
      <c r="O1752">
        <v>31.52804642166344</v>
      </c>
    </row>
    <row r="1753" spans="1:15" customFormat="1" hidden="1" x14ac:dyDescent="0.25">
      <c r="A1753" s="11">
        <v>46056</v>
      </c>
      <c r="B1753" t="s">
        <v>51</v>
      </c>
      <c r="C1753" t="s">
        <v>48</v>
      </c>
      <c r="D1753">
        <v>38</v>
      </c>
      <c r="E1753">
        <v>34</v>
      </c>
      <c r="F1753">
        <v>18.52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 t="shared" si="187"/>
        <v>BOM</v>
      </c>
      <c r="M1753">
        <v>30</v>
      </c>
      <c r="N1753">
        <v>99.16</v>
      </c>
      <c r="O1753">
        <v>26.13908872901678</v>
      </c>
    </row>
    <row r="1754" spans="1:15" customFormat="1" hidden="1" x14ac:dyDescent="0.25">
      <c r="A1754" s="11">
        <v>46056</v>
      </c>
      <c r="B1754" t="s">
        <v>61</v>
      </c>
      <c r="C1754" t="s">
        <v>23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21</v>
      </c>
      <c r="K1754" s="3">
        <f>I1754-J1754</f>
        <v>9</v>
      </c>
      <c r="L1754" s="3" t="str">
        <f t="shared" si="187"/>
        <v>EXCELENTE</v>
      </c>
      <c r="M1754">
        <v>32</v>
      </c>
      <c r="N1754">
        <v>100</v>
      </c>
      <c r="O1754">
        <v>31.089743589743591</v>
      </c>
    </row>
    <row r="1755" spans="1:15" customFormat="1" hidden="1" x14ac:dyDescent="0.25">
      <c r="A1755" s="11">
        <v>46056</v>
      </c>
      <c r="B1755" t="s">
        <v>35</v>
      </c>
      <c r="C1755" t="s">
        <v>32</v>
      </c>
      <c r="D1755">
        <v>27</v>
      </c>
      <c r="E1755">
        <v>27</v>
      </c>
      <c r="F1755">
        <v>30.21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 t="shared" si="187"/>
        <v>BOM</v>
      </c>
      <c r="M1755">
        <v>30</v>
      </c>
      <c r="N1755">
        <v>98.11</v>
      </c>
      <c r="O1755">
        <v>33.033707865168537</v>
      </c>
    </row>
    <row r="1756" spans="1:15" customFormat="1" hidden="1" x14ac:dyDescent="0.25">
      <c r="A1756" s="11">
        <v>46056</v>
      </c>
      <c r="B1756" t="s">
        <v>18</v>
      </c>
      <c r="C1756" t="s">
        <v>16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ref="I1756:I1764" si="188">E1756+G1756+H1756</f>
        <v>5</v>
      </c>
      <c r="J1756" s="3">
        <f t="shared" ref="J1756:J1764" si="189"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9</v>
      </c>
      <c r="K1756" s="3">
        <f t="shared" ref="K1756:K1764" si="190">I1756-J1756</f>
        <v>-4</v>
      </c>
      <c r="L1756" s="3" t="str">
        <f t="shared" si="187"/>
        <v>ATENÇÃO</v>
      </c>
      <c r="M1756">
        <v>6</v>
      </c>
      <c r="N1756">
        <v>78.95</v>
      </c>
      <c r="O1756">
        <v>38.983050847457633</v>
      </c>
    </row>
    <row r="1757" spans="1:15" customFormat="1" hidden="1" x14ac:dyDescent="0.25">
      <c r="A1757" s="11">
        <v>46056</v>
      </c>
      <c r="B1757" t="s">
        <v>52</v>
      </c>
      <c r="C1757" t="s">
        <v>48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188"/>
        <v>32</v>
      </c>
      <c r="J1757" s="3">
        <f t="shared" si="189"/>
        <v>25</v>
      </c>
      <c r="K1757" s="3">
        <f t="shared" si="190"/>
        <v>7</v>
      </c>
      <c r="L1757" s="3" t="str">
        <f t="shared" si="187"/>
        <v>EXCELENTE</v>
      </c>
      <c r="M1757">
        <v>31</v>
      </c>
      <c r="N1757">
        <v>98.45</v>
      </c>
      <c r="O1757">
        <v>29.281767955801101</v>
      </c>
    </row>
    <row r="1758" spans="1:15" customFormat="1" hidden="1" x14ac:dyDescent="0.25">
      <c r="A1758" s="11">
        <v>46056</v>
      </c>
      <c r="B1758" t="s">
        <v>36</v>
      </c>
      <c r="C1758" t="s">
        <v>32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188"/>
        <v>29</v>
      </c>
      <c r="J1758" s="3">
        <f t="shared" si="189"/>
        <v>32</v>
      </c>
      <c r="K1758" s="3">
        <f t="shared" si="190"/>
        <v>-3</v>
      </c>
      <c r="L1758" s="3" t="str">
        <f t="shared" si="187"/>
        <v>ATENÇÃO</v>
      </c>
      <c r="M1758">
        <v>30</v>
      </c>
      <c r="N1758">
        <v>97.84</v>
      </c>
      <c r="O1758">
        <v>26.282051282051281</v>
      </c>
    </row>
    <row r="1759" spans="1:15" customFormat="1" hidden="1" x14ac:dyDescent="0.25">
      <c r="A1759" s="11">
        <v>46056</v>
      </c>
      <c r="B1759" t="s">
        <v>53</v>
      </c>
      <c r="C1759" t="s">
        <v>48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188"/>
        <v>52</v>
      </c>
      <c r="J1759" s="3">
        <f t="shared" si="189"/>
        <v>25</v>
      </c>
      <c r="K1759" s="3">
        <f t="shared" si="190"/>
        <v>27</v>
      </c>
      <c r="L1759" s="3" t="str">
        <f t="shared" si="187"/>
        <v>EXCELENTE</v>
      </c>
      <c r="M1759">
        <v>49</v>
      </c>
      <c r="N1759">
        <v>98.5</v>
      </c>
      <c r="O1759">
        <v>23.97769516728625</v>
      </c>
    </row>
    <row r="1760" spans="1:15" customFormat="1" hidden="1" x14ac:dyDescent="0.25">
      <c r="A1760" s="11">
        <v>46090</v>
      </c>
      <c r="B1760" t="s">
        <v>22</v>
      </c>
      <c r="C1760" t="s">
        <v>23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188"/>
        <v>29</v>
      </c>
      <c r="J1760" s="3">
        <f t="shared" si="189"/>
        <v>14</v>
      </c>
      <c r="K1760" s="3">
        <f t="shared" si="190"/>
        <v>15</v>
      </c>
      <c r="L1760" s="3" t="str">
        <f t="shared" si="187"/>
        <v>EXCELENTE</v>
      </c>
      <c r="M1760">
        <v>28</v>
      </c>
      <c r="N1760">
        <v>99.05</v>
      </c>
      <c r="O1760">
        <v>26.621923937360179</v>
      </c>
    </row>
    <row r="1761" spans="1:15" customFormat="1" hidden="1" x14ac:dyDescent="0.25">
      <c r="A1761" s="11">
        <v>46056</v>
      </c>
      <c r="B1761" t="s">
        <v>54</v>
      </c>
      <c r="C1761" t="s">
        <v>48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188"/>
        <v>30</v>
      </c>
      <c r="J1761" s="3">
        <f t="shared" si="189"/>
        <v>25</v>
      </c>
      <c r="K1761" s="3">
        <f t="shared" si="190"/>
        <v>5</v>
      </c>
      <c r="L1761" s="3" t="str">
        <f t="shared" si="187"/>
        <v>BOM</v>
      </c>
      <c r="M1761">
        <v>28</v>
      </c>
      <c r="N1761">
        <v>98.53</v>
      </c>
      <c r="O1761">
        <v>31.578947368421051</v>
      </c>
    </row>
    <row r="1762" spans="1:15" customFormat="1" hidden="1" x14ac:dyDescent="0.25">
      <c r="A1762" s="11">
        <v>46056</v>
      </c>
      <c r="B1762" t="s">
        <v>37</v>
      </c>
      <c r="C1762" t="s">
        <v>32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188"/>
        <v>45</v>
      </c>
      <c r="J1762" s="3">
        <f t="shared" si="189"/>
        <v>32</v>
      </c>
      <c r="K1762" s="3">
        <f t="shared" si="190"/>
        <v>13</v>
      </c>
      <c r="L1762" s="3" t="str">
        <f t="shared" si="187"/>
        <v>EXCELENTE</v>
      </c>
      <c r="M1762">
        <v>44</v>
      </c>
      <c r="N1762">
        <v>100</v>
      </c>
      <c r="O1762">
        <v>25.72214580467676</v>
      </c>
    </row>
    <row r="1763" spans="1:15" customFormat="1" hidden="1" x14ac:dyDescent="0.25">
      <c r="A1763" s="11">
        <v>46056</v>
      </c>
      <c r="B1763" t="s">
        <v>38</v>
      </c>
      <c r="C1763" t="s">
        <v>32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si="188"/>
        <v>43</v>
      </c>
      <c r="J1763" s="3">
        <f t="shared" si="189"/>
        <v>32</v>
      </c>
      <c r="K1763" s="3">
        <f t="shared" si="190"/>
        <v>11</v>
      </c>
      <c r="L1763" s="3" t="str">
        <f t="shared" si="187"/>
        <v>EXCELENTE</v>
      </c>
      <c r="M1763">
        <v>43</v>
      </c>
      <c r="N1763">
        <v>94.64</v>
      </c>
      <c r="O1763">
        <v>27.52941176470588</v>
      </c>
    </row>
    <row r="1764" spans="1:15" customFormat="1" hidden="1" x14ac:dyDescent="0.25">
      <c r="A1764" s="11">
        <v>46056</v>
      </c>
      <c r="B1764" t="s">
        <v>55</v>
      </c>
      <c r="C1764" t="s">
        <v>48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188"/>
        <v>30</v>
      </c>
      <c r="J1764" s="3">
        <f t="shared" si="189"/>
        <v>25</v>
      </c>
      <c r="K1764" s="3">
        <f t="shared" si="190"/>
        <v>5</v>
      </c>
      <c r="L1764" s="3" t="str">
        <f t="shared" si="187"/>
        <v>BOM</v>
      </c>
      <c r="M1764">
        <v>29</v>
      </c>
      <c r="N1764">
        <v>99.07</v>
      </c>
      <c r="O1764">
        <v>26.376811594202898</v>
      </c>
    </row>
    <row r="1765" spans="1:15" customFormat="1" hidden="1" x14ac:dyDescent="0.25">
      <c r="A1765" s="11">
        <v>46056</v>
      </c>
      <c r="B1765" t="s">
        <v>39</v>
      </c>
      <c r="C1765" t="s">
        <v>32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 t="shared" si="187"/>
        <v>BOM</v>
      </c>
      <c r="M1765">
        <v>0</v>
      </c>
      <c r="N1765">
        <v>100</v>
      </c>
      <c r="O1765">
        <v>0</v>
      </c>
    </row>
    <row r="1766" spans="1:15" customFormat="1" hidden="1" x14ac:dyDescent="0.25">
      <c r="A1766" s="11">
        <v>46056</v>
      </c>
      <c r="B1766" t="s">
        <v>25</v>
      </c>
      <c r="C1766" t="s">
        <v>26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18</v>
      </c>
      <c r="K1766" s="3">
        <f>I1766-J1766</f>
        <v>-5</v>
      </c>
      <c r="L1766" s="3" t="str">
        <f t="shared" si="187"/>
        <v>ATENÇÃO</v>
      </c>
      <c r="M1766">
        <v>16</v>
      </c>
      <c r="N1766">
        <v>98.48</v>
      </c>
      <c r="O1766">
        <v>27.853881278538811</v>
      </c>
    </row>
    <row r="1767" spans="1:15" customFormat="1" hidden="1" x14ac:dyDescent="0.25">
      <c r="A1767" s="11">
        <v>46056</v>
      </c>
      <c r="B1767" t="s">
        <v>40</v>
      </c>
      <c r="C1767" t="s">
        <v>32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32</v>
      </c>
      <c r="K1767" s="3">
        <f>I1767-J1767</f>
        <v>-20</v>
      </c>
      <c r="L1767" s="3" t="str">
        <f t="shared" si="187"/>
        <v>CRÍTICO</v>
      </c>
      <c r="M1767">
        <v>11</v>
      </c>
      <c r="N1767">
        <v>95.15</v>
      </c>
      <c r="O1767">
        <v>34.131736526946113</v>
      </c>
    </row>
    <row r="1768" spans="1:15" customFormat="1" hidden="1" x14ac:dyDescent="0.25">
      <c r="A1768" s="11">
        <v>46056</v>
      </c>
      <c r="B1768" t="s">
        <v>27</v>
      </c>
      <c r="C1768" t="s">
        <v>26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 t="shared" si="187"/>
        <v>BOM</v>
      </c>
      <c r="M1768">
        <v>0</v>
      </c>
      <c r="N1768">
        <v>0</v>
      </c>
      <c r="O1768">
        <v>0</v>
      </c>
    </row>
    <row r="1769" spans="1:15" customFormat="1" hidden="1" x14ac:dyDescent="0.25">
      <c r="A1769" s="11">
        <v>46056</v>
      </c>
      <c r="B1769" t="s">
        <v>41</v>
      </c>
      <c r="C1769" t="s">
        <v>32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-7</v>
      </c>
      <c r="L1769" s="3" t="str">
        <f t="shared" si="187"/>
        <v>CRÍTICO</v>
      </c>
      <c r="M1769">
        <v>24</v>
      </c>
      <c r="N1769">
        <v>99.26</v>
      </c>
      <c r="O1769">
        <v>30.84832904884319</v>
      </c>
    </row>
    <row r="1770" spans="1:15" customFormat="1" hidden="1" x14ac:dyDescent="0.25">
      <c r="A1770" s="11">
        <v>46056</v>
      </c>
      <c r="B1770" t="s">
        <v>56</v>
      </c>
      <c r="C1770" t="s">
        <v>48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25</v>
      </c>
      <c r="K1770" s="3">
        <f>I1770-J1770</f>
        <v>12</v>
      </c>
      <c r="L1770" s="3" t="str">
        <f t="shared" si="187"/>
        <v>EXCELENTE</v>
      </c>
      <c r="M1770">
        <v>26</v>
      </c>
      <c r="N1770">
        <v>97.48</v>
      </c>
      <c r="O1770">
        <v>27.764705882352938</v>
      </c>
    </row>
    <row r="1771" spans="1:15" customFormat="1" hidden="1" x14ac:dyDescent="0.25">
      <c r="A1771" s="11">
        <v>46056</v>
      </c>
      <c r="B1771" t="s">
        <v>57</v>
      </c>
      <c r="C1771" t="s">
        <v>48</v>
      </c>
      <c r="D1771">
        <v>33</v>
      </c>
      <c r="E1771">
        <v>32</v>
      </c>
      <c r="F1771">
        <v>19.14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 t="shared" si="187"/>
        <v>BOM</v>
      </c>
      <c r="M1771">
        <v>33</v>
      </c>
      <c r="N1771">
        <v>99.34</v>
      </c>
      <c r="O1771">
        <v>30.04291845493562</v>
      </c>
    </row>
    <row r="1772" spans="1:15" customFormat="1" hidden="1" x14ac:dyDescent="0.25">
      <c r="A1772" s="11">
        <v>46056</v>
      </c>
      <c r="B1772" t="s">
        <v>42</v>
      </c>
      <c r="C1772" t="s">
        <v>32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ref="I1772:I1777" si="191">E1772+G1772+H1772</f>
        <v>8</v>
      </c>
      <c r="J1772" s="3">
        <f t="shared" ref="J1772:J1777" si="192"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 t="shared" ref="K1772:K1777" si="193">I1772-J1772</f>
        <v>-24</v>
      </c>
      <c r="L1772" s="3" t="str">
        <f t="shared" si="187"/>
        <v>CRÍTICO</v>
      </c>
      <c r="M1772">
        <v>8</v>
      </c>
      <c r="N1772">
        <v>96.3</v>
      </c>
      <c r="O1772">
        <v>24.29378531073446</v>
      </c>
    </row>
    <row r="1773" spans="1:15" customFormat="1" hidden="1" x14ac:dyDescent="0.25">
      <c r="A1773" s="11">
        <v>46056</v>
      </c>
      <c r="B1773" t="s">
        <v>62</v>
      </c>
      <c r="C1773" t="s">
        <v>23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191"/>
        <v>24</v>
      </c>
      <c r="J1773" s="3">
        <f t="shared" si="192"/>
        <v>21</v>
      </c>
      <c r="K1773" s="3">
        <f t="shared" si="193"/>
        <v>3</v>
      </c>
      <c r="L1773" s="3" t="str">
        <f t="shared" si="187"/>
        <v>BOM</v>
      </c>
      <c r="M1773">
        <v>24</v>
      </c>
      <c r="N1773">
        <v>100</v>
      </c>
      <c r="O1773">
        <v>26.543209876543209</v>
      </c>
    </row>
    <row r="1774" spans="1:15" customFormat="1" hidden="1" x14ac:dyDescent="0.25">
      <c r="A1774" s="11">
        <v>46056</v>
      </c>
      <c r="B1774" t="s">
        <v>19</v>
      </c>
      <c r="C1774" t="s">
        <v>16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191"/>
        <v>4</v>
      </c>
      <c r="J1774" s="3">
        <f t="shared" si="192"/>
        <v>9</v>
      </c>
      <c r="K1774" s="3">
        <f t="shared" si="193"/>
        <v>-5</v>
      </c>
      <c r="L1774" s="3" t="str">
        <f t="shared" si="187"/>
        <v>ATENÇÃO</v>
      </c>
      <c r="M1774">
        <v>5</v>
      </c>
      <c r="N1774">
        <v>100</v>
      </c>
      <c r="O1774">
        <v>35.483870967741943</v>
      </c>
    </row>
    <row r="1775" spans="1:15" customFormat="1" hidden="1" x14ac:dyDescent="0.25">
      <c r="A1775" s="11">
        <v>46056</v>
      </c>
      <c r="B1775" t="s">
        <v>43</v>
      </c>
      <c r="C1775" t="s">
        <v>32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191"/>
        <v>27</v>
      </c>
      <c r="J1775" s="3">
        <f t="shared" si="192"/>
        <v>32</v>
      </c>
      <c r="K1775" s="3">
        <f t="shared" si="193"/>
        <v>-5</v>
      </c>
      <c r="L1775" s="3" t="str">
        <f t="shared" si="187"/>
        <v>ATENÇÃO</v>
      </c>
      <c r="M1775">
        <v>24</v>
      </c>
      <c r="N1775">
        <v>99.27</v>
      </c>
      <c r="O1775">
        <v>31.163708086785011</v>
      </c>
    </row>
    <row r="1776" spans="1:15" customFormat="1" hidden="1" x14ac:dyDescent="0.25">
      <c r="A1776" s="11">
        <v>46056</v>
      </c>
      <c r="B1776" t="s">
        <v>44</v>
      </c>
      <c r="C1776" t="s">
        <v>32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191"/>
        <v>44</v>
      </c>
      <c r="J1776" s="3">
        <f t="shared" si="192"/>
        <v>32</v>
      </c>
      <c r="K1776" s="3">
        <f t="shared" si="193"/>
        <v>12</v>
      </c>
      <c r="L1776" s="3" t="str">
        <f t="shared" si="187"/>
        <v>EXCELENTE</v>
      </c>
      <c r="M1776">
        <v>38</v>
      </c>
      <c r="N1776">
        <v>94.16</v>
      </c>
      <c r="O1776">
        <v>27.038626609442058</v>
      </c>
    </row>
    <row r="1777" spans="1:15" customFormat="1" hidden="1" x14ac:dyDescent="0.25">
      <c r="A1777" s="11">
        <v>46056</v>
      </c>
      <c r="B1777" t="s">
        <v>20</v>
      </c>
      <c r="C1777" t="s">
        <v>16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191"/>
        <v>11</v>
      </c>
      <c r="J1777" s="3">
        <f t="shared" si="192"/>
        <v>9</v>
      </c>
      <c r="K1777" s="3">
        <f t="shared" si="193"/>
        <v>2</v>
      </c>
      <c r="L1777" s="3" t="str">
        <f t="shared" si="187"/>
        <v>BOM</v>
      </c>
      <c r="M1777">
        <v>5</v>
      </c>
      <c r="N1777">
        <v>93.75</v>
      </c>
      <c r="O1777">
        <v>19.31818181818182</v>
      </c>
    </row>
    <row r="1778" spans="1:15" customFormat="1" hidden="1" x14ac:dyDescent="0.25">
      <c r="A1778" s="11">
        <v>46056</v>
      </c>
      <c r="B1778" t="s">
        <v>28</v>
      </c>
      <c r="C1778" t="s">
        <v>26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 t="shared" si="187"/>
        <v>BOM</v>
      </c>
      <c r="M1778">
        <v>0</v>
      </c>
      <c r="N1778">
        <v>0</v>
      </c>
      <c r="O1778">
        <v>0</v>
      </c>
    </row>
    <row r="1779" spans="1:15" customFormat="1" hidden="1" x14ac:dyDescent="0.25">
      <c r="A1779" s="11">
        <v>46056</v>
      </c>
      <c r="B1779" t="s">
        <v>58</v>
      </c>
      <c r="C1779" t="s">
        <v>48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25</v>
      </c>
      <c r="K1779" s="3">
        <f>I1779-J1779</f>
        <v>7</v>
      </c>
      <c r="L1779" s="3" t="str">
        <f t="shared" si="187"/>
        <v>EXCELENTE</v>
      </c>
      <c r="M1779">
        <v>26</v>
      </c>
      <c r="N1779">
        <v>97.92</v>
      </c>
      <c r="O1779">
        <v>32.87671232876712</v>
      </c>
    </row>
    <row r="1780" spans="1:15" customFormat="1" hidden="1" x14ac:dyDescent="0.25">
      <c r="A1780" s="11">
        <v>46056</v>
      </c>
      <c r="B1780" t="s">
        <v>29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187"/>
        <v>BOM</v>
      </c>
      <c r="M1780">
        <v>0</v>
      </c>
      <c r="N1780">
        <v>0</v>
      </c>
      <c r="O1780">
        <v>0</v>
      </c>
    </row>
    <row r="1781" spans="1:15" customFormat="1" hidden="1" x14ac:dyDescent="0.25">
      <c r="A1781" s="11">
        <v>46056</v>
      </c>
      <c r="B1781" t="s">
        <v>30</v>
      </c>
      <c r="C1781" t="s">
        <v>26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187"/>
        <v>BOM</v>
      </c>
      <c r="M1781">
        <v>0</v>
      </c>
      <c r="N1781">
        <v>0</v>
      </c>
      <c r="O1781">
        <v>0</v>
      </c>
    </row>
    <row r="1782" spans="1:15" customFormat="1" hidden="1" x14ac:dyDescent="0.25">
      <c r="A1782" s="11">
        <v>46056</v>
      </c>
      <c r="B1782" t="s">
        <v>21</v>
      </c>
      <c r="C1782" t="s">
        <v>16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 t="shared" si="187"/>
        <v>BOM</v>
      </c>
      <c r="M1782">
        <v>0</v>
      </c>
      <c r="N1782">
        <v>0</v>
      </c>
      <c r="O1782">
        <v>0</v>
      </c>
    </row>
    <row r="1783" spans="1:15" customFormat="1" hidden="1" x14ac:dyDescent="0.25">
      <c r="A1783" s="11">
        <v>46056</v>
      </c>
      <c r="B1783" t="s">
        <v>63</v>
      </c>
      <c r="C1783" t="s">
        <v>23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21</v>
      </c>
      <c r="K1783" s="3">
        <f>I1783-J1783</f>
        <v>-4</v>
      </c>
      <c r="L1783" s="3" t="str">
        <f t="shared" si="187"/>
        <v>ATENÇÃO</v>
      </c>
      <c r="M1783">
        <v>17</v>
      </c>
      <c r="N1783">
        <v>98.51</v>
      </c>
      <c r="O1783">
        <v>29.710144927536231</v>
      </c>
    </row>
    <row r="1784" spans="1:15" customFormat="1" hidden="1" x14ac:dyDescent="0.25">
      <c r="A1784" s="11">
        <v>46056</v>
      </c>
      <c r="B1784" t="s">
        <v>45</v>
      </c>
      <c r="C1784" t="s">
        <v>32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32</v>
      </c>
      <c r="K1784" s="3">
        <f>I1784-J1784</f>
        <v>1</v>
      </c>
      <c r="L1784" s="3" t="str">
        <f t="shared" si="187"/>
        <v>BOM</v>
      </c>
      <c r="M1784">
        <v>32</v>
      </c>
      <c r="N1784">
        <v>98.81</v>
      </c>
      <c r="O1784">
        <v>30.712979890310791</v>
      </c>
    </row>
    <row r="1785" spans="1:15" customFormat="1" hidden="1" x14ac:dyDescent="0.25">
      <c r="A1785" s="11">
        <v>46056</v>
      </c>
      <c r="B1785" t="s">
        <v>64</v>
      </c>
      <c r="C1785" t="s">
        <v>23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21</v>
      </c>
      <c r="K1785" s="3">
        <f>I1785-J1785</f>
        <v>-9</v>
      </c>
      <c r="L1785" s="3" t="str">
        <f t="shared" si="187"/>
        <v>CRÍTICO</v>
      </c>
      <c r="M1785">
        <v>12</v>
      </c>
      <c r="N1785">
        <v>98.48</v>
      </c>
      <c r="O1785">
        <v>29.35323383084577</v>
      </c>
    </row>
    <row r="1786" spans="1:15" customFormat="1" hidden="1" x14ac:dyDescent="0.25">
      <c r="A1786" s="11">
        <v>46056</v>
      </c>
      <c r="B1786" t="s">
        <v>46</v>
      </c>
      <c r="C1786" t="s">
        <v>32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32</v>
      </c>
      <c r="K1786" s="3">
        <f>I1786-J1786</f>
        <v>2</v>
      </c>
      <c r="L1786" s="3" t="str">
        <f t="shared" si="187"/>
        <v>BOM</v>
      </c>
      <c r="M1786">
        <v>32</v>
      </c>
      <c r="N1786">
        <v>98.56</v>
      </c>
      <c r="O1786">
        <v>29.373650107991359</v>
      </c>
    </row>
    <row r="1787" spans="1:15" customFormat="1" hidden="1" x14ac:dyDescent="0.25">
      <c r="A1787" s="11">
        <v>46057</v>
      </c>
      <c r="B1787" t="s">
        <v>47</v>
      </c>
      <c r="C1787" t="s">
        <v>48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26</v>
      </c>
      <c r="K1787" s="3">
        <f>I1787-J1787</f>
        <v>0</v>
      </c>
      <c r="L1787" s="3" t="str">
        <f t="shared" si="187"/>
        <v>BOM</v>
      </c>
      <c r="M1787">
        <v>24</v>
      </c>
      <c r="N1787">
        <v>98.32</v>
      </c>
      <c r="O1787">
        <v>30.303030303030301</v>
      </c>
    </row>
    <row r="1788" spans="1:15" customFormat="1" hidden="1" x14ac:dyDescent="0.25">
      <c r="A1788" s="11">
        <v>46057</v>
      </c>
      <c r="B1788" t="s">
        <v>31</v>
      </c>
      <c r="C1788" t="s">
        <v>32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 t="shared" si="187"/>
        <v>BOM</v>
      </c>
      <c r="M1788">
        <v>28</v>
      </c>
      <c r="N1788">
        <v>98.68</v>
      </c>
      <c r="O1788">
        <v>26.219512195121951</v>
      </c>
    </row>
    <row r="1789" spans="1:15" customFormat="1" hidden="1" x14ac:dyDescent="0.25">
      <c r="A1789" s="11">
        <v>46057</v>
      </c>
      <c r="B1789" t="s">
        <v>59</v>
      </c>
      <c r="C1789" t="s">
        <v>23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21</v>
      </c>
      <c r="K1789" s="3">
        <f>I1789-J1789</f>
        <v>3</v>
      </c>
      <c r="L1789" s="3" t="str">
        <f t="shared" si="187"/>
        <v>BOM</v>
      </c>
      <c r="M1789">
        <v>25</v>
      </c>
      <c r="N1789">
        <v>100</v>
      </c>
      <c r="O1789">
        <v>31.74224343675418</v>
      </c>
    </row>
    <row r="1790" spans="1:15" customFormat="1" hidden="1" x14ac:dyDescent="0.25">
      <c r="A1790" s="11">
        <v>46057</v>
      </c>
      <c r="B1790" t="s">
        <v>33</v>
      </c>
      <c r="C1790" t="s">
        <v>32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32</v>
      </c>
      <c r="K1790" s="3">
        <f>I1790-J1790</f>
        <v>6</v>
      </c>
      <c r="L1790" s="3" t="str">
        <f t="shared" si="187"/>
        <v>EXCELENTE</v>
      </c>
      <c r="M1790">
        <v>32</v>
      </c>
      <c r="N1790">
        <v>98.25</v>
      </c>
      <c r="O1790">
        <v>25.83518930957684</v>
      </c>
    </row>
    <row r="1791" spans="1:15" customFormat="1" hidden="1" x14ac:dyDescent="0.25">
      <c r="A1791" s="11">
        <v>46057</v>
      </c>
      <c r="B1791" t="s">
        <v>15</v>
      </c>
      <c r="C1791" t="s">
        <v>16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9</v>
      </c>
      <c r="K1791" s="3">
        <f>I1791-J1791</f>
        <v>-1</v>
      </c>
      <c r="L1791" s="3" t="str">
        <f t="shared" si="187"/>
        <v>ATENÇÃO</v>
      </c>
      <c r="M1791">
        <v>8</v>
      </c>
      <c r="N1791">
        <v>97.5</v>
      </c>
      <c r="O1791">
        <v>30.075187969924809</v>
      </c>
    </row>
    <row r="1792" spans="1:15" customFormat="1" hidden="1" x14ac:dyDescent="0.25">
      <c r="A1792" s="11">
        <v>46057</v>
      </c>
      <c r="B1792" t="s">
        <v>49</v>
      </c>
      <c r="C1792" t="s">
        <v>48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8</v>
      </c>
      <c r="L1792" s="3" t="str">
        <f t="shared" si="187"/>
        <v>EXCELENTE</v>
      </c>
      <c r="M1792">
        <v>32</v>
      </c>
      <c r="N1792">
        <v>100</v>
      </c>
      <c r="O1792">
        <v>29.71311475409836</v>
      </c>
    </row>
    <row r="1793" spans="1:15" customFormat="1" hidden="1" x14ac:dyDescent="0.25">
      <c r="A1793" s="11">
        <v>46057</v>
      </c>
      <c r="B1793" t="s">
        <v>50</v>
      </c>
      <c r="C1793" t="s">
        <v>48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26</v>
      </c>
      <c r="K1793" s="3">
        <f>I1793-J1793</f>
        <v>5</v>
      </c>
      <c r="L1793" s="3" t="str">
        <f t="shared" si="187"/>
        <v>BOM</v>
      </c>
      <c r="M1793">
        <v>31</v>
      </c>
      <c r="N1793">
        <v>99.22</v>
      </c>
      <c r="O1793">
        <v>35.256410256410263</v>
      </c>
    </row>
    <row r="1794" spans="1:15" customFormat="1" hidden="1" x14ac:dyDescent="0.25">
      <c r="A1794" s="11">
        <v>46057</v>
      </c>
      <c r="B1794" t="s">
        <v>17</v>
      </c>
      <c r="C1794" t="s">
        <v>16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 t="shared" si="187"/>
        <v>BOM</v>
      </c>
      <c r="M1794">
        <v>0</v>
      </c>
      <c r="N1794">
        <v>0</v>
      </c>
      <c r="O1794">
        <v>0</v>
      </c>
    </row>
    <row r="1795" spans="1:15" customFormat="1" hidden="1" x14ac:dyDescent="0.25">
      <c r="A1795" s="11">
        <v>46057</v>
      </c>
      <c r="B1795" t="s">
        <v>60</v>
      </c>
      <c r="C1795" t="s">
        <v>23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-5</v>
      </c>
      <c r="L1795" s="3" t="str">
        <f t="shared" si="187"/>
        <v>ATENÇÃO</v>
      </c>
      <c r="M1795">
        <v>16</v>
      </c>
      <c r="N1795">
        <v>98.75</v>
      </c>
      <c r="O1795">
        <v>24.32432432432433</v>
      </c>
    </row>
    <row r="1796" spans="1:15" customFormat="1" hidden="1" x14ac:dyDescent="0.25">
      <c r="A1796" s="11">
        <v>46057</v>
      </c>
      <c r="B1796" t="s">
        <v>34</v>
      </c>
      <c r="C1796" t="s">
        <v>32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32</v>
      </c>
      <c r="K1796" s="3">
        <f>I1796-J1796</f>
        <v>16</v>
      </c>
      <c r="L1796" s="3" t="str">
        <f t="shared" si="187"/>
        <v>EXCELENTE</v>
      </c>
      <c r="M1796">
        <v>43</v>
      </c>
      <c r="N1796">
        <v>93.48</v>
      </c>
      <c r="O1796">
        <v>31.52804642166344</v>
      </c>
    </row>
    <row r="1797" spans="1:15" customFormat="1" hidden="1" x14ac:dyDescent="0.25">
      <c r="A1797" s="11">
        <v>46057</v>
      </c>
      <c r="B1797" t="s">
        <v>51</v>
      </c>
      <c r="C1797" t="s">
        <v>48</v>
      </c>
      <c r="D1797">
        <v>46</v>
      </c>
      <c r="E1797">
        <v>41</v>
      </c>
      <c r="F1797">
        <v>15.37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 t="shared" si="187"/>
        <v>BOM</v>
      </c>
      <c r="M1797">
        <v>38</v>
      </c>
      <c r="N1797">
        <v>99.16</v>
      </c>
      <c r="O1797">
        <v>26.13908872901678</v>
      </c>
    </row>
    <row r="1798" spans="1:15" customFormat="1" hidden="1" x14ac:dyDescent="0.25">
      <c r="A1798" s="11">
        <v>46057</v>
      </c>
      <c r="B1798" t="s">
        <v>61</v>
      </c>
      <c r="C1798" t="s">
        <v>23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21</v>
      </c>
      <c r="K1798" s="3">
        <f>I1798-J1798</f>
        <v>-9</v>
      </c>
      <c r="L1798" s="3" t="str">
        <f t="shared" si="187"/>
        <v>CRÍTICO</v>
      </c>
      <c r="M1798">
        <v>18</v>
      </c>
      <c r="N1798">
        <v>100</v>
      </c>
      <c r="O1798">
        <v>31.089743589743591</v>
      </c>
    </row>
    <row r="1799" spans="1:15" customFormat="1" hidden="1" x14ac:dyDescent="0.25">
      <c r="A1799" s="11">
        <v>46057</v>
      </c>
      <c r="B1799" t="s">
        <v>35</v>
      </c>
      <c r="C1799" t="s">
        <v>32</v>
      </c>
      <c r="D1799">
        <v>34</v>
      </c>
      <c r="E1799">
        <v>33</v>
      </c>
      <c r="F1799">
        <v>20.39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 t="shared" ref="L1799:L1862" si="194">IF(K1799&lt;-5,"CRÍTICO",IF(K1799&lt;0,"ATENÇÃO",IF(K1799&lt;=5,"BOM","EXCELENTE")))</f>
        <v>BOM</v>
      </c>
      <c r="M1799">
        <v>33</v>
      </c>
      <c r="N1799">
        <v>98.11</v>
      </c>
      <c r="O1799">
        <v>33.033707865168537</v>
      </c>
    </row>
    <row r="1800" spans="1:15" customFormat="1" hidden="1" x14ac:dyDescent="0.25">
      <c r="A1800" s="11">
        <v>46057</v>
      </c>
      <c r="B1800" t="s">
        <v>18</v>
      </c>
      <c r="C1800" t="s">
        <v>16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ref="I1800:I1808" si="195">E1800+G1800+H1800</f>
        <v>5</v>
      </c>
      <c r="J1800" s="3">
        <f t="shared" ref="J1800:J1808" si="196"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9</v>
      </c>
      <c r="K1800" s="3">
        <f t="shared" ref="K1800:K1808" si="197">I1800-J1800</f>
        <v>-4</v>
      </c>
      <c r="L1800" s="3" t="str">
        <f t="shared" si="194"/>
        <v>ATENÇÃO</v>
      </c>
      <c r="M1800">
        <v>3</v>
      </c>
      <c r="N1800">
        <v>78.95</v>
      </c>
      <c r="O1800">
        <v>38.983050847457633</v>
      </c>
    </row>
    <row r="1801" spans="1:15" customFormat="1" hidden="1" x14ac:dyDescent="0.25">
      <c r="A1801" s="11">
        <v>46057</v>
      </c>
      <c r="B1801" t="s">
        <v>52</v>
      </c>
      <c r="C1801" t="s">
        <v>48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195"/>
        <v>23</v>
      </c>
      <c r="J1801" s="3">
        <f t="shared" si="196"/>
        <v>26</v>
      </c>
      <c r="K1801" s="3">
        <f t="shared" si="197"/>
        <v>-3</v>
      </c>
      <c r="L1801" s="3" t="str">
        <f t="shared" si="194"/>
        <v>ATENÇÃO</v>
      </c>
      <c r="M1801">
        <v>20</v>
      </c>
      <c r="N1801">
        <v>98.45</v>
      </c>
      <c r="O1801">
        <v>29.281767955801101</v>
      </c>
    </row>
    <row r="1802" spans="1:15" customFormat="1" hidden="1" x14ac:dyDescent="0.25">
      <c r="A1802" s="11">
        <v>46057</v>
      </c>
      <c r="B1802" t="s">
        <v>36</v>
      </c>
      <c r="C1802" t="s">
        <v>32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195"/>
        <v>27</v>
      </c>
      <c r="J1802" s="3">
        <f t="shared" si="196"/>
        <v>32</v>
      </c>
      <c r="K1802" s="3">
        <f t="shared" si="197"/>
        <v>-5</v>
      </c>
      <c r="L1802" s="3" t="str">
        <f t="shared" si="194"/>
        <v>ATENÇÃO</v>
      </c>
      <c r="M1802">
        <v>27</v>
      </c>
      <c r="N1802">
        <v>97.84</v>
      </c>
      <c r="O1802">
        <v>26.282051282051281</v>
      </c>
    </row>
    <row r="1803" spans="1:15" customFormat="1" hidden="1" x14ac:dyDescent="0.25">
      <c r="A1803" s="11">
        <v>46057</v>
      </c>
      <c r="B1803" t="s">
        <v>53</v>
      </c>
      <c r="C1803" t="s">
        <v>48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195"/>
        <v>48</v>
      </c>
      <c r="J1803" s="3">
        <f t="shared" si="196"/>
        <v>26</v>
      </c>
      <c r="K1803" s="3">
        <f t="shared" si="197"/>
        <v>22</v>
      </c>
      <c r="L1803" s="3" t="str">
        <f t="shared" si="194"/>
        <v>EXCELENTE</v>
      </c>
      <c r="M1803">
        <v>47</v>
      </c>
      <c r="N1803">
        <v>98.5</v>
      </c>
      <c r="O1803">
        <v>23.97769516728625</v>
      </c>
    </row>
    <row r="1804" spans="1:15" customFormat="1" hidden="1" x14ac:dyDescent="0.25">
      <c r="A1804" s="11">
        <v>46091</v>
      </c>
      <c r="B1804" t="s">
        <v>22</v>
      </c>
      <c r="C1804" t="s">
        <v>23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si="195"/>
        <v>11</v>
      </c>
      <c r="J1804" s="3">
        <f t="shared" si="196"/>
        <v>14</v>
      </c>
      <c r="K1804" s="3">
        <f t="shared" si="197"/>
        <v>-3</v>
      </c>
      <c r="L1804" s="3" t="str">
        <f t="shared" si="194"/>
        <v>ATENÇÃO</v>
      </c>
      <c r="M1804">
        <v>15</v>
      </c>
      <c r="N1804">
        <v>99.05</v>
      </c>
      <c r="O1804">
        <v>26.621923937360179</v>
      </c>
    </row>
    <row r="1805" spans="1:15" customFormat="1" hidden="1" x14ac:dyDescent="0.25">
      <c r="A1805" s="11">
        <v>46057</v>
      </c>
      <c r="B1805" t="s">
        <v>54</v>
      </c>
      <c r="C1805" t="s">
        <v>48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195"/>
        <v>32</v>
      </c>
      <c r="J1805" s="3">
        <f t="shared" si="196"/>
        <v>26</v>
      </c>
      <c r="K1805" s="3">
        <f t="shared" si="197"/>
        <v>6</v>
      </c>
      <c r="L1805" s="3" t="str">
        <f t="shared" si="194"/>
        <v>EXCELENTE</v>
      </c>
      <c r="M1805">
        <v>30</v>
      </c>
      <c r="N1805">
        <v>98.53</v>
      </c>
      <c r="O1805">
        <v>31.578947368421051</v>
      </c>
    </row>
    <row r="1806" spans="1:15" customFormat="1" hidden="1" x14ac:dyDescent="0.25">
      <c r="A1806" s="11">
        <v>46057</v>
      </c>
      <c r="B1806" t="s">
        <v>37</v>
      </c>
      <c r="C1806" t="s">
        <v>32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195"/>
        <v>53</v>
      </c>
      <c r="J1806" s="3">
        <f t="shared" si="196"/>
        <v>32</v>
      </c>
      <c r="K1806" s="3">
        <f t="shared" si="197"/>
        <v>21</v>
      </c>
      <c r="L1806" s="3" t="str">
        <f t="shared" si="194"/>
        <v>EXCELENTE</v>
      </c>
      <c r="M1806">
        <v>55</v>
      </c>
      <c r="N1806">
        <v>100</v>
      </c>
      <c r="O1806">
        <v>25.72214580467676</v>
      </c>
    </row>
    <row r="1807" spans="1:15" customFormat="1" hidden="1" x14ac:dyDescent="0.25">
      <c r="A1807" s="11">
        <v>46057</v>
      </c>
      <c r="B1807" t="s">
        <v>38</v>
      </c>
      <c r="C1807" t="s">
        <v>32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195"/>
        <v>46</v>
      </c>
      <c r="J1807" s="3">
        <f t="shared" si="196"/>
        <v>32</v>
      </c>
      <c r="K1807" s="3">
        <f t="shared" si="197"/>
        <v>14</v>
      </c>
      <c r="L1807" s="3" t="str">
        <f t="shared" si="194"/>
        <v>EXCELENTE</v>
      </c>
      <c r="M1807">
        <v>41</v>
      </c>
      <c r="N1807">
        <v>94.64</v>
      </c>
      <c r="O1807">
        <v>27.52941176470588</v>
      </c>
    </row>
    <row r="1808" spans="1:15" customFormat="1" hidden="1" x14ac:dyDescent="0.25">
      <c r="A1808" s="11">
        <v>46057</v>
      </c>
      <c r="B1808" t="s">
        <v>55</v>
      </c>
      <c r="C1808" t="s">
        <v>48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195"/>
        <v>33</v>
      </c>
      <c r="J1808" s="3">
        <f t="shared" si="196"/>
        <v>26</v>
      </c>
      <c r="K1808" s="3">
        <f t="shared" si="197"/>
        <v>7</v>
      </c>
      <c r="L1808" s="3" t="str">
        <f t="shared" si="194"/>
        <v>EXCELENTE</v>
      </c>
      <c r="M1808">
        <v>31</v>
      </c>
      <c r="N1808">
        <v>99.07</v>
      </c>
      <c r="O1808">
        <v>26.376811594202898</v>
      </c>
    </row>
    <row r="1809" spans="1:15" customFormat="1" hidden="1" x14ac:dyDescent="0.25">
      <c r="A1809" s="11">
        <v>46057</v>
      </c>
      <c r="B1809" t="s">
        <v>39</v>
      </c>
      <c r="C1809" t="s">
        <v>32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 t="shared" si="194"/>
        <v>BOM</v>
      </c>
      <c r="M1809">
        <v>0</v>
      </c>
      <c r="N1809">
        <v>100</v>
      </c>
      <c r="O1809">
        <v>0</v>
      </c>
    </row>
    <row r="1810" spans="1:15" customFormat="1" hidden="1" x14ac:dyDescent="0.25">
      <c r="A1810" s="11">
        <v>46057</v>
      </c>
      <c r="B1810" t="s">
        <v>25</v>
      </c>
      <c r="C1810" t="s">
        <v>26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18</v>
      </c>
      <c r="K1810" s="3">
        <f>I1810-J1810</f>
        <v>-1</v>
      </c>
      <c r="L1810" s="3" t="str">
        <f t="shared" si="194"/>
        <v>ATENÇÃO</v>
      </c>
      <c r="M1810">
        <v>15</v>
      </c>
      <c r="N1810">
        <v>98.48</v>
      </c>
      <c r="O1810">
        <v>27.853881278538811</v>
      </c>
    </row>
    <row r="1811" spans="1:15" customFormat="1" hidden="1" x14ac:dyDescent="0.25">
      <c r="A1811" s="11">
        <v>46057</v>
      </c>
      <c r="B1811" t="s">
        <v>40</v>
      </c>
      <c r="C1811" t="s">
        <v>32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32</v>
      </c>
      <c r="K1811" s="3">
        <f>I1811-J1811</f>
        <v>-1</v>
      </c>
      <c r="L1811" s="3" t="str">
        <f t="shared" si="194"/>
        <v>ATENÇÃO</v>
      </c>
      <c r="M1811">
        <v>30</v>
      </c>
      <c r="N1811">
        <v>95.15</v>
      </c>
      <c r="O1811">
        <v>34.131736526946113</v>
      </c>
    </row>
    <row r="1812" spans="1:15" customFormat="1" hidden="1" x14ac:dyDescent="0.25">
      <c r="A1812" s="11">
        <v>46057</v>
      </c>
      <c r="B1812" t="s">
        <v>27</v>
      </c>
      <c r="C1812" t="s">
        <v>26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 t="shared" si="194"/>
        <v>BOM</v>
      </c>
      <c r="M1812">
        <v>0</v>
      </c>
      <c r="N1812">
        <v>0</v>
      </c>
      <c r="O1812">
        <v>0</v>
      </c>
    </row>
    <row r="1813" spans="1:15" customFormat="1" hidden="1" x14ac:dyDescent="0.25">
      <c r="A1813" s="11">
        <v>46057</v>
      </c>
      <c r="B1813" t="s">
        <v>41</v>
      </c>
      <c r="C1813" t="s">
        <v>32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-6</v>
      </c>
      <c r="L1813" s="3" t="str">
        <f t="shared" si="194"/>
        <v>CRÍTICO</v>
      </c>
      <c r="M1813">
        <v>25</v>
      </c>
      <c r="N1813">
        <v>99.26</v>
      </c>
      <c r="O1813">
        <v>30.84832904884319</v>
      </c>
    </row>
    <row r="1814" spans="1:15" customFormat="1" hidden="1" x14ac:dyDescent="0.25">
      <c r="A1814" s="11">
        <v>46057</v>
      </c>
      <c r="B1814" t="s">
        <v>56</v>
      </c>
      <c r="C1814" t="s">
        <v>48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26</v>
      </c>
      <c r="K1814" s="3">
        <f>I1814-J1814</f>
        <v>0</v>
      </c>
      <c r="L1814" s="3" t="str">
        <f t="shared" si="194"/>
        <v>BOM</v>
      </c>
      <c r="M1814">
        <v>27</v>
      </c>
      <c r="N1814">
        <v>97.48</v>
      </c>
      <c r="O1814">
        <v>27.764705882352938</v>
      </c>
    </row>
    <row r="1815" spans="1:15" customFormat="1" hidden="1" x14ac:dyDescent="0.25">
      <c r="A1815" s="11">
        <v>46057</v>
      </c>
      <c r="B1815" t="s">
        <v>57</v>
      </c>
      <c r="C1815" t="s">
        <v>48</v>
      </c>
      <c r="D1815">
        <v>44</v>
      </c>
      <c r="E1815">
        <v>42</v>
      </c>
      <c r="F1815">
        <v>16.54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 t="shared" si="194"/>
        <v>BOM</v>
      </c>
      <c r="M1815">
        <v>38</v>
      </c>
      <c r="N1815">
        <v>99.34</v>
      </c>
      <c r="O1815">
        <v>30.04291845493562</v>
      </c>
    </row>
    <row r="1816" spans="1:15" customFormat="1" hidden="1" x14ac:dyDescent="0.25">
      <c r="A1816" s="11">
        <v>46057</v>
      </c>
      <c r="B1816" t="s">
        <v>42</v>
      </c>
      <c r="C1816" t="s">
        <v>32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ref="I1816:I1821" si="198">E1816+G1816+H1816</f>
        <v>34</v>
      </c>
      <c r="J1816" s="3">
        <f t="shared" ref="J1816:J1821" si="199"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 t="shared" ref="K1816:K1821" si="200">I1816-J1816</f>
        <v>2</v>
      </c>
      <c r="L1816" s="3" t="str">
        <f t="shared" si="194"/>
        <v>BOM</v>
      </c>
      <c r="M1816">
        <v>26</v>
      </c>
      <c r="N1816">
        <v>96.3</v>
      </c>
      <c r="O1816">
        <v>24.29378531073446</v>
      </c>
    </row>
    <row r="1817" spans="1:15" customFormat="1" hidden="1" x14ac:dyDescent="0.25">
      <c r="A1817" s="11">
        <v>46057</v>
      </c>
      <c r="B1817" t="s">
        <v>62</v>
      </c>
      <c r="C1817" t="s">
        <v>23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198"/>
        <v>23</v>
      </c>
      <c r="J1817" s="3">
        <f t="shared" si="199"/>
        <v>21</v>
      </c>
      <c r="K1817" s="3">
        <f t="shared" si="200"/>
        <v>2</v>
      </c>
      <c r="L1817" s="3" t="str">
        <f t="shared" si="194"/>
        <v>BOM</v>
      </c>
      <c r="M1817">
        <v>21</v>
      </c>
      <c r="N1817">
        <v>100</v>
      </c>
      <c r="O1817">
        <v>26.543209876543209</v>
      </c>
    </row>
    <row r="1818" spans="1:15" customFormat="1" hidden="1" x14ac:dyDescent="0.25">
      <c r="A1818" s="11">
        <v>46057</v>
      </c>
      <c r="B1818" t="s">
        <v>19</v>
      </c>
      <c r="C1818" t="s">
        <v>16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198"/>
        <v>8</v>
      </c>
      <c r="J1818" s="3">
        <f t="shared" si="199"/>
        <v>9</v>
      </c>
      <c r="K1818" s="3">
        <f t="shared" si="200"/>
        <v>-1</v>
      </c>
      <c r="L1818" s="3" t="str">
        <f t="shared" si="194"/>
        <v>ATENÇÃO</v>
      </c>
      <c r="M1818">
        <v>6</v>
      </c>
      <c r="N1818">
        <v>100</v>
      </c>
      <c r="O1818">
        <v>35.483870967741943</v>
      </c>
    </row>
    <row r="1819" spans="1:15" customFormat="1" hidden="1" x14ac:dyDescent="0.25">
      <c r="A1819" s="11">
        <v>46057</v>
      </c>
      <c r="B1819" t="s">
        <v>43</v>
      </c>
      <c r="C1819" t="s">
        <v>32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198"/>
        <v>38</v>
      </c>
      <c r="J1819" s="3">
        <f t="shared" si="199"/>
        <v>32</v>
      </c>
      <c r="K1819" s="3">
        <f t="shared" si="200"/>
        <v>6</v>
      </c>
      <c r="L1819" s="3" t="str">
        <f t="shared" si="194"/>
        <v>EXCELENTE</v>
      </c>
      <c r="M1819">
        <v>36</v>
      </c>
      <c r="N1819">
        <v>99.27</v>
      </c>
      <c r="O1819">
        <v>31.163708086785011</v>
      </c>
    </row>
    <row r="1820" spans="1:15" customFormat="1" hidden="1" x14ac:dyDescent="0.25">
      <c r="A1820" s="11">
        <v>46057</v>
      </c>
      <c r="B1820" t="s">
        <v>44</v>
      </c>
      <c r="C1820" t="s">
        <v>32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198"/>
        <v>31</v>
      </c>
      <c r="J1820" s="3">
        <f t="shared" si="199"/>
        <v>32</v>
      </c>
      <c r="K1820" s="3">
        <f t="shared" si="200"/>
        <v>-1</v>
      </c>
      <c r="L1820" s="3" t="str">
        <f t="shared" si="194"/>
        <v>ATENÇÃO</v>
      </c>
      <c r="M1820">
        <v>32</v>
      </c>
      <c r="N1820">
        <v>94.16</v>
      </c>
      <c r="O1820">
        <v>27.038626609442058</v>
      </c>
    </row>
    <row r="1821" spans="1:15" customFormat="1" hidden="1" x14ac:dyDescent="0.25">
      <c r="A1821" s="11">
        <v>46057</v>
      </c>
      <c r="B1821" t="s">
        <v>20</v>
      </c>
      <c r="C1821" t="s">
        <v>16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198"/>
        <v>15</v>
      </c>
      <c r="J1821" s="3">
        <f t="shared" si="199"/>
        <v>9</v>
      </c>
      <c r="K1821" s="3">
        <f t="shared" si="200"/>
        <v>6</v>
      </c>
      <c r="L1821" s="3" t="str">
        <f t="shared" si="194"/>
        <v>EXCELENTE</v>
      </c>
      <c r="M1821">
        <v>6</v>
      </c>
      <c r="N1821">
        <v>93.75</v>
      </c>
      <c r="O1821">
        <v>19.31818181818182</v>
      </c>
    </row>
    <row r="1822" spans="1:15" customFormat="1" hidden="1" x14ac:dyDescent="0.25">
      <c r="A1822" s="11">
        <v>46057</v>
      </c>
      <c r="B1822" t="s">
        <v>28</v>
      </c>
      <c r="C1822" t="s">
        <v>26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194"/>
        <v>BOM</v>
      </c>
      <c r="M1822">
        <v>0</v>
      </c>
      <c r="N1822">
        <v>0</v>
      </c>
      <c r="O1822">
        <v>0</v>
      </c>
    </row>
    <row r="1823" spans="1:15" customFormat="1" hidden="1" x14ac:dyDescent="0.25">
      <c r="A1823" s="11">
        <v>46057</v>
      </c>
      <c r="B1823" t="s">
        <v>58</v>
      </c>
      <c r="C1823" t="s">
        <v>48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194"/>
        <v>BOM</v>
      </c>
      <c r="M1823">
        <v>0</v>
      </c>
      <c r="N1823">
        <v>97.92</v>
      </c>
      <c r="O1823">
        <v>32.87671232876712</v>
      </c>
    </row>
    <row r="1824" spans="1:15" customFormat="1" hidden="1" x14ac:dyDescent="0.25">
      <c r="A1824" s="11">
        <v>46057</v>
      </c>
      <c r="B1824" t="s">
        <v>29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194"/>
        <v>BOM</v>
      </c>
      <c r="M1824">
        <v>0</v>
      </c>
      <c r="N1824">
        <v>0</v>
      </c>
      <c r="O1824">
        <v>0</v>
      </c>
    </row>
    <row r="1825" spans="1:15" customFormat="1" hidden="1" x14ac:dyDescent="0.25">
      <c r="A1825" s="11">
        <v>46057</v>
      </c>
      <c r="B1825" t="s">
        <v>30</v>
      </c>
      <c r="C1825" t="s">
        <v>26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194"/>
        <v>BOM</v>
      </c>
      <c r="M1825">
        <v>0</v>
      </c>
      <c r="N1825">
        <v>0</v>
      </c>
      <c r="O1825">
        <v>0</v>
      </c>
    </row>
    <row r="1826" spans="1:15" customFormat="1" hidden="1" x14ac:dyDescent="0.25">
      <c r="A1826" s="11">
        <v>46057</v>
      </c>
      <c r="B1826" t="s">
        <v>21</v>
      </c>
      <c r="C1826" t="s">
        <v>16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 t="shared" si="194"/>
        <v>BOM</v>
      </c>
      <c r="M1826">
        <v>0</v>
      </c>
      <c r="N1826">
        <v>0</v>
      </c>
      <c r="O1826">
        <v>0</v>
      </c>
    </row>
    <row r="1827" spans="1:15" customFormat="1" hidden="1" x14ac:dyDescent="0.25">
      <c r="A1827" s="11">
        <v>46057</v>
      </c>
      <c r="B1827" t="s">
        <v>63</v>
      </c>
      <c r="C1827" t="s">
        <v>23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21</v>
      </c>
      <c r="K1827" s="3">
        <f>I1827-J1827</f>
        <v>-5</v>
      </c>
      <c r="L1827" s="3" t="str">
        <f t="shared" si="194"/>
        <v>ATENÇÃO</v>
      </c>
      <c r="M1827">
        <v>16</v>
      </c>
      <c r="N1827">
        <v>98.51</v>
      </c>
      <c r="O1827">
        <v>29.710144927536231</v>
      </c>
    </row>
    <row r="1828" spans="1:15" customFormat="1" hidden="1" x14ac:dyDescent="0.25">
      <c r="A1828" s="11">
        <v>46057</v>
      </c>
      <c r="B1828" t="s">
        <v>45</v>
      </c>
      <c r="C1828" t="s">
        <v>32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32</v>
      </c>
      <c r="K1828" s="3">
        <f>I1828-J1828</f>
        <v>11</v>
      </c>
      <c r="L1828" s="3" t="str">
        <f t="shared" si="194"/>
        <v>EXCELENTE</v>
      </c>
      <c r="M1828">
        <v>30</v>
      </c>
      <c r="N1828">
        <v>98.81</v>
      </c>
      <c r="O1828">
        <v>30.712979890310791</v>
      </c>
    </row>
    <row r="1829" spans="1:15" customFormat="1" hidden="1" x14ac:dyDescent="0.25">
      <c r="A1829" s="11">
        <v>46057</v>
      </c>
      <c r="B1829" t="s">
        <v>64</v>
      </c>
      <c r="C1829" t="s">
        <v>23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21</v>
      </c>
      <c r="K1829" s="3">
        <f>I1829-J1829</f>
        <v>-4</v>
      </c>
      <c r="L1829" s="3" t="str">
        <f t="shared" si="194"/>
        <v>ATENÇÃO</v>
      </c>
      <c r="M1829">
        <v>16</v>
      </c>
      <c r="N1829">
        <v>98.48</v>
      </c>
      <c r="O1829">
        <v>29.35323383084577</v>
      </c>
    </row>
    <row r="1830" spans="1:15" customFormat="1" hidden="1" x14ac:dyDescent="0.25">
      <c r="A1830" s="11">
        <v>46057</v>
      </c>
      <c r="B1830" t="s">
        <v>46</v>
      </c>
      <c r="C1830" t="s">
        <v>32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32</v>
      </c>
      <c r="K1830" s="3">
        <f>I1830-J1830</f>
        <v>5</v>
      </c>
      <c r="L1830" s="3" t="str">
        <f t="shared" si="194"/>
        <v>BOM</v>
      </c>
      <c r="M1830">
        <v>36</v>
      </c>
      <c r="N1830">
        <v>98.56</v>
      </c>
      <c r="O1830">
        <v>29.373650107991359</v>
      </c>
    </row>
    <row r="1831" spans="1:15" customFormat="1" hidden="1" x14ac:dyDescent="0.25">
      <c r="A1831" s="11">
        <v>46058</v>
      </c>
      <c r="B1831" t="s">
        <v>47</v>
      </c>
      <c r="C1831" t="s">
        <v>48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28</v>
      </c>
      <c r="K1831" s="3">
        <f>I1831-J1831</f>
        <v>6</v>
      </c>
      <c r="L1831" s="3" t="str">
        <f t="shared" si="194"/>
        <v>EXCELENTE</v>
      </c>
      <c r="M1831">
        <v>33</v>
      </c>
      <c r="N1831">
        <v>98.32</v>
      </c>
      <c r="O1831">
        <v>30.303030303030301</v>
      </c>
    </row>
    <row r="1832" spans="1:15" customFormat="1" hidden="1" x14ac:dyDescent="0.25">
      <c r="A1832" s="11">
        <v>46058</v>
      </c>
      <c r="B1832" t="s">
        <v>31</v>
      </c>
      <c r="C1832" t="s">
        <v>32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 t="shared" si="194"/>
        <v>BOM</v>
      </c>
      <c r="M1832">
        <v>40</v>
      </c>
      <c r="N1832">
        <v>98.68</v>
      </c>
      <c r="O1832">
        <v>26.219512195121951</v>
      </c>
    </row>
    <row r="1833" spans="1:15" customFormat="1" hidden="1" x14ac:dyDescent="0.25">
      <c r="A1833" s="11">
        <v>46058</v>
      </c>
      <c r="B1833" t="s">
        <v>59</v>
      </c>
      <c r="C1833" t="s">
        <v>23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23</v>
      </c>
      <c r="K1833" s="3">
        <f>I1833-J1833</f>
        <v>17</v>
      </c>
      <c r="L1833" s="3" t="str">
        <f t="shared" si="194"/>
        <v>EXCELENTE</v>
      </c>
      <c r="M1833">
        <v>38</v>
      </c>
      <c r="N1833">
        <v>100</v>
      </c>
      <c r="O1833">
        <v>31.74224343675418</v>
      </c>
    </row>
    <row r="1834" spans="1:15" customFormat="1" hidden="1" x14ac:dyDescent="0.25">
      <c r="A1834" s="11">
        <v>46058</v>
      </c>
      <c r="B1834" t="s">
        <v>33</v>
      </c>
      <c r="C1834" t="s">
        <v>32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35</v>
      </c>
      <c r="K1834" s="3">
        <f>I1834-J1834</f>
        <v>5</v>
      </c>
      <c r="L1834" s="3" t="str">
        <f t="shared" si="194"/>
        <v>BOM</v>
      </c>
      <c r="M1834">
        <v>39</v>
      </c>
      <c r="N1834">
        <v>98.25</v>
      </c>
      <c r="O1834">
        <v>25.83518930957684</v>
      </c>
    </row>
    <row r="1835" spans="1:15" customFormat="1" hidden="1" x14ac:dyDescent="0.25">
      <c r="A1835" s="11">
        <v>46058</v>
      </c>
      <c r="B1835" t="s">
        <v>15</v>
      </c>
      <c r="C1835" t="s">
        <v>16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 t="shared" si="194"/>
        <v>BOM</v>
      </c>
      <c r="M1835">
        <v>0</v>
      </c>
      <c r="N1835">
        <v>97.5</v>
      </c>
      <c r="O1835">
        <v>30.075187969924809</v>
      </c>
    </row>
    <row r="1836" spans="1:15" customFormat="1" hidden="1" x14ac:dyDescent="0.25">
      <c r="A1836" s="11">
        <v>46058</v>
      </c>
      <c r="B1836" t="s">
        <v>49</v>
      </c>
      <c r="C1836" t="s">
        <v>48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2</v>
      </c>
      <c r="L1836" s="3" t="str">
        <f t="shared" si="194"/>
        <v>BOM</v>
      </c>
      <c r="M1836">
        <v>30</v>
      </c>
      <c r="N1836">
        <v>100</v>
      </c>
      <c r="O1836">
        <v>29.71311475409836</v>
      </c>
    </row>
    <row r="1837" spans="1:15" customFormat="1" hidden="1" x14ac:dyDescent="0.25">
      <c r="A1837" s="11">
        <v>46058</v>
      </c>
      <c r="B1837" t="s">
        <v>50</v>
      </c>
      <c r="C1837" t="s">
        <v>48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28</v>
      </c>
      <c r="K1837" s="3">
        <f>I1837-J1837</f>
        <v>-12</v>
      </c>
      <c r="L1837" s="3" t="str">
        <f t="shared" si="194"/>
        <v>CRÍTICO</v>
      </c>
      <c r="M1837">
        <v>17</v>
      </c>
      <c r="N1837">
        <v>99.22</v>
      </c>
      <c r="O1837">
        <v>35.256410256410263</v>
      </c>
    </row>
    <row r="1838" spans="1:15" customFormat="1" hidden="1" x14ac:dyDescent="0.25">
      <c r="A1838" s="11">
        <v>46058</v>
      </c>
      <c r="B1838" t="s">
        <v>17</v>
      </c>
      <c r="C1838" t="s">
        <v>16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 t="shared" si="194"/>
        <v>BOM</v>
      </c>
      <c r="M1838">
        <v>0</v>
      </c>
      <c r="N1838">
        <v>0</v>
      </c>
      <c r="O1838">
        <v>0</v>
      </c>
    </row>
    <row r="1839" spans="1:15" customFormat="1" hidden="1" x14ac:dyDescent="0.25">
      <c r="A1839" s="11">
        <v>46058</v>
      </c>
      <c r="B1839" t="s">
        <v>60</v>
      </c>
      <c r="C1839" t="s">
        <v>23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-9</v>
      </c>
      <c r="L1839" s="3" t="str">
        <f t="shared" si="194"/>
        <v>CRÍTICO</v>
      </c>
      <c r="M1839">
        <v>22</v>
      </c>
      <c r="N1839">
        <v>98.75</v>
      </c>
      <c r="O1839">
        <v>24.32432432432433</v>
      </c>
    </row>
    <row r="1840" spans="1:15" customFormat="1" hidden="1" x14ac:dyDescent="0.25">
      <c r="A1840" s="11">
        <v>46058</v>
      </c>
      <c r="B1840" t="s">
        <v>34</v>
      </c>
      <c r="C1840" t="s">
        <v>32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35</v>
      </c>
      <c r="K1840" s="3">
        <f>I1840-J1840</f>
        <v>-7</v>
      </c>
      <c r="L1840" s="3" t="str">
        <f t="shared" si="194"/>
        <v>CRÍTICO</v>
      </c>
      <c r="M1840">
        <v>25</v>
      </c>
      <c r="N1840">
        <v>93.48</v>
      </c>
      <c r="O1840">
        <v>31.52804642166344</v>
      </c>
    </row>
    <row r="1841" spans="1:15" customFormat="1" hidden="1" x14ac:dyDescent="0.25">
      <c r="A1841" s="11">
        <v>46058</v>
      </c>
      <c r="B1841" t="s">
        <v>51</v>
      </c>
      <c r="C1841" t="s">
        <v>48</v>
      </c>
      <c r="D1841">
        <v>40</v>
      </c>
      <c r="E1841">
        <v>33</v>
      </c>
      <c r="F1841">
        <v>15.5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 t="shared" si="194"/>
        <v>BOM</v>
      </c>
      <c r="M1841">
        <v>37</v>
      </c>
      <c r="N1841">
        <v>99.16</v>
      </c>
      <c r="O1841">
        <v>26.13908872901678</v>
      </c>
    </row>
    <row r="1842" spans="1:15" customFormat="1" hidden="1" x14ac:dyDescent="0.25">
      <c r="A1842" s="11">
        <v>46058</v>
      </c>
      <c r="B1842" t="s">
        <v>61</v>
      </c>
      <c r="C1842" t="s">
        <v>23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23</v>
      </c>
      <c r="K1842" s="3">
        <f>I1842-J1842</f>
        <v>-3</v>
      </c>
      <c r="L1842" s="3" t="str">
        <f t="shared" si="194"/>
        <v>ATENÇÃO</v>
      </c>
      <c r="M1842">
        <v>29</v>
      </c>
      <c r="N1842">
        <v>100</v>
      </c>
      <c r="O1842">
        <v>31.089743589743591</v>
      </c>
    </row>
    <row r="1843" spans="1:15" customFormat="1" hidden="1" x14ac:dyDescent="0.25">
      <c r="A1843" s="11">
        <v>46058</v>
      </c>
      <c r="B1843" t="s">
        <v>35</v>
      </c>
      <c r="C1843" t="s">
        <v>32</v>
      </c>
      <c r="D1843">
        <v>37</v>
      </c>
      <c r="E1843">
        <v>36</v>
      </c>
      <c r="F1843">
        <v>20.3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 t="shared" si="194"/>
        <v>BOM</v>
      </c>
      <c r="M1843">
        <v>35</v>
      </c>
      <c r="N1843">
        <v>98.11</v>
      </c>
      <c r="O1843">
        <v>33.033707865168537</v>
      </c>
    </row>
    <row r="1844" spans="1:15" customFormat="1" hidden="1" x14ac:dyDescent="0.25">
      <c r="A1844" s="11">
        <v>46058</v>
      </c>
      <c r="B1844" t="s">
        <v>18</v>
      </c>
      <c r="C1844" t="s">
        <v>16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ref="I1844:I1852" si="201">E1844+G1844+H1844</f>
        <v>28</v>
      </c>
      <c r="J1844" s="3">
        <f t="shared" ref="J1844:J1852" si="202"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 t="shared" ref="K1844:K1852" si="203">I1844-J1844</f>
        <v>18</v>
      </c>
      <c r="L1844" s="3" t="str">
        <f t="shared" si="194"/>
        <v>EXCELENTE</v>
      </c>
      <c r="M1844">
        <v>2</v>
      </c>
      <c r="N1844">
        <v>78.95</v>
      </c>
      <c r="O1844">
        <v>38.983050847457633</v>
      </c>
    </row>
    <row r="1845" spans="1:15" customFormat="1" hidden="1" x14ac:dyDescent="0.25">
      <c r="A1845" s="11">
        <v>46058</v>
      </c>
      <c r="B1845" t="s">
        <v>52</v>
      </c>
      <c r="C1845" t="s">
        <v>48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201"/>
        <v>35</v>
      </c>
      <c r="J1845" s="3">
        <f t="shared" si="202"/>
        <v>28</v>
      </c>
      <c r="K1845" s="3">
        <f t="shared" si="203"/>
        <v>7</v>
      </c>
      <c r="L1845" s="3" t="str">
        <f t="shared" si="194"/>
        <v>EXCELENTE</v>
      </c>
      <c r="M1845">
        <v>30</v>
      </c>
      <c r="N1845">
        <v>98.45</v>
      </c>
      <c r="O1845">
        <v>29.281767955801101</v>
      </c>
    </row>
    <row r="1846" spans="1:15" customFormat="1" hidden="1" x14ac:dyDescent="0.25">
      <c r="A1846" s="11">
        <v>46058</v>
      </c>
      <c r="B1846" t="s">
        <v>36</v>
      </c>
      <c r="C1846" t="s">
        <v>32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201"/>
        <v>35</v>
      </c>
      <c r="J1846" s="3">
        <f t="shared" si="202"/>
        <v>35</v>
      </c>
      <c r="K1846" s="3">
        <f t="shared" si="203"/>
        <v>0</v>
      </c>
      <c r="L1846" s="3" t="str">
        <f t="shared" si="194"/>
        <v>BOM</v>
      </c>
      <c r="M1846">
        <v>35</v>
      </c>
      <c r="N1846">
        <v>97.84</v>
      </c>
      <c r="O1846">
        <v>26.282051282051281</v>
      </c>
    </row>
    <row r="1847" spans="1:15" customFormat="1" hidden="1" x14ac:dyDescent="0.25">
      <c r="A1847" s="11">
        <v>46058</v>
      </c>
      <c r="B1847" t="s">
        <v>53</v>
      </c>
      <c r="C1847" t="s">
        <v>48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201"/>
        <v>44</v>
      </c>
      <c r="J1847" s="3">
        <f t="shared" si="202"/>
        <v>28</v>
      </c>
      <c r="K1847" s="3">
        <f t="shared" si="203"/>
        <v>16</v>
      </c>
      <c r="L1847" s="3" t="str">
        <f t="shared" si="194"/>
        <v>EXCELENTE</v>
      </c>
      <c r="M1847">
        <v>42</v>
      </c>
      <c r="N1847">
        <v>98.5</v>
      </c>
      <c r="O1847">
        <v>23.97769516728625</v>
      </c>
    </row>
    <row r="1848" spans="1:15" customFormat="1" hidden="1" x14ac:dyDescent="0.25">
      <c r="A1848" s="11">
        <v>46092</v>
      </c>
      <c r="B1848" t="s">
        <v>22</v>
      </c>
      <c r="C1848" t="s">
        <v>23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si="201"/>
        <v>3</v>
      </c>
      <c r="J1848" s="3">
        <f t="shared" si="202"/>
        <v>16</v>
      </c>
      <c r="K1848" s="3">
        <f t="shared" si="203"/>
        <v>-13</v>
      </c>
      <c r="L1848" s="3" t="str">
        <f t="shared" si="194"/>
        <v>CRÍTICO</v>
      </c>
      <c r="M1848">
        <v>10</v>
      </c>
      <c r="N1848">
        <v>99.05</v>
      </c>
      <c r="O1848">
        <v>26.621923937360179</v>
      </c>
    </row>
    <row r="1849" spans="1:15" customFormat="1" hidden="1" x14ac:dyDescent="0.25">
      <c r="A1849" s="11">
        <v>46058</v>
      </c>
      <c r="B1849" t="s">
        <v>54</v>
      </c>
      <c r="C1849" t="s">
        <v>48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201"/>
        <v>37</v>
      </c>
      <c r="J1849" s="3">
        <f t="shared" si="202"/>
        <v>28</v>
      </c>
      <c r="K1849" s="3">
        <f t="shared" si="203"/>
        <v>9</v>
      </c>
      <c r="L1849" s="3" t="str">
        <f t="shared" si="194"/>
        <v>EXCELENTE</v>
      </c>
      <c r="M1849">
        <v>34</v>
      </c>
      <c r="N1849">
        <v>98.53</v>
      </c>
      <c r="O1849">
        <v>31.578947368421051</v>
      </c>
    </row>
    <row r="1850" spans="1:15" customFormat="1" hidden="1" x14ac:dyDescent="0.25">
      <c r="A1850" s="11">
        <v>46058</v>
      </c>
      <c r="B1850" t="s">
        <v>37</v>
      </c>
      <c r="C1850" t="s">
        <v>32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201"/>
        <v>43</v>
      </c>
      <c r="J1850" s="3">
        <f t="shared" si="202"/>
        <v>35</v>
      </c>
      <c r="K1850" s="3">
        <f t="shared" si="203"/>
        <v>8</v>
      </c>
      <c r="L1850" s="3" t="str">
        <f t="shared" si="194"/>
        <v>EXCELENTE</v>
      </c>
      <c r="M1850">
        <v>46</v>
      </c>
      <c r="N1850">
        <v>100</v>
      </c>
      <c r="O1850">
        <v>25.72214580467676</v>
      </c>
    </row>
    <row r="1851" spans="1:15" customFormat="1" hidden="1" x14ac:dyDescent="0.25">
      <c r="A1851" s="11">
        <v>46058</v>
      </c>
      <c r="B1851" t="s">
        <v>38</v>
      </c>
      <c r="C1851" t="s">
        <v>32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201"/>
        <v>44</v>
      </c>
      <c r="J1851" s="3">
        <f t="shared" si="202"/>
        <v>35</v>
      </c>
      <c r="K1851" s="3">
        <f t="shared" si="203"/>
        <v>9</v>
      </c>
      <c r="L1851" s="3" t="str">
        <f t="shared" si="194"/>
        <v>EXCELENTE</v>
      </c>
      <c r="M1851">
        <v>41</v>
      </c>
      <c r="N1851">
        <v>94.64</v>
      </c>
      <c r="O1851">
        <v>27.52941176470588</v>
      </c>
    </row>
    <row r="1852" spans="1:15" customFormat="1" hidden="1" x14ac:dyDescent="0.25">
      <c r="A1852" s="11">
        <v>46058</v>
      </c>
      <c r="B1852" t="s">
        <v>55</v>
      </c>
      <c r="C1852" t="s">
        <v>48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201"/>
        <v>38</v>
      </c>
      <c r="J1852" s="3">
        <f t="shared" si="202"/>
        <v>28</v>
      </c>
      <c r="K1852" s="3">
        <f t="shared" si="203"/>
        <v>10</v>
      </c>
      <c r="L1852" s="3" t="str">
        <f t="shared" si="194"/>
        <v>EXCELENTE</v>
      </c>
      <c r="M1852">
        <v>32</v>
      </c>
      <c r="N1852">
        <v>99.07</v>
      </c>
      <c r="O1852">
        <v>26.376811594202898</v>
      </c>
    </row>
    <row r="1853" spans="1:15" customFormat="1" hidden="1" x14ac:dyDescent="0.25">
      <c r="A1853" s="11">
        <v>46058</v>
      </c>
      <c r="B1853" t="s">
        <v>39</v>
      </c>
      <c r="C1853" t="s">
        <v>32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 t="shared" si="194"/>
        <v>BOM</v>
      </c>
      <c r="M1853">
        <v>0</v>
      </c>
      <c r="N1853">
        <v>100</v>
      </c>
      <c r="O1853">
        <v>0</v>
      </c>
    </row>
    <row r="1854" spans="1:15" customFormat="1" hidden="1" x14ac:dyDescent="0.25">
      <c r="A1854" s="11">
        <v>46058</v>
      </c>
      <c r="B1854" t="s">
        <v>25</v>
      </c>
      <c r="C1854" t="s">
        <v>26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20</v>
      </c>
      <c r="K1854" s="3">
        <f>I1854-J1854</f>
        <v>-1</v>
      </c>
      <c r="L1854" s="3" t="str">
        <f t="shared" si="194"/>
        <v>ATENÇÃO</v>
      </c>
      <c r="M1854">
        <v>19</v>
      </c>
      <c r="N1854">
        <v>98.48</v>
      </c>
      <c r="O1854">
        <v>27.853881278538811</v>
      </c>
    </row>
    <row r="1855" spans="1:15" customFormat="1" hidden="1" x14ac:dyDescent="0.25">
      <c r="A1855" s="11">
        <v>46058</v>
      </c>
      <c r="B1855" t="s">
        <v>40</v>
      </c>
      <c r="C1855" t="s">
        <v>32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35</v>
      </c>
      <c r="K1855" s="3">
        <f>I1855-J1855</f>
        <v>-28</v>
      </c>
      <c r="L1855" s="3" t="str">
        <f t="shared" si="194"/>
        <v>CRÍTICO</v>
      </c>
      <c r="M1855">
        <v>29</v>
      </c>
      <c r="N1855">
        <v>95.15</v>
      </c>
      <c r="O1855">
        <v>34.131736526946113</v>
      </c>
    </row>
    <row r="1856" spans="1:15" customFormat="1" hidden="1" x14ac:dyDescent="0.25">
      <c r="A1856" s="11">
        <v>46058</v>
      </c>
      <c r="B1856" t="s">
        <v>27</v>
      </c>
      <c r="C1856" t="s">
        <v>26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 t="shared" si="194"/>
        <v>BOM</v>
      </c>
      <c r="M1856">
        <v>0</v>
      </c>
      <c r="N1856">
        <v>0</v>
      </c>
      <c r="O1856">
        <v>0</v>
      </c>
    </row>
    <row r="1857" spans="1:15" customFormat="1" hidden="1" x14ac:dyDescent="0.25">
      <c r="A1857" s="11">
        <v>46058</v>
      </c>
      <c r="B1857" t="s">
        <v>41</v>
      </c>
      <c r="C1857" t="s">
        <v>32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-13</v>
      </c>
      <c r="L1857" s="3" t="str">
        <f t="shared" si="194"/>
        <v>CRÍTICO</v>
      </c>
      <c r="M1857">
        <v>24</v>
      </c>
      <c r="N1857">
        <v>99.26</v>
      </c>
      <c r="O1857">
        <v>30.84832904884319</v>
      </c>
    </row>
    <row r="1858" spans="1:15" customFormat="1" hidden="1" x14ac:dyDescent="0.25">
      <c r="A1858" s="11">
        <v>46058</v>
      </c>
      <c r="B1858" t="s">
        <v>56</v>
      </c>
      <c r="C1858" t="s">
        <v>48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28</v>
      </c>
      <c r="K1858" s="3">
        <f>I1858-J1858</f>
        <v>6</v>
      </c>
      <c r="L1858" s="3" t="str">
        <f t="shared" si="194"/>
        <v>EXCELENTE</v>
      </c>
      <c r="M1858">
        <v>28</v>
      </c>
      <c r="N1858">
        <v>97.48</v>
      </c>
      <c r="O1858">
        <v>27.764705882352938</v>
      </c>
    </row>
    <row r="1859" spans="1:15" customFormat="1" hidden="1" x14ac:dyDescent="0.25">
      <c r="A1859" s="11">
        <v>46058</v>
      </c>
      <c r="B1859" t="s">
        <v>57</v>
      </c>
      <c r="C1859" t="s">
        <v>48</v>
      </c>
      <c r="D1859">
        <v>36</v>
      </c>
      <c r="E1859">
        <v>36</v>
      </c>
      <c r="F1859">
        <v>19.18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 t="shared" si="194"/>
        <v>BOM</v>
      </c>
      <c r="M1859">
        <v>36</v>
      </c>
      <c r="N1859">
        <v>99.34</v>
      </c>
      <c r="O1859">
        <v>30.04291845493562</v>
      </c>
    </row>
    <row r="1860" spans="1:15" customFormat="1" hidden="1" x14ac:dyDescent="0.25">
      <c r="A1860" s="11">
        <v>46058</v>
      </c>
      <c r="B1860" t="s">
        <v>42</v>
      </c>
      <c r="C1860" t="s">
        <v>32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ref="I1860:I1865" si="204">E1860+G1860+H1860</f>
        <v>36</v>
      </c>
      <c r="J1860" s="3">
        <f t="shared" ref="J1860:J1865" si="205"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 t="shared" ref="K1860:K1865" si="206">I1860-J1860</f>
        <v>1</v>
      </c>
      <c r="L1860" s="3" t="str">
        <f t="shared" si="194"/>
        <v>BOM</v>
      </c>
      <c r="M1860">
        <v>27</v>
      </c>
      <c r="N1860">
        <v>96.3</v>
      </c>
      <c r="O1860">
        <v>24.29378531073446</v>
      </c>
    </row>
    <row r="1861" spans="1:15" customFormat="1" hidden="1" x14ac:dyDescent="0.25">
      <c r="A1861" s="11">
        <v>46058</v>
      </c>
      <c r="B1861" t="s">
        <v>62</v>
      </c>
      <c r="C1861" t="s">
        <v>23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204"/>
        <v>24</v>
      </c>
      <c r="J1861" s="3">
        <f t="shared" si="205"/>
        <v>23</v>
      </c>
      <c r="K1861" s="3">
        <f t="shared" si="206"/>
        <v>1</v>
      </c>
      <c r="L1861" s="3" t="str">
        <f t="shared" si="194"/>
        <v>BOM</v>
      </c>
      <c r="M1861">
        <v>21</v>
      </c>
      <c r="N1861">
        <v>100</v>
      </c>
      <c r="O1861">
        <v>26.543209876543209</v>
      </c>
    </row>
    <row r="1862" spans="1:15" customFormat="1" hidden="1" x14ac:dyDescent="0.25">
      <c r="A1862" s="11">
        <v>46058</v>
      </c>
      <c r="B1862" t="s">
        <v>19</v>
      </c>
      <c r="C1862" t="s">
        <v>16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204"/>
        <v>39</v>
      </c>
      <c r="J1862" s="3">
        <f t="shared" si="205"/>
        <v>10</v>
      </c>
      <c r="K1862" s="3">
        <f t="shared" si="206"/>
        <v>29</v>
      </c>
      <c r="L1862" s="3" t="str">
        <f t="shared" si="194"/>
        <v>EXCELENTE</v>
      </c>
      <c r="M1862">
        <v>0</v>
      </c>
      <c r="N1862">
        <v>100</v>
      </c>
      <c r="O1862">
        <v>35.483870967741943</v>
      </c>
    </row>
    <row r="1863" spans="1:15" customFormat="1" hidden="1" x14ac:dyDescent="0.25">
      <c r="A1863" s="11">
        <v>46058</v>
      </c>
      <c r="B1863" t="s">
        <v>43</v>
      </c>
      <c r="C1863" t="s">
        <v>32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204"/>
        <v>40</v>
      </c>
      <c r="J1863" s="3">
        <f t="shared" si="205"/>
        <v>35</v>
      </c>
      <c r="K1863" s="3">
        <f t="shared" si="206"/>
        <v>5</v>
      </c>
      <c r="L1863" s="3" t="str">
        <f t="shared" ref="L1863:L1926" si="207">IF(K1863&lt;-5,"CRÍTICO",IF(K1863&lt;0,"ATENÇÃO",IF(K1863&lt;=5,"BOM","EXCELENTE")))</f>
        <v>BOM</v>
      </c>
      <c r="M1863">
        <v>40</v>
      </c>
      <c r="N1863">
        <v>99.27</v>
      </c>
      <c r="O1863">
        <v>31.163708086785011</v>
      </c>
    </row>
    <row r="1864" spans="1:15" customFormat="1" hidden="1" x14ac:dyDescent="0.25">
      <c r="A1864" s="11">
        <v>46058</v>
      </c>
      <c r="B1864" t="s">
        <v>44</v>
      </c>
      <c r="C1864" t="s">
        <v>32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204"/>
        <v>32</v>
      </c>
      <c r="J1864" s="3">
        <f t="shared" si="205"/>
        <v>35</v>
      </c>
      <c r="K1864" s="3">
        <f t="shared" si="206"/>
        <v>-3</v>
      </c>
      <c r="L1864" s="3" t="str">
        <f t="shared" si="207"/>
        <v>ATENÇÃO</v>
      </c>
      <c r="M1864">
        <v>33</v>
      </c>
      <c r="N1864">
        <v>94.16</v>
      </c>
      <c r="O1864">
        <v>27.038626609442058</v>
      </c>
    </row>
    <row r="1865" spans="1:15" customFormat="1" hidden="1" x14ac:dyDescent="0.25">
      <c r="A1865" s="11">
        <v>46058</v>
      </c>
      <c r="B1865" t="s">
        <v>20</v>
      </c>
      <c r="C1865" t="s">
        <v>16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204"/>
        <v>16</v>
      </c>
      <c r="J1865" s="3">
        <f t="shared" si="205"/>
        <v>10</v>
      </c>
      <c r="K1865" s="3">
        <f t="shared" si="206"/>
        <v>6</v>
      </c>
      <c r="L1865" s="3" t="str">
        <f t="shared" si="207"/>
        <v>EXCELENTE</v>
      </c>
      <c r="M1865">
        <v>13</v>
      </c>
      <c r="N1865">
        <v>93.75</v>
      </c>
      <c r="O1865">
        <v>19.31818181818182</v>
      </c>
    </row>
    <row r="1866" spans="1:15" customFormat="1" hidden="1" x14ac:dyDescent="0.25">
      <c r="A1866" s="11">
        <v>46058</v>
      </c>
      <c r="B1866" t="s">
        <v>28</v>
      </c>
      <c r="C1866" t="s">
        <v>26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 t="shared" si="207"/>
        <v>BOM</v>
      </c>
      <c r="M1866">
        <v>0</v>
      </c>
      <c r="N1866">
        <v>0</v>
      </c>
      <c r="O1866">
        <v>0</v>
      </c>
    </row>
    <row r="1867" spans="1:15" customFormat="1" hidden="1" x14ac:dyDescent="0.25">
      <c r="A1867" s="11">
        <v>46058</v>
      </c>
      <c r="B1867" t="s">
        <v>58</v>
      </c>
      <c r="C1867" t="s">
        <v>48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28</v>
      </c>
      <c r="K1867" s="3">
        <f>I1867-J1867</f>
        <v>-1</v>
      </c>
      <c r="L1867" s="3" t="str">
        <f t="shared" si="207"/>
        <v>ATENÇÃO</v>
      </c>
      <c r="M1867">
        <v>24</v>
      </c>
      <c r="N1867">
        <v>97.92</v>
      </c>
      <c r="O1867">
        <v>32.87671232876712</v>
      </c>
    </row>
    <row r="1868" spans="1:15" customFormat="1" hidden="1" x14ac:dyDescent="0.25">
      <c r="A1868" s="11">
        <v>46058</v>
      </c>
      <c r="B1868" t="s">
        <v>29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207"/>
        <v>BOM</v>
      </c>
      <c r="M1868">
        <v>0</v>
      </c>
      <c r="N1868">
        <v>0</v>
      </c>
      <c r="O1868">
        <v>0</v>
      </c>
    </row>
    <row r="1869" spans="1:15" customFormat="1" hidden="1" x14ac:dyDescent="0.25">
      <c r="A1869" s="11">
        <v>46058</v>
      </c>
      <c r="B1869" t="s">
        <v>30</v>
      </c>
      <c r="C1869" t="s">
        <v>26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207"/>
        <v>BOM</v>
      </c>
      <c r="M1869">
        <v>0</v>
      </c>
      <c r="N1869">
        <v>0</v>
      </c>
      <c r="O1869">
        <v>0</v>
      </c>
    </row>
    <row r="1870" spans="1:15" customFormat="1" hidden="1" x14ac:dyDescent="0.25">
      <c r="A1870" s="11">
        <v>46058</v>
      </c>
      <c r="B1870" t="s">
        <v>21</v>
      </c>
      <c r="C1870" t="s">
        <v>16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 t="shared" si="207"/>
        <v>BOM</v>
      </c>
      <c r="M1870">
        <v>0</v>
      </c>
      <c r="N1870">
        <v>0</v>
      </c>
      <c r="O1870">
        <v>0</v>
      </c>
    </row>
    <row r="1871" spans="1:15" customFormat="1" hidden="1" x14ac:dyDescent="0.25">
      <c r="A1871" s="11">
        <v>46058</v>
      </c>
      <c r="B1871" t="s">
        <v>63</v>
      </c>
      <c r="C1871" t="s">
        <v>23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23</v>
      </c>
      <c r="K1871" s="3">
        <f>I1871-J1871</f>
        <v>0</v>
      </c>
      <c r="L1871" s="3" t="str">
        <f t="shared" si="207"/>
        <v>BOM</v>
      </c>
      <c r="M1871">
        <v>22</v>
      </c>
      <c r="N1871">
        <v>98.51</v>
      </c>
      <c r="O1871">
        <v>29.710144927536231</v>
      </c>
    </row>
    <row r="1872" spans="1:15" customFormat="1" hidden="1" x14ac:dyDescent="0.25">
      <c r="A1872" s="11">
        <v>46058</v>
      </c>
      <c r="B1872" t="s">
        <v>45</v>
      </c>
      <c r="C1872" t="s">
        <v>32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35</v>
      </c>
      <c r="K1872" s="3">
        <f>I1872-J1872</f>
        <v>-8</v>
      </c>
      <c r="L1872" s="3" t="str">
        <f t="shared" si="207"/>
        <v>CRÍTICO</v>
      </c>
      <c r="M1872">
        <v>28</v>
      </c>
      <c r="N1872">
        <v>98.81</v>
      </c>
      <c r="O1872">
        <v>30.712979890310791</v>
      </c>
    </row>
    <row r="1873" spans="1:15" customFormat="1" hidden="1" x14ac:dyDescent="0.25">
      <c r="A1873" s="11">
        <v>46058</v>
      </c>
      <c r="B1873" t="s">
        <v>64</v>
      </c>
      <c r="C1873" t="s">
        <v>23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23</v>
      </c>
      <c r="K1873" s="3">
        <f>I1873-J1873</f>
        <v>-5</v>
      </c>
      <c r="L1873" s="3" t="str">
        <f t="shared" si="207"/>
        <v>ATENÇÃO</v>
      </c>
      <c r="M1873">
        <v>18</v>
      </c>
      <c r="N1873">
        <v>98.48</v>
      </c>
      <c r="O1873">
        <v>29.35323383084577</v>
      </c>
    </row>
    <row r="1874" spans="1:15" customFormat="1" hidden="1" x14ac:dyDescent="0.25">
      <c r="A1874" s="11">
        <v>46058</v>
      </c>
      <c r="B1874" t="s">
        <v>46</v>
      </c>
      <c r="C1874" t="s">
        <v>32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35</v>
      </c>
      <c r="K1874" s="3">
        <f>I1874-J1874</f>
        <v>3</v>
      </c>
      <c r="L1874" s="3" t="str">
        <f t="shared" si="207"/>
        <v>BOM</v>
      </c>
      <c r="M1874">
        <v>34</v>
      </c>
      <c r="N1874">
        <v>98.56</v>
      </c>
      <c r="O1874">
        <v>29.373650107991359</v>
      </c>
    </row>
    <row r="1875" spans="1:15" customFormat="1" hidden="1" x14ac:dyDescent="0.25">
      <c r="A1875" s="11">
        <v>46059</v>
      </c>
      <c r="B1875" t="s">
        <v>47</v>
      </c>
      <c r="C1875" t="s">
        <v>48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27</v>
      </c>
      <c r="K1875" s="3">
        <f>I1875-J1875</f>
        <v>-9</v>
      </c>
      <c r="L1875" s="3" t="str">
        <f t="shared" si="207"/>
        <v>CRÍTICO</v>
      </c>
      <c r="M1875">
        <v>16</v>
      </c>
      <c r="N1875">
        <v>98.32</v>
      </c>
      <c r="O1875">
        <v>30.303030303030301</v>
      </c>
    </row>
    <row r="1876" spans="1:15" customFormat="1" hidden="1" x14ac:dyDescent="0.25">
      <c r="A1876" s="11">
        <v>46059</v>
      </c>
      <c r="B1876" t="s">
        <v>31</v>
      </c>
      <c r="C1876" t="s">
        <v>32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 t="shared" si="207"/>
        <v>BOM</v>
      </c>
      <c r="M1876">
        <v>24</v>
      </c>
      <c r="N1876">
        <v>98.68</v>
      </c>
      <c r="O1876">
        <v>26.219512195121951</v>
      </c>
    </row>
    <row r="1877" spans="1:15" customFormat="1" hidden="1" x14ac:dyDescent="0.25">
      <c r="A1877" s="11">
        <v>46059</v>
      </c>
      <c r="B1877" t="s">
        <v>59</v>
      </c>
      <c r="C1877" t="s">
        <v>23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22</v>
      </c>
      <c r="K1877" s="3">
        <f>I1877-J1877</f>
        <v>4</v>
      </c>
      <c r="L1877" s="3" t="str">
        <f t="shared" si="207"/>
        <v>BOM</v>
      </c>
      <c r="M1877">
        <v>22</v>
      </c>
      <c r="N1877">
        <v>100</v>
      </c>
      <c r="O1877">
        <v>31.74224343675418</v>
      </c>
    </row>
    <row r="1878" spans="1:15" customFormat="1" hidden="1" x14ac:dyDescent="0.25">
      <c r="A1878" s="11">
        <v>46059</v>
      </c>
      <c r="B1878" t="s">
        <v>33</v>
      </c>
      <c r="C1878" t="s">
        <v>32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33</v>
      </c>
      <c r="K1878" s="3">
        <f>I1878-J1878</f>
        <v>-3</v>
      </c>
      <c r="L1878" s="3" t="str">
        <f t="shared" si="207"/>
        <v>ATENÇÃO</v>
      </c>
      <c r="M1878">
        <v>26</v>
      </c>
      <c r="N1878">
        <v>98.25</v>
      </c>
      <c r="O1878">
        <v>25.83518930957684</v>
      </c>
    </row>
    <row r="1879" spans="1:15" customFormat="1" hidden="1" x14ac:dyDescent="0.25">
      <c r="A1879" s="11">
        <v>46059</v>
      </c>
      <c r="B1879" t="s">
        <v>15</v>
      </c>
      <c r="C1879" t="s">
        <v>16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10</v>
      </c>
      <c r="K1879" s="3">
        <f>I1879-J1879</f>
        <v>1</v>
      </c>
      <c r="L1879" s="3" t="str">
        <f t="shared" si="207"/>
        <v>BOM</v>
      </c>
      <c r="M1879">
        <v>9</v>
      </c>
      <c r="N1879">
        <v>97.5</v>
      </c>
      <c r="O1879">
        <v>30.075187969924809</v>
      </c>
    </row>
    <row r="1880" spans="1:15" customFormat="1" hidden="1" x14ac:dyDescent="0.25">
      <c r="A1880" s="11">
        <v>46059</v>
      </c>
      <c r="B1880" t="s">
        <v>49</v>
      </c>
      <c r="C1880" t="s">
        <v>48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8</v>
      </c>
      <c r="L1880" s="3" t="str">
        <f t="shared" si="207"/>
        <v>EXCELENTE</v>
      </c>
      <c r="M1880">
        <v>36</v>
      </c>
      <c r="N1880">
        <v>100</v>
      </c>
      <c r="O1880">
        <v>29.71311475409836</v>
      </c>
    </row>
    <row r="1881" spans="1:15" customFormat="1" hidden="1" x14ac:dyDescent="0.25">
      <c r="A1881" s="11">
        <v>46059</v>
      </c>
      <c r="B1881" t="s">
        <v>50</v>
      </c>
      <c r="C1881" t="s">
        <v>48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27</v>
      </c>
      <c r="K1881" s="3">
        <f>I1881-J1881</f>
        <v>-5</v>
      </c>
      <c r="L1881" s="3" t="str">
        <f t="shared" si="207"/>
        <v>ATENÇÃO</v>
      </c>
      <c r="M1881">
        <v>23</v>
      </c>
      <c r="N1881">
        <v>99.22</v>
      </c>
      <c r="O1881">
        <v>35.256410256410263</v>
      </c>
    </row>
    <row r="1882" spans="1:15" customFormat="1" hidden="1" x14ac:dyDescent="0.25">
      <c r="A1882" s="11">
        <v>46059</v>
      </c>
      <c r="B1882" t="s">
        <v>17</v>
      </c>
      <c r="C1882" t="s">
        <v>16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 t="shared" si="207"/>
        <v>BOM</v>
      </c>
      <c r="M1882">
        <v>0</v>
      </c>
      <c r="N1882">
        <v>0</v>
      </c>
      <c r="O1882">
        <v>0</v>
      </c>
    </row>
    <row r="1883" spans="1:15" customFormat="1" hidden="1" x14ac:dyDescent="0.25">
      <c r="A1883" s="11">
        <v>46059</v>
      </c>
      <c r="B1883" t="s">
        <v>60</v>
      </c>
      <c r="C1883" t="s">
        <v>23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-17</v>
      </c>
      <c r="L1883" s="3" t="str">
        <f t="shared" si="207"/>
        <v>CRÍTICO</v>
      </c>
      <c r="M1883">
        <v>20</v>
      </c>
      <c r="N1883">
        <v>98.75</v>
      </c>
      <c r="O1883">
        <v>24.32432432432433</v>
      </c>
    </row>
    <row r="1884" spans="1:15" customFormat="1" hidden="1" x14ac:dyDescent="0.25">
      <c r="A1884" s="11">
        <v>46059</v>
      </c>
      <c r="B1884" t="s">
        <v>34</v>
      </c>
      <c r="C1884" t="s">
        <v>32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33</v>
      </c>
      <c r="K1884" s="3">
        <f>I1884-J1884</f>
        <v>9</v>
      </c>
      <c r="L1884" s="3" t="str">
        <f t="shared" si="207"/>
        <v>EXCELENTE</v>
      </c>
      <c r="M1884">
        <v>41</v>
      </c>
      <c r="N1884">
        <v>93.48</v>
      </c>
      <c r="O1884">
        <v>31.52804642166344</v>
      </c>
    </row>
    <row r="1885" spans="1:15" customFormat="1" hidden="1" x14ac:dyDescent="0.25">
      <c r="A1885" s="11">
        <v>46059</v>
      </c>
      <c r="B1885" t="s">
        <v>51</v>
      </c>
      <c r="C1885" t="s">
        <v>48</v>
      </c>
      <c r="D1885">
        <v>35</v>
      </c>
      <c r="E1885">
        <v>32</v>
      </c>
      <c r="F1885">
        <v>18.350000000000001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 t="shared" si="207"/>
        <v>BOM</v>
      </c>
      <c r="M1885">
        <v>28</v>
      </c>
      <c r="N1885">
        <v>99.16</v>
      </c>
      <c r="O1885">
        <v>26.13908872901678</v>
      </c>
    </row>
    <row r="1886" spans="1:15" customFormat="1" hidden="1" x14ac:dyDescent="0.25">
      <c r="A1886" s="11">
        <v>46059</v>
      </c>
      <c r="B1886" t="s">
        <v>61</v>
      </c>
      <c r="C1886" t="s">
        <v>23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22</v>
      </c>
      <c r="K1886" s="3">
        <f>I1886-J1886</f>
        <v>-1</v>
      </c>
      <c r="L1886" s="3" t="str">
        <f t="shared" si="207"/>
        <v>ATENÇÃO</v>
      </c>
      <c r="M1886">
        <v>27</v>
      </c>
      <c r="N1886">
        <v>100</v>
      </c>
      <c r="O1886">
        <v>31.089743589743591</v>
      </c>
    </row>
    <row r="1887" spans="1:15" customFormat="1" hidden="1" x14ac:dyDescent="0.25">
      <c r="A1887" s="11">
        <v>46059</v>
      </c>
      <c r="B1887" t="s">
        <v>35</v>
      </c>
      <c r="C1887" t="s">
        <v>32</v>
      </c>
      <c r="D1887">
        <v>38</v>
      </c>
      <c r="E1887">
        <v>38</v>
      </c>
      <c r="F1887">
        <v>19.14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 t="shared" si="207"/>
        <v>BOM</v>
      </c>
      <c r="M1887">
        <v>38</v>
      </c>
      <c r="N1887">
        <v>98.11</v>
      </c>
      <c r="O1887">
        <v>33.033707865168537</v>
      </c>
    </row>
    <row r="1888" spans="1:15" customFormat="1" hidden="1" x14ac:dyDescent="0.25">
      <c r="A1888" s="11">
        <v>46059</v>
      </c>
      <c r="B1888" t="s">
        <v>18</v>
      </c>
      <c r="C1888" t="s">
        <v>16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10</v>
      </c>
      <c r="K1888" s="3">
        <f>I1888-J1888</f>
        <v>33</v>
      </c>
      <c r="L1888" s="3" t="str">
        <f t="shared" si="207"/>
        <v>EXCELENTE</v>
      </c>
      <c r="M1888">
        <v>3</v>
      </c>
      <c r="N1888">
        <v>78.95</v>
      </c>
      <c r="O1888">
        <v>38.983050847457633</v>
      </c>
    </row>
    <row r="1889" spans="1:15" customFormat="1" hidden="1" x14ac:dyDescent="0.25">
      <c r="A1889" s="11">
        <v>46059</v>
      </c>
      <c r="B1889" t="s">
        <v>52</v>
      </c>
      <c r="C1889" t="s">
        <v>48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27</v>
      </c>
      <c r="K1889" s="3">
        <f>I1889-J1889</f>
        <v>4</v>
      </c>
      <c r="L1889" s="3" t="str">
        <f t="shared" si="207"/>
        <v>BOM</v>
      </c>
      <c r="M1889">
        <v>29</v>
      </c>
      <c r="N1889">
        <v>98.45</v>
      </c>
      <c r="O1889">
        <v>29.281767955801101</v>
      </c>
    </row>
    <row r="1890" spans="1:15" customFormat="1" hidden="1" x14ac:dyDescent="0.25">
      <c r="A1890" s="11">
        <v>46059</v>
      </c>
      <c r="B1890" t="s">
        <v>36</v>
      </c>
      <c r="C1890" t="s">
        <v>32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33</v>
      </c>
      <c r="K1890" s="3">
        <f>I1890-J1890</f>
        <v>0</v>
      </c>
      <c r="L1890" s="3" t="str">
        <f t="shared" si="207"/>
        <v>BOM</v>
      </c>
      <c r="M1890">
        <v>33</v>
      </c>
      <c r="N1890">
        <v>97.84</v>
      </c>
      <c r="O1890">
        <v>26.282051282051281</v>
      </c>
    </row>
    <row r="1891" spans="1:15" customFormat="1" hidden="1" x14ac:dyDescent="0.25">
      <c r="A1891" s="11">
        <v>46059</v>
      </c>
      <c r="B1891" t="s">
        <v>53</v>
      </c>
      <c r="C1891" t="s">
        <v>48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27</v>
      </c>
      <c r="K1891" s="3">
        <f>I1891-J1891</f>
        <v>2</v>
      </c>
      <c r="L1891" s="3" t="str">
        <f t="shared" si="207"/>
        <v>BOM</v>
      </c>
      <c r="M1891">
        <v>26</v>
      </c>
      <c r="N1891">
        <v>98.5</v>
      </c>
      <c r="O1891">
        <v>23.97769516728625</v>
      </c>
    </row>
    <row r="1892" spans="1:15" customFormat="1" hidden="1" x14ac:dyDescent="0.25">
      <c r="A1892" s="11">
        <v>46093</v>
      </c>
      <c r="B1892" t="s">
        <v>22</v>
      </c>
      <c r="C1892" t="s">
        <v>23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 t="shared" si="207"/>
        <v>BOM</v>
      </c>
      <c r="M1892">
        <v>14</v>
      </c>
      <c r="N1892">
        <v>99.05</v>
      </c>
      <c r="O1892">
        <v>26.621923937360179</v>
      </c>
    </row>
    <row r="1893" spans="1:15" customFormat="1" hidden="1" x14ac:dyDescent="0.25">
      <c r="A1893" s="11">
        <v>46059</v>
      </c>
      <c r="B1893" t="s">
        <v>54</v>
      </c>
      <c r="C1893" t="s">
        <v>48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-1</v>
      </c>
      <c r="L1893" s="3" t="str">
        <f t="shared" si="207"/>
        <v>ATENÇÃO</v>
      </c>
      <c r="M1893">
        <v>25</v>
      </c>
      <c r="N1893">
        <v>98.53</v>
      </c>
      <c r="O1893">
        <v>31.578947368421051</v>
      </c>
    </row>
    <row r="1894" spans="1:15" customFormat="1" hidden="1" x14ac:dyDescent="0.25">
      <c r="A1894" s="11">
        <v>46059</v>
      </c>
      <c r="B1894" t="s">
        <v>37</v>
      </c>
      <c r="C1894" t="s">
        <v>32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23</v>
      </c>
      <c r="L1894" s="3" t="str">
        <f t="shared" si="207"/>
        <v>EXCELENTE</v>
      </c>
      <c r="M1894">
        <v>54</v>
      </c>
      <c r="N1894">
        <v>100</v>
      </c>
      <c r="O1894">
        <v>25.72214580467676</v>
      </c>
    </row>
    <row r="1895" spans="1:15" customFormat="1" hidden="1" x14ac:dyDescent="0.25">
      <c r="A1895" s="11">
        <v>46059</v>
      </c>
      <c r="B1895" t="s">
        <v>38</v>
      </c>
      <c r="C1895" t="s">
        <v>32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33</v>
      </c>
      <c r="K1895" s="3">
        <f>I1895-J1895</f>
        <v>-4</v>
      </c>
      <c r="L1895" s="3" t="str">
        <f t="shared" si="207"/>
        <v>ATENÇÃO</v>
      </c>
      <c r="M1895">
        <v>27</v>
      </c>
      <c r="N1895">
        <v>94.64</v>
      </c>
      <c r="O1895">
        <v>27.52941176470588</v>
      </c>
    </row>
    <row r="1896" spans="1:15" customFormat="1" hidden="1" x14ac:dyDescent="0.25">
      <c r="A1896" s="11">
        <v>46059</v>
      </c>
      <c r="B1896" t="s">
        <v>55</v>
      </c>
      <c r="C1896" t="s">
        <v>48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27</v>
      </c>
      <c r="K1896" s="3">
        <f>I1896-J1896</f>
        <v>-4</v>
      </c>
      <c r="L1896" s="3" t="str">
        <f t="shared" si="207"/>
        <v>ATENÇÃO</v>
      </c>
      <c r="M1896">
        <v>21</v>
      </c>
      <c r="N1896">
        <v>99.07</v>
      </c>
      <c r="O1896">
        <v>26.376811594202898</v>
      </c>
    </row>
    <row r="1897" spans="1:15" customFormat="1" hidden="1" x14ac:dyDescent="0.25">
      <c r="A1897" s="11">
        <v>46059</v>
      </c>
      <c r="B1897" t="s">
        <v>39</v>
      </c>
      <c r="C1897" t="s">
        <v>32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 t="shared" si="207"/>
        <v>BOM</v>
      </c>
      <c r="M1897">
        <v>0</v>
      </c>
      <c r="N1897">
        <v>100</v>
      </c>
      <c r="O1897">
        <v>0</v>
      </c>
    </row>
    <row r="1898" spans="1:15" customFormat="1" hidden="1" x14ac:dyDescent="0.25">
      <c r="A1898" s="11">
        <v>46059</v>
      </c>
      <c r="B1898" t="s">
        <v>25</v>
      </c>
      <c r="C1898" t="s">
        <v>26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19</v>
      </c>
      <c r="K1898" s="3">
        <f>I1898-J1898</f>
        <v>-4</v>
      </c>
      <c r="L1898" s="3" t="str">
        <f t="shared" si="207"/>
        <v>ATENÇÃO</v>
      </c>
      <c r="M1898">
        <v>15</v>
      </c>
      <c r="N1898">
        <v>98.48</v>
      </c>
      <c r="O1898">
        <v>27.853881278538811</v>
      </c>
    </row>
    <row r="1899" spans="1:15" customFormat="1" hidden="1" x14ac:dyDescent="0.25">
      <c r="A1899" s="11">
        <v>46059</v>
      </c>
      <c r="B1899" t="s">
        <v>40</v>
      </c>
      <c r="C1899" t="s">
        <v>32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33</v>
      </c>
      <c r="K1899" s="3">
        <f>I1899-J1899</f>
        <v>-30</v>
      </c>
      <c r="L1899" s="3" t="str">
        <f t="shared" si="207"/>
        <v>CRÍTICO</v>
      </c>
      <c r="M1899">
        <v>27</v>
      </c>
      <c r="N1899">
        <v>95.15</v>
      </c>
      <c r="O1899">
        <v>34.131736526946113</v>
      </c>
    </row>
    <row r="1900" spans="1:15" customFormat="1" hidden="1" x14ac:dyDescent="0.25">
      <c r="A1900" s="11">
        <v>46059</v>
      </c>
      <c r="B1900" t="s">
        <v>27</v>
      </c>
      <c r="C1900" t="s">
        <v>26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 t="shared" si="207"/>
        <v>BOM</v>
      </c>
      <c r="M1900">
        <v>0</v>
      </c>
      <c r="N1900">
        <v>0</v>
      </c>
      <c r="O1900">
        <v>0</v>
      </c>
    </row>
    <row r="1901" spans="1:15" customFormat="1" hidden="1" x14ac:dyDescent="0.25">
      <c r="A1901" s="11">
        <v>46059</v>
      </c>
      <c r="B1901" t="s">
        <v>41</v>
      </c>
      <c r="C1901" t="s">
        <v>32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-9</v>
      </c>
      <c r="L1901" s="3" t="str">
        <f t="shared" si="207"/>
        <v>CRÍTICO</v>
      </c>
      <c r="M1901">
        <v>22</v>
      </c>
      <c r="N1901">
        <v>99.26</v>
      </c>
      <c r="O1901">
        <v>30.84832904884319</v>
      </c>
    </row>
    <row r="1902" spans="1:15" customFormat="1" hidden="1" x14ac:dyDescent="0.25">
      <c r="A1902" s="11">
        <v>46059</v>
      </c>
      <c r="B1902" t="s">
        <v>56</v>
      </c>
      <c r="C1902" t="s">
        <v>48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27</v>
      </c>
      <c r="K1902" s="3">
        <f>I1902-J1902</f>
        <v>2</v>
      </c>
      <c r="L1902" s="3" t="str">
        <f t="shared" si="207"/>
        <v>BOM</v>
      </c>
      <c r="M1902">
        <v>20</v>
      </c>
      <c r="N1902">
        <v>97.48</v>
      </c>
      <c r="O1902">
        <v>27.764705882352938</v>
      </c>
    </row>
    <row r="1903" spans="1:15" customFormat="1" hidden="1" x14ac:dyDescent="0.25">
      <c r="A1903" s="11">
        <v>46059</v>
      </c>
      <c r="B1903" t="s">
        <v>57</v>
      </c>
      <c r="C1903" t="s">
        <v>48</v>
      </c>
      <c r="D1903">
        <v>41</v>
      </c>
      <c r="E1903">
        <v>38</v>
      </c>
      <c r="F1903">
        <v>15.12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 t="shared" si="207"/>
        <v>BOM</v>
      </c>
      <c r="M1903">
        <v>33</v>
      </c>
      <c r="N1903">
        <v>99.34</v>
      </c>
      <c r="O1903">
        <v>30.04291845493562</v>
      </c>
    </row>
    <row r="1904" spans="1:15" customFormat="1" hidden="1" x14ac:dyDescent="0.25">
      <c r="A1904" s="11">
        <v>46059</v>
      </c>
      <c r="B1904" t="s">
        <v>42</v>
      </c>
      <c r="C1904" t="s">
        <v>32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ref="I1904:I1909" si="208">E1904+G1904+H1904</f>
        <v>27</v>
      </c>
      <c r="J1904" s="3">
        <f t="shared" ref="J1904:J1909" si="209"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 t="shared" ref="K1904:K1909" si="210">I1904-J1904</f>
        <v>-6</v>
      </c>
      <c r="L1904" s="3" t="str">
        <f t="shared" si="207"/>
        <v>CRÍTICO</v>
      </c>
      <c r="M1904">
        <v>19</v>
      </c>
      <c r="N1904">
        <v>96.3</v>
      </c>
      <c r="O1904">
        <v>24.29378531073446</v>
      </c>
    </row>
    <row r="1905" spans="1:15" customFormat="1" hidden="1" x14ac:dyDescent="0.25">
      <c r="A1905" s="11">
        <v>46059</v>
      </c>
      <c r="B1905" t="s">
        <v>62</v>
      </c>
      <c r="C1905" t="s">
        <v>23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208"/>
        <v>32</v>
      </c>
      <c r="J1905" s="3">
        <f t="shared" si="209"/>
        <v>22</v>
      </c>
      <c r="K1905" s="3">
        <f t="shared" si="210"/>
        <v>10</v>
      </c>
      <c r="L1905" s="3" t="str">
        <f t="shared" si="207"/>
        <v>EXCELENTE</v>
      </c>
      <c r="M1905">
        <v>32</v>
      </c>
      <c r="N1905">
        <v>100</v>
      </c>
      <c r="O1905">
        <v>26.543209876543209</v>
      </c>
    </row>
    <row r="1906" spans="1:15" customFormat="1" hidden="1" x14ac:dyDescent="0.25">
      <c r="A1906" s="11">
        <v>46059</v>
      </c>
      <c r="B1906" t="s">
        <v>19</v>
      </c>
      <c r="C1906" t="s">
        <v>16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208"/>
        <v>33</v>
      </c>
      <c r="J1906" s="3">
        <f t="shared" si="209"/>
        <v>10</v>
      </c>
      <c r="K1906" s="3">
        <f t="shared" si="210"/>
        <v>23</v>
      </c>
      <c r="L1906" s="3" t="str">
        <f t="shared" si="207"/>
        <v>EXCELENTE</v>
      </c>
      <c r="M1906">
        <v>0</v>
      </c>
      <c r="N1906">
        <v>100</v>
      </c>
      <c r="O1906">
        <v>35.483870967741943</v>
      </c>
    </row>
    <row r="1907" spans="1:15" customFormat="1" hidden="1" x14ac:dyDescent="0.25">
      <c r="A1907" s="11">
        <v>46059</v>
      </c>
      <c r="B1907" t="s">
        <v>43</v>
      </c>
      <c r="C1907" t="s">
        <v>32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208"/>
        <v>40</v>
      </c>
      <c r="J1907" s="3">
        <f t="shared" si="209"/>
        <v>33</v>
      </c>
      <c r="K1907" s="3">
        <f t="shared" si="210"/>
        <v>7</v>
      </c>
      <c r="L1907" s="3" t="str">
        <f t="shared" si="207"/>
        <v>EXCELENTE</v>
      </c>
      <c r="M1907">
        <v>38</v>
      </c>
      <c r="N1907">
        <v>99.27</v>
      </c>
      <c r="O1907">
        <v>31.163708086785011</v>
      </c>
    </row>
    <row r="1908" spans="1:15" customFormat="1" hidden="1" x14ac:dyDescent="0.25">
      <c r="A1908" s="11">
        <v>46059</v>
      </c>
      <c r="B1908" t="s">
        <v>44</v>
      </c>
      <c r="C1908" t="s">
        <v>32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208"/>
        <v>25</v>
      </c>
      <c r="J1908" s="3">
        <f t="shared" si="209"/>
        <v>33</v>
      </c>
      <c r="K1908" s="3">
        <f t="shared" si="210"/>
        <v>-8</v>
      </c>
      <c r="L1908" s="3" t="str">
        <f t="shared" si="207"/>
        <v>CRÍTICO</v>
      </c>
      <c r="M1908">
        <v>22</v>
      </c>
      <c r="N1908">
        <v>94.16</v>
      </c>
      <c r="O1908">
        <v>27.038626609442058</v>
      </c>
    </row>
    <row r="1909" spans="1:15" customFormat="1" hidden="1" x14ac:dyDescent="0.25">
      <c r="A1909" s="11">
        <v>46059</v>
      </c>
      <c r="B1909" t="s">
        <v>20</v>
      </c>
      <c r="C1909" t="s">
        <v>16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208"/>
        <v>11</v>
      </c>
      <c r="J1909" s="3">
        <f t="shared" si="209"/>
        <v>10</v>
      </c>
      <c r="K1909" s="3">
        <f t="shared" si="210"/>
        <v>1</v>
      </c>
      <c r="L1909" s="3" t="str">
        <f t="shared" si="207"/>
        <v>BOM</v>
      </c>
      <c r="M1909">
        <v>5</v>
      </c>
      <c r="N1909">
        <v>93.75</v>
      </c>
      <c r="O1909">
        <v>19.31818181818182</v>
      </c>
    </row>
    <row r="1910" spans="1:15" customFormat="1" hidden="1" x14ac:dyDescent="0.25">
      <c r="A1910" s="11">
        <v>46059</v>
      </c>
      <c r="B1910" t="s">
        <v>28</v>
      </c>
      <c r="C1910" t="s">
        <v>26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207"/>
        <v>BOM</v>
      </c>
      <c r="M1910">
        <v>0</v>
      </c>
      <c r="N1910">
        <v>0</v>
      </c>
      <c r="O1910">
        <v>0</v>
      </c>
    </row>
    <row r="1911" spans="1:15" customFormat="1" hidden="1" x14ac:dyDescent="0.25">
      <c r="A1911" s="11">
        <v>46059</v>
      </c>
      <c r="B1911" t="s">
        <v>58</v>
      </c>
      <c r="C1911" t="s">
        <v>48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207"/>
        <v>BOM</v>
      </c>
      <c r="M1911">
        <v>0</v>
      </c>
      <c r="N1911">
        <v>97.92</v>
      </c>
      <c r="O1911">
        <v>32.87671232876712</v>
      </c>
    </row>
    <row r="1912" spans="1:15" customFormat="1" hidden="1" x14ac:dyDescent="0.25">
      <c r="A1912" s="11">
        <v>46059</v>
      </c>
      <c r="B1912" t="s">
        <v>29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207"/>
        <v>BOM</v>
      </c>
      <c r="M1912">
        <v>0</v>
      </c>
      <c r="N1912">
        <v>0</v>
      </c>
      <c r="O1912">
        <v>0</v>
      </c>
    </row>
    <row r="1913" spans="1:15" customFormat="1" hidden="1" x14ac:dyDescent="0.25">
      <c r="A1913" s="11">
        <v>46059</v>
      </c>
      <c r="B1913" t="s">
        <v>30</v>
      </c>
      <c r="C1913" t="s">
        <v>26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207"/>
        <v>BOM</v>
      </c>
      <c r="M1913">
        <v>0</v>
      </c>
      <c r="N1913">
        <v>0</v>
      </c>
      <c r="O1913">
        <v>0</v>
      </c>
    </row>
    <row r="1914" spans="1:15" customFormat="1" hidden="1" x14ac:dyDescent="0.25">
      <c r="A1914" s="11">
        <v>46059</v>
      </c>
      <c r="B1914" t="s">
        <v>21</v>
      </c>
      <c r="C1914" t="s">
        <v>16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 t="shared" si="207"/>
        <v>BOM</v>
      </c>
      <c r="M1914">
        <v>0</v>
      </c>
      <c r="N1914">
        <v>0</v>
      </c>
      <c r="O1914">
        <v>0</v>
      </c>
    </row>
    <row r="1915" spans="1:15" customFormat="1" hidden="1" x14ac:dyDescent="0.25">
      <c r="A1915" s="11">
        <v>46059</v>
      </c>
      <c r="B1915" t="s">
        <v>63</v>
      </c>
      <c r="C1915" t="s">
        <v>23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22</v>
      </c>
      <c r="K1915" s="3">
        <f>I1915-J1915</f>
        <v>-9</v>
      </c>
      <c r="L1915" s="3" t="str">
        <f t="shared" si="207"/>
        <v>CRÍTICO</v>
      </c>
      <c r="M1915">
        <v>12</v>
      </c>
      <c r="N1915">
        <v>98.51</v>
      </c>
      <c r="O1915">
        <v>29.710144927536231</v>
      </c>
    </row>
    <row r="1916" spans="1:15" customFormat="1" hidden="1" x14ac:dyDescent="0.25">
      <c r="A1916" s="11">
        <v>46059</v>
      </c>
      <c r="B1916" t="s">
        <v>45</v>
      </c>
      <c r="C1916" t="s">
        <v>32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33</v>
      </c>
      <c r="K1916" s="3">
        <f>I1916-J1916</f>
        <v>-6</v>
      </c>
      <c r="L1916" s="3" t="str">
        <f t="shared" si="207"/>
        <v>CRÍTICO</v>
      </c>
      <c r="M1916">
        <v>21</v>
      </c>
      <c r="N1916">
        <v>98.81</v>
      </c>
      <c r="O1916">
        <v>30.712979890310791</v>
      </c>
    </row>
    <row r="1917" spans="1:15" customFormat="1" hidden="1" x14ac:dyDescent="0.25">
      <c r="A1917" s="11">
        <v>46059</v>
      </c>
      <c r="B1917" t="s">
        <v>64</v>
      </c>
      <c r="C1917" t="s">
        <v>23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22</v>
      </c>
      <c r="K1917" s="3">
        <f>I1917-J1917</f>
        <v>-5</v>
      </c>
      <c r="L1917" s="3" t="str">
        <f t="shared" si="207"/>
        <v>ATENÇÃO</v>
      </c>
      <c r="M1917">
        <v>15</v>
      </c>
      <c r="N1917">
        <v>98.48</v>
      </c>
      <c r="O1917">
        <v>29.35323383084577</v>
      </c>
    </row>
    <row r="1918" spans="1:15" customFormat="1" hidden="1" x14ac:dyDescent="0.25">
      <c r="A1918" s="11">
        <v>46059</v>
      </c>
      <c r="B1918" t="s">
        <v>46</v>
      </c>
      <c r="C1918" t="s">
        <v>32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33</v>
      </c>
      <c r="K1918" s="3">
        <f>I1918-J1918</f>
        <v>7</v>
      </c>
      <c r="L1918" s="3" t="str">
        <f t="shared" si="207"/>
        <v>EXCELENTE</v>
      </c>
      <c r="M1918">
        <v>37</v>
      </c>
      <c r="N1918">
        <v>98.56</v>
      </c>
      <c r="O1918">
        <v>29.373650107991359</v>
      </c>
    </row>
    <row r="1919" spans="1:15" customFormat="1" hidden="1" x14ac:dyDescent="0.25">
      <c r="A1919" s="11">
        <v>46062</v>
      </c>
      <c r="B1919" t="s">
        <v>47</v>
      </c>
      <c r="C1919" t="s">
        <v>48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22</v>
      </c>
      <c r="K1919" s="3">
        <f>I1919-J1919</f>
        <v>6</v>
      </c>
      <c r="L1919" s="3" t="str">
        <f t="shared" si="207"/>
        <v>EXCELENTE</v>
      </c>
      <c r="M1919">
        <v>26</v>
      </c>
      <c r="N1919">
        <v>98.32</v>
      </c>
      <c r="O1919">
        <v>30.303030303030301</v>
      </c>
    </row>
    <row r="1920" spans="1:15" customFormat="1" hidden="1" x14ac:dyDescent="0.25">
      <c r="A1920" s="11">
        <v>46062</v>
      </c>
      <c r="B1920" t="s">
        <v>31</v>
      </c>
      <c r="C1920" t="s">
        <v>32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 t="shared" si="207"/>
        <v>BOM</v>
      </c>
      <c r="M1920">
        <v>29</v>
      </c>
      <c r="N1920">
        <v>98.68</v>
      </c>
      <c r="O1920">
        <v>26.219512195121951</v>
      </c>
    </row>
    <row r="1921" spans="1:15" customFormat="1" hidden="1" x14ac:dyDescent="0.25">
      <c r="A1921" s="11">
        <v>46062</v>
      </c>
      <c r="B1921" t="s">
        <v>59</v>
      </c>
      <c r="C1921" t="s">
        <v>23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18</v>
      </c>
      <c r="K1921" s="3">
        <f>I1921-J1921</f>
        <v>11</v>
      </c>
      <c r="L1921" s="3" t="str">
        <f t="shared" si="207"/>
        <v>EXCELENTE</v>
      </c>
      <c r="M1921">
        <v>30</v>
      </c>
      <c r="N1921">
        <v>100</v>
      </c>
      <c r="O1921">
        <v>31.74224343675418</v>
      </c>
    </row>
    <row r="1922" spans="1:15" customFormat="1" hidden="1" x14ac:dyDescent="0.25">
      <c r="A1922" s="11">
        <v>46062</v>
      </c>
      <c r="B1922" t="s">
        <v>33</v>
      </c>
      <c r="C1922" t="s">
        <v>32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27</v>
      </c>
      <c r="K1922" s="3">
        <f>I1922-J1922</f>
        <v>-4</v>
      </c>
      <c r="L1922" s="3" t="str">
        <f t="shared" si="207"/>
        <v>ATENÇÃO</v>
      </c>
      <c r="M1922">
        <v>24</v>
      </c>
      <c r="N1922">
        <v>98.25</v>
      </c>
      <c r="O1922">
        <v>25.83518930957684</v>
      </c>
    </row>
    <row r="1923" spans="1:15" customFormat="1" hidden="1" x14ac:dyDescent="0.25">
      <c r="A1923" s="11">
        <v>46062</v>
      </c>
      <c r="B1923" t="s">
        <v>15</v>
      </c>
      <c r="C1923" t="s">
        <v>16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 t="shared" si="207"/>
        <v>BOM</v>
      </c>
      <c r="M1923">
        <v>5</v>
      </c>
      <c r="N1923">
        <v>97.5</v>
      </c>
      <c r="O1923">
        <v>30.075187969924809</v>
      </c>
    </row>
    <row r="1924" spans="1:15" customFormat="1" hidden="1" x14ac:dyDescent="0.25">
      <c r="A1924" s="11">
        <v>46062</v>
      </c>
      <c r="B1924" t="s">
        <v>49</v>
      </c>
      <c r="C1924" t="s">
        <v>48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2</v>
      </c>
      <c r="L1924" s="3" t="str">
        <f t="shared" si="207"/>
        <v>BOM</v>
      </c>
      <c r="M1924">
        <v>26</v>
      </c>
      <c r="N1924">
        <v>100</v>
      </c>
      <c r="O1924">
        <v>29.71311475409836</v>
      </c>
    </row>
    <row r="1925" spans="1:15" customFormat="1" hidden="1" x14ac:dyDescent="0.25">
      <c r="A1925" s="11">
        <v>46062</v>
      </c>
      <c r="B1925" t="s">
        <v>50</v>
      </c>
      <c r="C1925" t="s">
        <v>48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22</v>
      </c>
      <c r="K1925" s="3">
        <f>I1925-J1925</f>
        <v>-1</v>
      </c>
      <c r="L1925" s="3" t="str">
        <f t="shared" si="207"/>
        <v>ATENÇÃO</v>
      </c>
      <c r="M1925">
        <v>22</v>
      </c>
      <c r="N1925">
        <v>99.22</v>
      </c>
      <c r="O1925">
        <v>35.256410256410263</v>
      </c>
    </row>
    <row r="1926" spans="1:15" customFormat="1" hidden="1" x14ac:dyDescent="0.25">
      <c r="A1926" s="11">
        <v>46062</v>
      </c>
      <c r="B1926" t="s">
        <v>17</v>
      </c>
      <c r="C1926" t="s">
        <v>16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 t="shared" si="207"/>
        <v>BOM</v>
      </c>
      <c r="M1926">
        <v>0</v>
      </c>
      <c r="N1926">
        <v>0</v>
      </c>
      <c r="O1926">
        <v>0</v>
      </c>
    </row>
    <row r="1927" spans="1:15" customFormat="1" hidden="1" x14ac:dyDescent="0.25">
      <c r="A1927" s="11">
        <v>46062</v>
      </c>
      <c r="B1927" t="s">
        <v>60</v>
      </c>
      <c r="C1927" t="s">
        <v>23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-1</v>
      </c>
      <c r="L1927" s="3" t="str">
        <f t="shared" ref="L1927:L1990" si="211">IF(K1927&lt;-5,"CRÍTICO",IF(K1927&lt;0,"ATENÇÃO",IF(K1927&lt;=5,"BOM","EXCELENTE")))</f>
        <v>ATENÇÃO</v>
      </c>
      <c r="M1927">
        <v>19</v>
      </c>
      <c r="N1927">
        <v>98.75</v>
      </c>
      <c r="O1927">
        <v>24.32432432432433</v>
      </c>
    </row>
    <row r="1928" spans="1:15" customFormat="1" hidden="1" x14ac:dyDescent="0.25">
      <c r="A1928" s="11">
        <v>46062</v>
      </c>
      <c r="B1928" t="s">
        <v>34</v>
      </c>
      <c r="C1928" t="s">
        <v>32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27</v>
      </c>
      <c r="K1928" s="3">
        <f>I1928-J1928</f>
        <v>10</v>
      </c>
      <c r="L1928" s="3" t="str">
        <f t="shared" si="211"/>
        <v>EXCELENTE</v>
      </c>
      <c r="M1928">
        <v>35</v>
      </c>
      <c r="N1928">
        <v>93.48</v>
      </c>
      <c r="O1928">
        <v>31.52804642166344</v>
      </c>
    </row>
    <row r="1929" spans="1:15" customFormat="1" hidden="1" x14ac:dyDescent="0.25">
      <c r="A1929" s="11">
        <v>46062</v>
      </c>
      <c r="B1929" t="s">
        <v>51</v>
      </c>
      <c r="C1929" t="s">
        <v>48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 t="shared" si="211"/>
        <v>BOM</v>
      </c>
      <c r="M1929">
        <v>1</v>
      </c>
      <c r="N1929">
        <v>99.16</v>
      </c>
      <c r="O1929">
        <v>26.13908872901678</v>
      </c>
    </row>
    <row r="1930" spans="1:15" customFormat="1" hidden="1" x14ac:dyDescent="0.25">
      <c r="A1930" s="11">
        <v>46062</v>
      </c>
      <c r="B1930" t="s">
        <v>61</v>
      </c>
      <c r="C1930" t="s">
        <v>23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18</v>
      </c>
      <c r="K1930" s="3">
        <f>I1930-J1930</f>
        <v>0</v>
      </c>
      <c r="L1930" s="3" t="str">
        <f t="shared" si="211"/>
        <v>BOM</v>
      </c>
      <c r="M1930">
        <v>25</v>
      </c>
      <c r="N1930">
        <v>100</v>
      </c>
      <c r="O1930">
        <v>31.089743589743591</v>
      </c>
    </row>
    <row r="1931" spans="1:15" customFormat="1" hidden="1" x14ac:dyDescent="0.25">
      <c r="A1931" s="11">
        <v>46062</v>
      </c>
      <c r="B1931" t="s">
        <v>35</v>
      </c>
      <c r="C1931" t="s">
        <v>32</v>
      </c>
      <c r="D1931">
        <v>26</v>
      </c>
      <c r="E1931">
        <v>25</v>
      </c>
      <c r="F1931">
        <v>28.5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 t="shared" si="211"/>
        <v>BOM</v>
      </c>
      <c r="M1931">
        <v>24</v>
      </c>
      <c r="N1931">
        <v>98.11</v>
      </c>
      <c r="O1931">
        <v>33.033707865168537</v>
      </c>
    </row>
    <row r="1932" spans="1:15" customFormat="1" hidden="1" x14ac:dyDescent="0.25">
      <c r="A1932" s="11">
        <v>46062</v>
      </c>
      <c r="B1932" t="s">
        <v>18</v>
      </c>
      <c r="C1932" t="s">
        <v>16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ref="I1932:I1940" si="212">E1932+G1932+H1932</f>
        <v>13</v>
      </c>
      <c r="J1932" s="3">
        <f t="shared" ref="J1932:J1940" si="213"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 t="shared" ref="K1932:K1940" si="214">I1932-J1932</f>
        <v>5</v>
      </c>
      <c r="L1932" s="3" t="str">
        <f t="shared" si="211"/>
        <v>BOM</v>
      </c>
      <c r="M1932">
        <v>3</v>
      </c>
      <c r="N1932">
        <v>78.95</v>
      </c>
      <c r="O1932">
        <v>38.983050847457633</v>
      </c>
    </row>
    <row r="1933" spans="1:15" customFormat="1" hidden="1" x14ac:dyDescent="0.25">
      <c r="A1933" s="11">
        <v>46062</v>
      </c>
      <c r="B1933" t="s">
        <v>52</v>
      </c>
      <c r="C1933" t="s">
        <v>48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212"/>
        <v>33</v>
      </c>
      <c r="J1933" s="3">
        <f t="shared" si="213"/>
        <v>22</v>
      </c>
      <c r="K1933" s="3">
        <f t="shared" si="214"/>
        <v>11</v>
      </c>
      <c r="L1933" s="3" t="str">
        <f t="shared" si="211"/>
        <v>EXCELENTE</v>
      </c>
      <c r="M1933">
        <v>29</v>
      </c>
      <c r="N1933">
        <v>98.45</v>
      </c>
      <c r="O1933">
        <v>29.281767955801101</v>
      </c>
    </row>
    <row r="1934" spans="1:15" customFormat="1" hidden="1" x14ac:dyDescent="0.25">
      <c r="A1934" s="11">
        <v>46062</v>
      </c>
      <c r="B1934" t="s">
        <v>36</v>
      </c>
      <c r="C1934" t="s">
        <v>32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212"/>
        <v>27</v>
      </c>
      <c r="J1934" s="3">
        <f t="shared" si="213"/>
        <v>27</v>
      </c>
      <c r="K1934" s="3">
        <f t="shared" si="214"/>
        <v>0</v>
      </c>
      <c r="L1934" s="3" t="str">
        <f t="shared" si="211"/>
        <v>BOM</v>
      </c>
      <c r="M1934">
        <v>28</v>
      </c>
      <c r="N1934">
        <v>97.84</v>
      </c>
      <c r="O1934">
        <v>26.282051282051281</v>
      </c>
    </row>
    <row r="1935" spans="1:15" customFormat="1" hidden="1" x14ac:dyDescent="0.25">
      <c r="A1935" s="11">
        <v>46062</v>
      </c>
      <c r="B1935" t="s">
        <v>53</v>
      </c>
      <c r="C1935" t="s">
        <v>48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212"/>
        <v>46</v>
      </c>
      <c r="J1935" s="3">
        <f t="shared" si="213"/>
        <v>22</v>
      </c>
      <c r="K1935" s="3">
        <f t="shared" si="214"/>
        <v>24</v>
      </c>
      <c r="L1935" s="3" t="str">
        <f t="shared" si="211"/>
        <v>EXCELENTE</v>
      </c>
      <c r="M1935">
        <v>40</v>
      </c>
      <c r="N1935">
        <v>98.5</v>
      </c>
      <c r="O1935">
        <v>23.97769516728625</v>
      </c>
    </row>
    <row r="1936" spans="1:15" customFormat="1" hidden="1" x14ac:dyDescent="0.25">
      <c r="A1936" s="11">
        <v>46094</v>
      </c>
      <c r="B1936" t="s">
        <v>22</v>
      </c>
      <c r="C1936" t="s">
        <v>23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212"/>
        <v>9</v>
      </c>
      <c r="J1936" s="3">
        <f t="shared" si="213"/>
        <v>13</v>
      </c>
      <c r="K1936" s="3">
        <f t="shared" si="214"/>
        <v>-4</v>
      </c>
      <c r="L1936" s="3" t="str">
        <f t="shared" si="211"/>
        <v>ATENÇÃO</v>
      </c>
      <c r="M1936">
        <v>11</v>
      </c>
      <c r="N1936">
        <v>99.05</v>
      </c>
      <c r="O1936">
        <v>26.621923937360179</v>
      </c>
    </row>
    <row r="1937" spans="1:15" customFormat="1" hidden="1" x14ac:dyDescent="0.25">
      <c r="A1937" s="11">
        <v>46062</v>
      </c>
      <c r="B1937" t="s">
        <v>54</v>
      </c>
      <c r="C1937" t="s">
        <v>48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212"/>
        <v>19</v>
      </c>
      <c r="J1937" s="3">
        <f t="shared" si="213"/>
        <v>22</v>
      </c>
      <c r="K1937" s="3">
        <f t="shared" si="214"/>
        <v>-3</v>
      </c>
      <c r="L1937" s="3" t="str">
        <f t="shared" si="211"/>
        <v>ATENÇÃO</v>
      </c>
      <c r="M1937">
        <v>15</v>
      </c>
      <c r="N1937">
        <v>98.53</v>
      </c>
      <c r="O1937">
        <v>31.578947368421051</v>
      </c>
    </row>
    <row r="1938" spans="1:15" customFormat="1" hidden="1" x14ac:dyDescent="0.25">
      <c r="A1938" s="11">
        <v>46062</v>
      </c>
      <c r="B1938" t="s">
        <v>37</v>
      </c>
      <c r="C1938" t="s">
        <v>32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212"/>
        <v>40</v>
      </c>
      <c r="J1938" s="3">
        <f t="shared" si="213"/>
        <v>27</v>
      </c>
      <c r="K1938" s="3">
        <f t="shared" si="214"/>
        <v>13</v>
      </c>
      <c r="L1938" s="3" t="str">
        <f t="shared" si="211"/>
        <v>EXCELENTE</v>
      </c>
      <c r="M1938">
        <v>39</v>
      </c>
      <c r="N1938">
        <v>100</v>
      </c>
      <c r="O1938">
        <v>25.72214580467676</v>
      </c>
    </row>
    <row r="1939" spans="1:15" customFormat="1" hidden="1" x14ac:dyDescent="0.25">
      <c r="A1939" s="11">
        <v>46062</v>
      </c>
      <c r="B1939" t="s">
        <v>38</v>
      </c>
      <c r="C1939" t="s">
        <v>32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212"/>
        <v>20</v>
      </c>
      <c r="J1939" s="3">
        <f t="shared" si="213"/>
        <v>27</v>
      </c>
      <c r="K1939" s="3">
        <f t="shared" si="214"/>
        <v>-7</v>
      </c>
      <c r="L1939" s="3" t="str">
        <f t="shared" si="211"/>
        <v>CRÍTICO</v>
      </c>
      <c r="M1939">
        <v>18</v>
      </c>
      <c r="N1939">
        <v>94.64</v>
      </c>
      <c r="O1939">
        <v>27.52941176470588</v>
      </c>
    </row>
    <row r="1940" spans="1:15" customFormat="1" hidden="1" x14ac:dyDescent="0.25">
      <c r="A1940" s="11">
        <v>46062</v>
      </c>
      <c r="B1940" t="s">
        <v>55</v>
      </c>
      <c r="C1940" t="s">
        <v>48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212"/>
        <v>22</v>
      </c>
      <c r="J1940" s="3">
        <f t="shared" si="213"/>
        <v>22</v>
      </c>
      <c r="K1940" s="3">
        <f t="shared" si="214"/>
        <v>0</v>
      </c>
      <c r="L1940" s="3" t="str">
        <f t="shared" si="211"/>
        <v>BOM</v>
      </c>
      <c r="M1940">
        <v>20</v>
      </c>
      <c r="N1940">
        <v>99.07</v>
      </c>
      <c r="O1940">
        <v>26.376811594202898</v>
      </c>
    </row>
    <row r="1941" spans="1:15" customFormat="1" hidden="1" x14ac:dyDescent="0.25">
      <c r="A1941" s="11">
        <v>46062</v>
      </c>
      <c r="B1941" t="s">
        <v>39</v>
      </c>
      <c r="C1941" t="s">
        <v>32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 t="shared" si="211"/>
        <v>BOM</v>
      </c>
      <c r="M1941">
        <v>0</v>
      </c>
      <c r="N1941">
        <v>100</v>
      </c>
      <c r="O1941">
        <v>0</v>
      </c>
    </row>
    <row r="1942" spans="1:15" customFormat="1" hidden="1" x14ac:dyDescent="0.25">
      <c r="A1942" s="11">
        <v>46062</v>
      </c>
      <c r="B1942" t="s">
        <v>25</v>
      </c>
      <c r="C1942" t="s">
        <v>26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16</v>
      </c>
      <c r="K1942" s="3">
        <f>I1942-J1942</f>
        <v>-10</v>
      </c>
      <c r="L1942" s="3" t="str">
        <f t="shared" si="211"/>
        <v>CRÍTICO</v>
      </c>
      <c r="M1942">
        <v>7</v>
      </c>
      <c r="N1942">
        <v>98.48</v>
      </c>
      <c r="O1942">
        <v>27.853881278538811</v>
      </c>
    </row>
    <row r="1943" spans="1:15" customFormat="1" hidden="1" x14ac:dyDescent="0.25">
      <c r="A1943" s="11">
        <v>46062</v>
      </c>
      <c r="B1943" t="s">
        <v>40</v>
      </c>
      <c r="C1943" t="s">
        <v>32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27</v>
      </c>
      <c r="K1943" s="3">
        <f>I1943-J1943</f>
        <v>-11</v>
      </c>
      <c r="L1943" s="3" t="str">
        <f t="shared" si="211"/>
        <v>CRÍTICO</v>
      </c>
      <c r="M1943">
        <v>5</v>
      </c>
      <c r="N1943">
        <v>95.15</v>
      </c>
      <c r="O1943">
        <v>34.131736526946113</v>
      </c>
    </row>
    <row r="1944" spans="1:15" customFormat="1" hidden="1" x14ac:dyDescent="0.25">
      <c r="A1944" s="11">
        <v>46062</v>
      </c>
      <c r="B1944" t="s">
        <v>27</v>
      </c>
      <c r="C1944" t="s">
        <v>26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 t="shared" si="211"/>
        <v>BOM</v>
      </c>
      <c r="M1944">
        <v>0</v>
      </c>
      <c r="N1944">
        <v>0</v>
      </c>
      <c r="O1944">
        <v>0</v>
      </c>
    </row>
    <row r="1945" spans="1:15" customFormat="1" hidden="1" x14ac:dyDescent="0.25">
      <c r="A1945" s="11">
        <v>46062</v>
      </c>
      <c r="B1945" t="s">
        <v>41</v>
      </c>
      <c r="C1945" t="s">
        <v>32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-11</v>
      </c>
      <c r="L1945" s="3" t="str">
        <f t="shared" si="211"/>
        <v>CRÍTICO</v>
      </c>
      <c r="M1945">
        <v>14</v>
      </c>
      <c r="N1945">
        <v>99.26</v>
      </c>
      <c r="O1945">
        <v>30.84832904884319</v>
      </c>
    </row>
    <row r="1946" spans="1:15" customFormat="1" hidden="1" x14ac:dyDescent="0.25">
      <c r="A1946" s="11">
        <v>46062</v>
      </c>
      <c r="B1946" t="s">
        <v>56</v>
      </c>
      <c r="C1946" t="s">
        <v>48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22</v>
      </c>
      <c r="K1946" s="3">
        <f>I1946-J1946</f>
        <v>4</v>
      </c>
      <c r="L1946" s="3" t="str">
        <f t="shared" si="211"/>
        <v>BOM</v>
      </c>
      <c r="M1946">
        <v>9</v>
      </c>
      <c r="N1946">
        <v>97.48</v>
      </c>
      <c r="O1946">
        <v>27.764705882352938</v>
      </c>
    </row>
    <row r="1947" spans="1:15" customFormat="1" hidden="1" x14ac:dyDescent="0.25">
      <c r="A1947" s="11">
        <v>46062</v>
      </c>
      <c r="B1947" t="s">
        <v>57</v>
      </c>
      <c r="C1947" t="s">
        <v>48</v>
      </c>
      <c r="D1947">
        <v>37</v>
      </c>
      <c r="E1947">
        <v>34</v>
      </c>
      <c r="F1947">
        <v>18.41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 t="shared" si="211"/>
        <v>BOM</v>
      </c>
      <c r="M1947">
        <v>29</v>
      </c>
      <c r="N1947">
        <v>99.34</v>
      </c>
      <c r="O1947">
        <v>30.04291845493562</v>
      </c>
    </row>
    <row r="1948" spans="1:15" customFormat="1" hidden="1" x14ac:dyDescent="0.25">
      <c r="A1948" s="11">
        <v>46062</v>
      </c>
      <c r="B1948" t="s">
        <v>42</v>
      </c>
      <c r="C1948" t="s">
        <v>32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8</v>
      </c>
      <c r="L1948" s="3" t="str">
        <f t="shared" si="211"/>
        <v>EXCELENTE</v>
      </c>
      <c r="M1948">
        <v>18</v>
      </c>
      <c r="N1948">
        <v>96.3</v>
      </c>
      <c r="O1948">
        <v>24.29378531073446</v>
      </c>
    </row>
    <row r="1949" spans="1:15" customFormat="1" hidden="1" x14ac:dyDescent="0.25">
      <c r="A1949" s="11">
        <v>46062</v>
      </c>
      <c r="B1949" t="s">
        <v>62</v>
      </c>
      <c r="C1949" t="s">
        <v>23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18</v>
      </c>
      <c r="K1949" s="3">
        <f>I1949-J1949</f>
        <v>1</v>
      </c>
      <c r="L1949" s="3" t="str">
        <f t="shared" si="211"/>
        <v>BOM</v>
      </c>
      <c r="M1949">
        <v>20</v>
      </c>
      <c r="N1949">
        <v>100</v>
      </c>
      <c r="O1949">
        <v>26.543209876543209</v>
      </c>
    </row>
    <row r="1950" spans="1:15" customFormat="1" hidden="1" x14ac:dyDescent="0.25">
      <c r="A1950" s="11">
        <v>46062</v>
      </c>
      <c r="B1950" t="s">
        <v>19</v>
      </c>
      <c r="C1950" t="s">
        <v>16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 t="shared" si="211"/>
        <v>BOM</v>
      </c>
      <c r="M1950">
        <v>0</v>
      </c>
      <c r="N1950">
        <v>100</v>
      </c>
      <c r="O1950">
        <v>35.483870967741943</v>
      </c>
    </row>
    <row r="1951" spans="1:15" customFormat="1" hidden="1" x14ac:dyDescent="0.25">
      <c r="A1951" s="11">
        <v>46062</v>
      </c>
      <c r="B1951" t="s">
        <v>43</v>
      </c>
      <c r="C1951" t="s">
        <v>32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-3</v>
      </c>
      <c r="L1951" s="3" t="str">
        <f t="shared" si="211"/>
        <v>ATENÇÃO</v>
      </c>
      <c r="M1951">
        <v>26</v>
      </c>
      <c r="N1951">
        <v>99.27</v>
      </c>
      <c r="O1951">
        <v>31.163708086785011</v>
      </c>
    </row>
    <row r="1952" spans="1:15" customFormat="1" hidden="1" x14ac:dyDescent="0.25">
      <c r="A1952" s="11">
        <v>46062</v>
      </c>
      <c r="B1952" t="s">
        <v>44</v>
      </c>
      <c r="C1952" t="s">
        <v>32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27</v>
      </c>
      <c r="K1952" s="3">
        <f>I1952-J1952</f>
        <v>-2</v>
      </c>
      <c r="L1952" s="3" t="str">
        <f t="shared" si="211"/>
        <v>ATENÇÃO</v>
      </c>
      <c r="M1952">
        <v>20</v>
      </c>
      <c r="N1952">
        <v>94.16</v>
      </c>
      <c r="O1952">
        <v>27.038626609442058</v>
      </c>
    </row>
    <row r="1953" spans="1:15" customFormat="1" hidden="1" x14ac:dyDescent="0.25">
      <c r="A1953" s="11">
        <v>46062</v>
      </c>
      <c r="B1953" t="s">
        <v>20</v>
      </c>
      <c r="C1953" t="s">
        <v>16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 t="shared" si="211"/>
        <v>BOM</v>
      </c>
      <c r="M1953">
        <v>6</v>
      </c>
      <c r="N1953">
        <v>93.75</v>
      </c>
      <c r="O1953">
        <v>19.31818181818182</v>
      </c>
    </row>
    <row r="1954" spans="1:15" customFormat="1" hidden="1" x14ac:dyDescent="0.25">
      <c r="A1954" s="11">
        <v>46062</v>
      </c>
      <c r="B1954" t="s">
        <v>28</v>
      </c>
      <c r="C1954" t="s">
        <v>26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11"/>
        <v>BOM</v>
      </c>
      <c r="M1954">
        <v>0</v>
      </c>
      <c r="N1954">
        <v>0</v>
      </c>
      <c r="O1954">
        <v>0</v>
      </c>
    </row>
    <row r="1955" spans="1:15" customFormat="1" hidden="1" x14ac:dyDescent="0.25">
      <c r="A1955" s="11">
        <v>46062</v>
      </c>
      <c r="B1955" t="s">
        <v>58</v>
      </c>
      <c r="C1955" t="s">
        <v>48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11"/>
        <v>BOM</v>
      </c>
      <c r="M1955">
        <v>0</v>
      </c>
      <c r="N1955">
        <v>97.92</v>
      </c>
      <c r="O1955">
        <v>32.87671232876712</v>
      </c>
    </row>
    <row r="1956" spans="1:15" customFormat="1" hidden="1" x14ac:dyDescent="0.25">
      <c r="A1956" s="11">
        <v>46062</v>
      </c>
      <c r="B1956" t="s">
        <v>29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11"/>
        <v>BOM</v>
      </c>
      <c r="M1956">
        <v>0</v>
      </c>
      <c r="N1956">
        <v>0</v>
      </c>
      <c r="O1956">
        <v>0</v>
      </c>
    </row>
    <row r="1957" spans="1:15" customFormat="1" hidden="1" x14ac:dyDescent="0.25">
      <c r="A1957" s="11">
        <v>46062</v>
      </c>
      <c r="B1957" t="s">
        <v>30</v>
      </c>
      <c r="C1957" t="s">
        <v>26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11"/>
        <v>BOM</v>
      </c>
      <c r="M1957">
        <v>0</v>
      </c>
      <c r="N1957">
        <v>0</v>
      </c>
      <c r="O1957">
        <v>0</v>
      </c>
    </row>
    <row r="1958" spans="1:15" customFormat="1" hidden="1" x14ac:dyDescent="0.25">
      <c r="A1958" s="11">
        <v>46062</v>
      </c>
      <c r="B1958" t="s">
        <v>21</v>
      </c>
      <c r="C1958" t="s">
        <v>16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 t="shared" si="211"/>
        <v>BOM</v>
      </c>
      <c r="M1958">
        <v>0</v>
      </c>
      <c r="N1958">
        <v>0</v>
      </c>
      <c r="O1958">
        <v>0</v>
      </c>
    </row>
    <row r="1959" spans="1:15" customFormat="1" hidden="1" x14ac:dyDescent="0.25">
      <c r="A1959" s="11">
        <v>46062</v>
      </c>
      <c r="B1959" t="s">
        <v>63</v>
      </c>
      <c r="C1959" t="s">
        <v>23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18</v>
      </c>
      <c r="K1959" s="3">
        <f>I1959-J1959</f>
        <v>5</v>
      </c>
      <c r="L1959" s="3" t="str">
        <f t="shared" si="211"/>
        <v>BOM</v>
      </c>
      <c r="M1959">
        <v>19</v>
      </c>
      <c r="N1959">
        <v>98.51</v>
      </c>
      <c r="O1959">
        <v>29.710144927536231</v>
      </c>
    </row>
    <row r="1960" spans="1:15" customFormat="1" hidden="1" x14ac:dyDescent="0.25">
      <c r="A1960" s="11">
        <v>46062</v>
      </c>
      <c r="B1960" t="s">
        <v>45</v>
      </c>
      <c r="C1960" t="s">
        <v>32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27</v>
      </c>
      <c r="K1960" s="3">
        <f>I1960-J1960</f>
        <v>17</v>
      </c>
      <c r="L1960" s="3" t="str">
        <f t="shared" si="211"/>
        <v>EXCELENTE</v>
      </c>
      <c r="M1960">
        <v>39</v>
      </c>
      <c r="N1960">
        <v>98.81</v>
      </c>
      <c r="O1960">
        <v>30.712979890310791</v>
      </c>
    </row>
    <row r="1961" spans="1:15" customFormat="1" hidden="1" x14ac:dyDescent="0.25">
      <c r="A1961" s="11">
        <v>46062</v>
      </c>
      <c r="B1961" t="s">
        <v>64</v>
      </c>
      <c r="C1961" t="s">
        <v>23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18</v>
      </c>
      <c r="K1961" s="3">
        <f>I1961-J1961</f>
        <v>-8</v>
      </c>
      <c r="L1961" s="3" t="str">
        <f t="shared" si="211"/>
        <v>CRÍTICO</v>
      </c>
      <c r="M1961">
        <v>8</v>
      </c>
      <c r="N1961">
        <v>98.48</v>
      </c>
      <c r="O1961">
        <v>29.35323383084577</v>
      </c>
    </row>
    <row r="1962" spans="1:15" customFormat="1" hidden="1" x14ac:dyDescent="0.25">
      <c r="A1962" s="11">
        <v>46062</v>
      </c>
      <c r="B1962" t="s">
        <v>46</v>
      </c>
      <c r="C1962" t="s">
        <v>32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27</v>
      </c>
      <c r="K1962" s="3">
        <f>I1962-J1962</f>
        <v>1</v>
      </c>
      <c r="L1962" s="3" t="str">
        <f t="shared" si="211"/>
        <v>BOM</v>
      </c>
      <c r="M1962">
        <v>25</v>
      </c>
      <c r="N1962">
        <v>98.56</v>
      </c>
      <c r="O1962">
        <v>29.373650107991359</v>
      </c>
    </row>
    <row r="1963" spans="1:15" customFormat="1" hidden="1" x14ac:dyDescent="0.25">
      <c r="A1963" s="11">
        <v>46063</v>
      </c>
      <c r="B1963" t="s">
        <v>47</v>
      </c>
      <c r="C1963" t="s">
        <v>48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24</v>
      </c>
      <c r="K1963" s="3">
        <f>I1963-J1963</f>
        <v>3</v>
      </c>
      <c r="L1963" s="3" t="str">
        <f t="shared" si="211"/>
        <v>BOM</v>
      </c>
      <c r="M1963">
        <v>23</v>
      </c>
      <c r="N1963">
        <v>98.32</v>
      </c>
      <c r="O1963">
        <v>30.303030303030301</v>
      </c>
    </row>
    <row r="1964" spans="1:15" customFormat="1" hidden="1" x14ac:dyDescent="0.25">
      <c r="A1964" s="11">
        <v>46063</v>
      </c>
      <c r="B1964" t="s">
        <v>31</v>
      </c>
      <c r="C1964" t="s">
        <v>32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 t="shared" si="211"/>
        <v>BOM</v>
      </c>
      <c r="M1964">
        <v>36</v>
      </c>
      <c r="N1964">
        <v>98.68</v>
      </c>
      <c r="O1964">
        <v>26.219512195121951</v>
      </c>
    </row>
    <row r="1965" spans="1:15" customFormat="1" hidden="1" x14ac:dyDescent="0.25">
      <c r="A1965" s="11">
        <v>46063</v>
      </c>
      <c r="B1965" t="s">
        <v>59</v>
      </c>
      <c r="C1965" t="s">
        <v>23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20</v>
      </c>
      <c r="K1965" s="3">
        <f>I1965-J1965</f>
        <v>3</v>
      </c>
      <c r="L1965" s="3" t="str">
        <f t="shared" si="211"/>
        <v>BOM</v>
      </c>
      <c r="M1965">
        <v>22</v>
      </c>
      <c r="N1965">
        <v>100</v>
      </c>
      <c r="O1965">
        <v>31.74224343675418</v>
      </c>
    </row>
    <row r="1966" spans="1:15" customFormat="1" hidden="1" x14ac:dyDescent="0.25">
      <c r="A1966" s="11">
        <v>46063</v>
      </c>
      <c r="B1966" t="s">
        <v>33</v>
      </c>
      <c r="C1966" t="s">
        <v>32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30</v>
      </c>
      <c r="K1966" s="3">
        <f>I1966-J1966</f>
        <v>7</v>
      </c>
      <c r="L1966" s="3" t="str">
        <f t="shared" si="211"/>
        <v>EXCELENTE</v>
      </c>
      <c r="M1966">
        <v>33</v>
      </c>
      <c r="N1966">
        <v>98.25</v>
      </c>
      <c r="O1966">
        <v>25.83518930957684</v>
      </c>
    </row>
    <row r="1967" spans="1:15" customFormat="1" hidden="1" x14ac:dyDescent="0.25">
      <c r="A1967" s="11">
        <v>46063</v>
      </c>
      <c r="B1967" t="s">
        <v>15</v>
      </c>
      <c r="C1967" t="s">
        <v>16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9</v>
      </c>
      <c r="K1967" s="3">
        <f>I1967-J1967</f>
        <v>0</v>
      </c>
      <c r="L1967" s="3" t="str">
        <f t="shared" si="211"/>
        <v>BOM</v>
      </c>
      <c r="M1967">
        <v>7</v>
      </c>
      <c r="N1967">
        <v>97.5</v>
      </c>
      <c r="O1967">
        <v>30.075187969924809</v>
      </c>
    </row>
    <row r="1968" spans="1:15" customFormat="1" hidden="1" x14ac:dyDescent="0.25">
      <c r="A1968" s="11">
        <v>46063</v>
      </c>
      <c r="B1968" t="s">
        <v>49</v>
      </c>
      <c r="C1968" t="s">
        <v>48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8</v>
      </c>
      <c r="L1968" s="3" t="str">
        <f t="shared" si="211"/>
        <v>EXCELENTE</v>
      </c>
      <c r="M1968">
        <v>32</v>
      </c>
      <c r="N1968">
        <v>100</v>
      </c>
      <c r="O1968">
        <v>29.71311475409836</v>
      </c>
    </row>
    <row r="1969" spans="1:15" customFormat="1" hidden="1" x14ac:dyDescent="0.25">
      <c r="A1969" s="11">
        <v>46063</v>
      </c>
      <c r="B1969" t="s">
        <v>50</v>
      </c>
      <c r="C1969" t="s">
        <v>48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24</v>
      </c>
      <c r="K1969" s="3">
        <f>I1969-J1969</f>
        <v>2</v>
      </c>
      <c r="L1969" s="3" t="str">
        <f t="shared" si="211"/>
        <v>BOM</v>
      </c>
      <c r="M1969">
        <v>26</v>
      </c>
      <c r="N1969">
        <v>99.22</v>
      </c>
      <c r="O1969">
        <v>35.256410256410263</v>
      </c>
    </row>
    <row r="1970" spans="1:15" customFormat="1" hidden="1" x14ac:dyDescent="0.25">
      <c r="A1970" s="11">
        <v>46063</v>
      </c>
      <c r="B1970" t="s">
        <v>17</v>
      </c>
      <c r="C1970" t="s">
        <v>16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 t="shared" si="211"/>
        <v>BOM</v>
      </c>
      <c r="M1970">
        <v>0</v>
      </c>
      <c r="N1970">
        <v>0</v>
      </c>
      <c r="O1970">
        <v>0</v>
      </c>
    </row>
    <row r="1971" spans="1:15" customFormat="1" hidden="1" x14ac:dyDescent="0.25">
      <c r="A1971" s="11">
        <v>46063</v>
      </c>
      <c r="B1971" t="s">
        <v>60</v>
      </c>
      <c r="C1971" t="s">
        <v>23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-8</v>
      </c>
      <c r="L1971" s="3" t="str">
        <f t="shared" si="211"/>
        <v>CRÍTICO</v>
      </c>
      <c r="M1971">
        <v>14</v>
      </c>
      <c r="N1971">
        <v>98.75</v>
      </c>
      <c r="O1971">
        <v>24.32432432432433</v>
      </c>
    </row>
    <row r="1972" spans="1:15" customFormat="1" hidden="1" x14ac:dyDescent="0.25">
      <c r="A1972" s="11">
        <v>46063</v>
      </c>
      <c r="B1972" t="s">
        <v>34</v>
      </c>
      <c r="C1972" t="s">
        <v>32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30</v>
      </c>
      <c r="K1972" s="3">
        <f>I1972-J1972</f>
        <v>7</v>
      </c>
      <c r="L1972" s="3" t="str">
        <f t="shared" si="211"/>
        <v>EXCELENTE</v>
      </c>
      <c r="M1972">
        <v>33</v>
      </c>
      <c r="N1972">
        <v>93.48</v>
      </c>
      <c r="O1972">
        <v>31.52804642166344</v>
      </c>
    </row>
    <row r="1973" spans="1:15" customFormat="1" hidden="1" x14ac:dyDescent="0.25">
      <c r="A1973" s="11">
        <v>46063</v>
      </c>
      <c r="B1973" t="s">
        <v>51</v>
      </c>
      <c r="C1973" t="s">
        <v>48</v>
      </c>
      <c r="D1973">
        <v>31</v>
      </c>
      <c r="E1973">
        <v>27</v>
      </c>
      <c r="F1973">
        <v>21.59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 t="shared" si="211"/>
        <v>BOM</v>
      </c>
      <c r="M1973">
        <v>24</v>
      </c>
      <c r="N1973">
        <v>99.16</v>
      </c>
      <c r="O1973">
        <v>26.13908872901678</v>
      </c>
    </row>
    <row r="1974" spans="1:15" customFormat="1" hidden="1" x14ac:dyDescent="0.25">
      <c r="A1974" s="11">
        <v>46063</v>
      </c>
      <c r="B1974" t="s">
        <v>61</v>
      </c>
      <c r="C1974" t="s">
        <v>23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20</v>
      </c>
      <c r="K1974" s="3">
        <f>I1974-J1974</f>
        <v>6</v>
      </c>
      <c r="L1974" s="3" t="str">
        <f t="shared" si="211"/>
        <v>EXCELENTE</v>
      </c>
      <c r="M1974">
        <v>28</v>
      </c>
      <c r="N1974">
        <v>100</v>
      </c>
      <c r="O1974">
        <v>31.089743589743591</v>
      </c>
    </row>
    <row r="1975" spans="1:15" customFormat="1" hidden="1" x14ac:dyDescent="0.25">
      <c r="A1975" s="11">
        <v>46063</v>
      </c>
      <c r="B1975" t="s">
        <v>35</v>
      </c>
      <c r="C1975" t="s">
        <v>32</v>
      </c>
      <c r="D1975">
        <v>30</v>
      </c>
      <c r="E1975">
        <v>29</v>
      </c>
      <c r="F1975">
        <v>25.58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 t="shared" si="211"/>
        <v>BOM</v>
      </c>
      <c r="M1975">
        <v>30</v>
      </c>
      <c r="N1975">
        <v>98.11</v>
      </c>
      <c r="O1975">
        <v>33.033707865168537</v>
      </c>
    </row>
    <row r="1976" spans="1:15" customFormat="1" hidden="1" x14ac:dyDescent="0.25">
      <c r="A1976" s="11">
        <v>46063</v>
      </c>
      <c r="B1976" t="s">
        <v>18</v>
      </c>
      <c r="C1976" t="s">
        <v>16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ref="I1976:I1984" si="215">E1976+G1976+H1976</f>
        <v>18</v>
      </c>
      <c r="J1976" s="3">
        <f t="shared" ref="J1976:J1984" si="216"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9</v>
      </c>
      <c r="K1976" s="3">
        <f t="shared" ref="K1976:K1984" si="217">I1976-J1976</f>
        <v>9</v>
      </c>
      <c r="L1976" s="3" t="str">
        <f t="shared" si="211"/>
        <v>EXCELENTE</v>
      </c>
      <c r="M1976">
        <v>1</v>
      </c>
      <c r="N1976">
        <v>78.95</v>
      </c>
      <c r="O1976">
        <v>38.983050847457633</v>
      </c>
    </row>
    <row r="1977" spans="1:15" customFormat="1" hidden="1" x14ac:dyDescent="0.25">
      <c r="A1977" s="11">
        <v>46063</v>
      </c>
      <c r="B1977" t="s">
        <v>52</v>
      </c>
      <c r="C1977" t="s">
        <v>48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215"/>
        <v>14</v>
      </c>
      <c r="J1977" s="3">
        <f t="shared" si="216"/>
        <v>24</v>
      </c>
      <c r="K1977" s="3">
        <f t="shared" si="217"/>
        <v>-10</v>
      </c>
      <c r="L1977" s="3" t="str">
        <f t="shared" si="211"/>
        <v>CRÍTICO</v>
      </c>
      <c r="M1977">
        <v>12</v>
      </c>
      <c r="N1977">
        <v>98.45</v>
      </c>
      <c r="O1977">
        <v>29.281767955801101</v>
      </c>
    </row>
    <row r="1978" spans="1:15" customFormat="1" hidden="1" x14ac:dyDescent="0.25">
      <c r="A1978" s="11">
        <v>46063</v>
      </c>
      <c r="B1978" t="s">
        <v>36</v>
      </c>
      <c r="C1978" t="s">
        <v>32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215"/>
        <v>30</v>
      </c>
      <c r="J1978" s="3">
        <f t="shared" si="216"/>
        <v>30</v>
      </c>
      <c r="K1978" s="3">
        <f t="shared" si="217"/>
        <v>0</v>
      </c>
      <c r="L1978" s="3" t="str">
        <f t="shared" si="211"/>
        <v>BOM</v>
      </c>
      <c r="M1978">
        <v>28</v>
      </c>
      <c r="N1978">
        <v>97.84</v>
      </c>
      <c r="O1978">
        <v>26.282051282051281</v>
      </c>
    </row>
    <row r="1979" spans="1:15" customFormat="1" hidden="1" x14ac:dyDescent="0.25">
      <c r="A1979" s="11">
        <v>46063</v>
      </c>
      <c r="B1979" t="s">
        <v>53</v>
      </c>
      <c r="C1979" t="s">
        <v>48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215"/>
        <v>30</v>
      </c>
      <c r="J1979" s="3">
        <f t="shared" si="216"/>
        <v>24</v>
      </c>
      <c r="K1979" s="3">
        <f t="shared" si="217"/>
        <v>6</v>
      </c>
      <c r="L1979" s="3" t="str">
        <f t="shared" si="211"/>
        <v>EXCELENTE</v>
      </c>
      <c r="M1979">
        <v>33</v>
      </c>
      <c r="N1979">
        <v>98.5</v>
      </c>
      <c r="O1979">
        <v>23.97769516728625</v>
      </c>
    </row>
    <row r="1980" spans="1:15" customFormat="1" hidden="1" x14ac:dyDescent="0.25">
      <c r="A1980" s="11">
        <v>46097</v>
      </c>
      <c r="B1980" t="s">
        <v>22</v>
      </c>
      <c r="C1980" t="s">
        <v>23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215"/>
        <v>22</v>
      </c>
      <c r="J1980" s="3">
        <f t="shared" si="216"/>
        <v>15</v>
      </c>
      <c r="K1980" s="3">
        <f t="shared" si="217"/>
        <v>7</v>
      </c>
      <c r="L1980" s="3" t="str">
        <f t="shared" si="211"/>
        <v>EXCELENTE</v>
      </c>
      <c r="M1980">
        <v>21</v>
      </c>
      <c r="N1980">
        <v>99.05</v>
      </c>
      <c r="O1980">
        <v>26.621923937360179</v>
      </c>
    </row>
    <row r="1981" spans="1:15" customFormat="1" hidden="1" x14ac:dyDescent="0.25">
      <c r="A1981" s="11">
        <v>46063</v>
      </c>
      <c r="B1981" t="s">
        <v>54</v>
      </c>
      <c r="C1981" t="s">
        <v>48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215"/>
        <v>29</v>
      </c>
      <c r="J1981" s="3">
        <f t="shared" si="216"/>
        <v>24</v>
      </c>
      <c r="K1981" s="3">
        <f t="shared" si="217"/>
        <v>5</v>
      </c>
      <c r="L1981" s="3" t="str">
        <f t="shared" si="211"/>
        <v>BOM</v>
      </c>
      <c r="M1981">
        <v>25</v>
      </c>
      <c r="N1981">
        <v>98.53</v>
      </c>
      <c r="O1981">
        <v>31.578947368421051</v>
      </c>
    </row>
    <row r="1982" spans="1:15" customFormat="1" hidden="1" x14ac:dyDescent="0.25">
      <c r="A1982" s="11">
        <v>46063</v>
      </c>
      <c r="B1982" t="s">
        <v>37</v>
      </c>
      <c r="C1982" t="s">
        <v>32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215"/>
        <v>46</v>
      </c>
      <c r="J1982" s="3">
        <f t="shared" si="216"/>
        <v>30</v>
      </c>
      <c r="K1982" s="3">
        <f t="shared" si="217"/>
        <v>16</v>
      </c>
      <c r="L1982" s="3" t="str">
        <f t="shared" si="211"/>
        <v>EXCELENTE</v>
      </c>
      <c r="M1982">
        <v>42</v>
      </c>
      <c r="N1982">
        <v>100</v>
      </c>
      <c r="O1982">
        <v>25.72214580467676</v>
      </c>
    </row>
    <row r="1983" spans="1:15" customFormat="1" hidden="1" x14ac:dyDescent="0.25">
      <c r="A1983" s="11">
        <v>46063</v>
      </c>
      <c r="B1983" t="s">
        <v>38</v>
      </c>
      <c r="C1983" t="s">
        <v>32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215"/>
        <v>34</v>
      </c>
      <c r="J1983" s="3">
        <f t="shared" si="216"/>
        <v>30</v>
      </c>
      <c r="K1983" s="3">
        <f t="shared" si="217"/>
        <v>4</v>
      </c>
      <c r="L1983" s="3" t="str">
        <f t="shared" si="211"/>
        <v>BOM</v>
      </c>
      <c r="M1983">
        <v>32</v>
      </c>
      <c r="N1983">
        <v>94.64</v>
      </c>
      <c r="O1983">
        <v>27.52941176470588</v>
      </c>
    </row>
    <row r="1984" spans="1:15" customFormat="1" hidden="1" x14ac:dyDescent="0.25">
      <c r="A1984" s="11">
        <v>46063</v>
      </c>
      <c r="B1984" t="s">
        <v>55</v>
      </c>
      <c r="C1984" t="s">
        <v>48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215"/>
        <v>21</v>
      </c>
      <c r="J1984" s="3">
        <f t="shared" si="216"/>
        <v>24</v>
      </c>
      <c r="K1984" s="3">
        <f t="shared" si="217"/>
        <v>-3</v>
      </c>
      <c r="L1984" s="3" t="str">
        <f t="shared" si="211"/>
        <v>ATENÇÃO</v>
      </c>
      <c r="M1984">
        <v>16</v>
      </c>
      <c r="N1984">
        <v>99.07</v>
      </c>
      <c r="O1984">
        <v>26.376811594202898</v>
      </c>
    </row>
    <row r="1985" spans="1:15" customFormat="1" hidden="1" x14ac:dyDescent="0.25">
      <c r="A1985" s="11">
        <v>46063</v>
      </c>
      <c r="B1985" t="s">
        <v>39</v>
      </c>
      <c r="C1985" t="s">
        <v>32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 t="shared" si="211"/>
        <v>BOM</v>
      </c>
      <c r="M1985">
        <v>0</v>
      </c>
      <c r="N1985">
        <v>100</v>
      </c>
      <c r="O1985">
        <v>0</v>
      </c>
    </row>
    <row r="1986" spans="1:15" customFormat="1" hidden="1" x14ac:dyDescent="0.25">
      <c r="A1986" s="11">
        <v>46063</v>
      </c>
      <c r="B1986" t="s">
        <v>25</v>
      </c>
      <c r="C1986" t="s">
        <v>26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17</v>
      </c>
      <c r="K1986" s="3">
        <f>I1986-J1986</f>
        <v>-4</v>
      </c>
      <c r="L1986" s="3" t="str">
        <f t="shared" si="211"/>
        <v>ATENÇÃO</v>
      </c>
      <c r="M1986">
        <v>14</v>
      </c>
      <c r="N1986">
        <v>98.48</v>
      </c>
      <c r="O1986">
        <v>27.853881278538811</v>
      </c>
    </row>
    <row r="1987" spans="1:15" customFormat="1" hidden="1" x14ac:dyDescent="0.25">
      <c r="A1987" s="11">
        <v>46063</v>
      </c>
      <c r="B1987" t="s">
        <v>40</v>
      </c>
      <c r="C1987" t="s">
        <v>32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30</v>
      </c>
      <c r="K1987" s="3">
        <f>I1987-J1987</f>
        <v>-26</v>
      </c>
      <c r="L1987" s="3" t="str">
        <f t="shared" si="211"/>
        <v>CRÍTICO</v>
      </c>
      <c r="M1987">
        <v>2</v>
      </c>
      <c r="N1987">
        <v>95.15</v>
      </c>
      <c r="O1987">
        <v>34.131736526946113</v>
      </c>
    </row>
    <row r="1988" spans="1:15" customFormat="1" hidden="1" x14ac:dyDescent="0.25">
      <c r="A1988" s="11">
        <v>46063</v>
      </c>
      <c r="B1988" t="s">
        <v>27</v>
      </c>
      <c r="C1988" t="s">
        <v>26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 t="shared" si="211"/>
        <v>BOM</v>
      </c>
      <c r="M1988">
        <v>0</v>
      </c>
      <c r="N1988">
        <v>0</v>
      </c>
      <c r="O1988">
        <v>0</v>
      </c>
    </row>
    <row r="1989" spans="1:15" customFormat="1" hidden="1" x14ac:dyDescent="0.25">
      <c r="A1989" s="11">
        <v>46063</v>
      </c>
      <c r="B1989" t="s">
        <v>41</v>
      </c>
      <c r="C1989" t="s">
        <v>32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30</v>
      </c>
      <c r="K1989" s="3">
        <f>I1989-J1989</f>
        <v>-5</v>
      </c>
      <c r="L1989" s="3" t="str">
        <f t="shared" si="211"/>
        <v>ATENÇÃO</v>
      </c>
      <c r="M1989">
        <v>23</v>
      </c>
      <c r="N1989">
        <v>99.26</v>
      </c>
      <c r="O1989">
        <v>30.84832904884319</v>
      </c>
    </row>
    <row r="1990" spans="1:15" customFormat="1" hidden="1" x14ac:dyDescent="0.25">
      <c r="A1990" s="11">
        <v>46063</v>
      </c>
      <c r="B1990" t="s">
        <v>56</v>
      </c>
      <c r="C1990" t="s">
        <v>48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24</v>
      </c>
      <c r="K1990" s="3">
        <f>I1990-J1990</f>
        <v>6</v>
      </c>
      <c r="L1990" s="3" t="str">
        <f t="shared" si="211"/>
        <v>EXCELENTE</v>
      </c>
      <c r="M1990">
        <v>21</v>
      </c>
      <c r="N1990">
        <v>97.48</v>
      </c>
      <c r="O1990">
        <v>27.764705882352938</v>
      </c>
    </row>
    <row r="1991" spans="1:15" customFormat="1" hidden="1" x14ac:dyDescent="0.25">
      <c r="A1991" s="11">
        <v>46063</v>
      </c>
      <c r="B1991" t="s">
        <v>57</v>
      </c>
      <c r="C1991" t="s">
        <v>48</v>
      </c>
      <c r="D1991">
        <v>38</v>
      </c>
      <c r="E1991">
        <v>37</v>
      </c>
      <c r="F1991">
        <v>16.55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ref="L1991:L2054" si="218">IF(K1991&lt;-5,"CRÍTICO",IF(K1991&lt;0,"ATENÇÃO",IF(K1991&lt;=5,"BOM","EXCELENTE")))</f>
        <v>BOM</v>
      </c>
      <c r="M1991">
        <v>34</v>
      </c>
      <c r="N1991">
        <v>99.34</v>
      </c>
      <c r="O1991">
        <v>30.04291845493562</v>
      </c>
    </row>
    <row r="1992" spans="1:15" customFormat="1" hidden="1" x14ac:dyDescent="0.25">
      <c r="A1992" s="11">
        <v>46063</v>
      </c>
      <c r="B1992" t="s">
        <v>42</v>
      </c>
      <c r="C1992" t="s">
        <v>32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 t="shared" si="218"/>
        <v>BOM</v>
      </c>
      <c r="M1992">
        <v>0</v>
      </c>
      <c r="N1992">
        <v>96.3</v>
      </c>
      <c r="O1992">
        <v>24.29378531073446</v>
      </c>
    </row>
    <row r="1993" spans="1:15" customFormat="1" hidden="1" x14ac:dyDescent="0.25">
      <c r="A1993" s="11">
        <v>46063</v>
      </c>
      <c r="B1993" t="s">
        <v>62</v>
      </c>
      <c r="C1993" t="s">
        <v>23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20</v>
      </c>
      <c r="K1993" s="3">
        <f>I1993-J1993</f>
        <v>2</v>
      </c>
      <c r="L1993" s="3" t="str">
        <f t="shared" si="218"/>
        <v>BOM</v>
      </c>
      <c r="M1993">
        <v>22</v>
      </c>
      <c r="N1993">
        <v>100</v>
      </c>
      <c r="O1993">
        <v>26.543209876543209</v>
      </c>
    </row>
    <row r="1994" spans="1:15" customFormat="1" hidden="1" x14ac:dyDescent="0.25">
      <c r="A1994" s="11">
        <v>46063</v>
      </c>
      <c r="B1994" t="s">
        <v>19</v>
      </c>
      <c r="C1994" t="s">
        <v>16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 t="shared" si="218"/>
        <v>BOM</v>
      </c>
      <c r="M1994">
        <v>0</v>
      </c>
      <c r="N1994">
        <v>100</v>
      </c>
      <c r="O1994">
        <v>35.483870967741943</v>
      </c>
    </row>
    <row r="1995" spans="1:15" customFormat="1" hidden="1" x14ac:dyDescent="0.25">
      <c r="A1995" s="11">
        <v>46063</v>
      </c>
      <c r="B1995" t="s">
        <v>43</v>
      </c>
      <c r="C1995" t="s">
        <v>32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-7</v>
      </c>
      <c r="L1995" s="3" t="str">
        <f t="shared" si="218"/>
        <v>CRÍTICO</v>
      </c>
      <c r="M1995">
        <v>34</v>
      </c>
      <c r="N1995">
        <v>99.27</v>
      </c>
      <c r="O1995">
        <v>31.163708086785011</v>
      </c>
    </row>
    <row r="1996" spans="1:15" customFormat="1" hidden="1" x14ac:dyDescent="0.25">
      <c r="A1996" s="11">
        <v>46063</v>
      </c>
      <c r="B1996" t="s">
        <v>44</v>
      </c>
      <c r="C1996" t="s">
        <v>32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30</v>
      </c>
      <c r="K1996" s="3">
        <f>I1996-J1996</f>
        <v>10</v>
      </c>
      <c r="L1996" s="3" t="str">
        <f t="shared" si="218"/>
        <v>EXCELENTE</v>
      </c>
      <c r="M1996">
        <v>33</v>
      </c>
      <c r="N1996">
        <v>94.16</v>
      </c>
      <c r="O1996">
        <v>27.038626609442058</v>
      </c>
    </row>
    <row r="1997" spans="1:15" customFormat="1" hidden="1" x14ac:dyDescent="0.25">
      <c r="A1997" s="11">
        <v>46063</v>
      </c>
      <c r="B1997" t="s">
        <v>20</v>
      </c>
      <c r="C1997" t="s">
        <v>16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9</v>
      </c>
      <c r="K1997" s="3">
        <f>I1997-J1997</f>
        <v>6</v>
      </c>
      <c r="L1997" s="3" t="str">
        <f t="shared" si="218"/>
        <v>EXCELENTE</v>
      </c>
      <c r="M1997">
        <v>5</v>
      </c>
      <c r="N1997">
        <v>93.75</v>
      </c>
      <c r="O1997">
        <v>19.31818181818182</v>
      </c>
    </row>
    <row r="1998" spans="1:15" customFormat="1" hidden="1" x14ac:dyDescent="0.25">
      <c r="A1998" s="11">
        <v>46063</v>
      </c>
      <c r="B1998" t="s">
        <v>28</v>
      </c>
      <c r="C1998" t="s">
        <v>26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18"/>
        <v>BOM</v>
      </c>
      <c r="M1998">
        <v>0</v>
      </c>
      <c r="N1998">
        <v>0</v>
      </c>
      <c r="O1998">
        <v>0</v>
      </c>
    </row>
    <row r="1999" spans="1:15" customFormat="1" hidden="1" x14ac:dyDescent="0.25">
      <c r="A1999" s="11">
        <v>46063</v>
      </c>
      <c r="B1999" t="s">
        <v>58</v>
      </c>
      <c r="C1999" t="s">
        <v>48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18"/>
        <v>BOM</v>
      </c>
      <c r="M1999">
        <v>0</v>
      </c>
      <c r="N1999">
        <v>97.92</v>
      </c>
      <c r="O1999">
        <v>32.87671232876712</v>
      </c>
    </row>
    <row r="2000" spans="1:15" customFormat="1" hidden="1" x14ac:dyDescent="0.25">
      <c r="A2000" s="11">
        <v>46063</v>
      </c>
      <c r="B2000" t="s">
        <v>29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18"/>
        <v>BOM</v>
      </c>
      <c r="M2000">
        <v>0</v>
      </c>
      <c r="N2000">
        <v>0</v>
      </c>
      <c r="O2000">
        <v>0</v>
      </c>
    </row>
    <row r="2001" spans="1:15" customFormat="1" hidden="1" x14ac:dyDescent="0.25">
      <c r="A2001" s="11">
        <v>46063</v>
      </c>
      <c r="B2001" t="s">
        <v>30</v>
      </c>
      <c r="C2001" t="s">
        <v>26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18"/>
        <v>BOM</v>
      </c>
      <c r="M2001">
        <v>0</v>
      </c>
      <c r="N2001">
        <v>0</v>
      </c>
      <c r="O2001">
        <v>0</v>
      </c>
    </row>
    <row r="2002" spans="1:15" customFormat="1" hidden="1" x14ac:dyDescent="0.25">
      <c r="A2002" s="11">
        <v>46063</v>
      </c>
      <c r="B2002" t="s">
        <v>21</v>
      </c>
      <c r="C2002" t="s">
        <v>16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 t="shared" si="218"/>
        <v>BOM</v>
      </c>
      <c r="M2002">
        <v>0</v>
      </c>
      <c r="N2002">
        <v>0</v>
      </c>
      <c r="O2002">
        <v>0</v>
      </c>
    </row>
    <row r="2003" spans="1:15" customFormat="1" hidden="1" x14ac:dyDescent="0.25">
      <c r="A2003" s="11">
        <v>46063</v>
      </c>
      <c r="B2003" t="s">
        <v>63</v>
      </c>
      <c r="C2003" t="s">
        <v>23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20</v>
      </c>
      <c r="K2003" s="3">
        <f>I2003-J2003</f>
        <v>-7</v>
      </c>
      <c r="L2003" s="3" t="str">
        <f t="shared" si="218"/>
        <v>CRÍTICO</v>
      </c>
      <c r="M2003">
        <v>11</v>
      </c>
      <c r="N2003">
        <v>98.51</v>
      </c>
      <c r="O2003">
        <v>29.710144927536231</v>
      </c>
    </row>
    <row r="2004" spans="1:15" customFormat="1" hidden="1" x14ac:dyDescent="0.25">
      <c r="A2004" s="11">
        <v>46063</v>
      </c>
      <c r="B2004" t="s">
        <v>45</v>
      </c>
      <c r="C2004" t="s">
        <v>32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30</v>
      </c>
      <c r="K2004" s="3">
        <f>I2004-J2004</f>
        <v>8</v>
      </c>
      <c r="L2004" s="3" t="str">
        <f t="shared" si="218"/>
        <v>EXCELENTE</v>
      </c>
      <c r="M2004">
        <v>31</v>
      </c>
      <c r="N2004">
        <v>98.81</v>
      </c>
      <c r="O2004">
        <v>30.712979890310791</v>
      </c>
    </row>
    <row r="2005" spans="1:15" customFormat="1" hidden="1" x14ac:dyDescent="0.25">
      <c r="A2005" s="11">
        <v>46063</v>
      </c>
      <c r="B2005" t="s">
        <v>64</v>
      </c>
      <c r="C2005" t="s">
        <v>23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20</v>
      </c>
      <c r="K2005" s="3">
        <f>I2005-J2005</f>
        <v>-7</v>
      </c>
      <c r="L2005" s="3" t="str">
        <f t="shared" si="218"/>
        <v>CRÍTICO</v>
      </c>
      <c r="M2005">
        <v>12</v>
      </c>
      <c r="N2005">
        <v>98.48</v>
      </c>
      <c r="O2005">
        <v>29.35323383084577</v>
      </c>
    </row>
    <row r="2006" spans="1:15" customFormat="1" hidden="1" x14ac:dyDescent="0.25">
      <c r="A2006" s="11">
        <v>46063</v>
      </c>
      <c r="B2006" t="s">
        <v>46</v>
      </c>
      <c r="C2006" t="s">
        <v>32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30</v>
      </c>
      <c r="K2006" s="3">
        <f>I2006-J2006</f>
        <v>-3</v>
      </c>
      <c r="L2006" s="3" t="str">
        <f t="shared" si="218"/>
        <v>ATENÇÃO</v>
      </c>
      <c r="M2006">
        <v>25</v>
      </c>
      <c r="N2006">
        <v>98.56</v>
      </c>
      <c r="O2006">
        <v>29.373650107991359</v>
      </c>
    </row>
    <row r="2007" spans="1:15" customFormat="1" hidden="1" x14ac:dyDescent="0.25">
      <c r="A2007" s="11">
        <v>46064</v>
      </c>
      <c r="B2007" t="s">
        <v>47</v>
      </c>
      <c r="C2007" t="s">
        <v>48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23</v>
      </c>
      <c r="K2007" s="3">
        <f>I2007-J2007</f>
        <v>10</v>
      </c>
      <c r="L2007" s="3" t="str">
        <f t="shared" si="218"/>
        <v>EXCELENTE</v>
      </c>
      <c r="M2007">
        <v>31</v>
      </c>
      <c r="N2007">
        <v>98.32</v>
      </c>
      <c r="O2007">
        <v>30.303030303030301</v>
      </c>
    </row>
    <row r="2008" spans="1:15" customFormat="1" hidden="1" x14ac:dyDescent="0.25">
      <c r="A2008" s="11">
        <v>46064</v>
      </c>
      <c r="B2008" t="s">
        <v>31</v>
      </c>
      <c r="C2008" t="s">
        <v>32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 t="shared" si="218"/>
        <v>BOM</v>
      </c>
      <c r="M2008">
        <v>25</v>
      </c>
      <c r="N2008">
        <v>98.68</v>
      </c>
      <c r="O2008">
        <v>26.219512195121951</v>
      </c>
    </row>
    <row r="2009" spans="1:15" customFormat="1" hidden="1" x14ac:dyDescent="0.25">
      <c r="A2009" s="11">
        <v>46064</v>
      </c>
      <c r="B2009" t="s">
        <v>59</v>
      </c>
      <c r="C2009" t="s">
        <v>23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19</v>
      </c>
      <c r="K2009" s="3">
        <f>I2009-J2009</f>
        <v>7</v>
      </c>
      <c r="L2009" s="3" t="str">
        <f t="shared" si="218"/>
        <v>EXCELENTE</v>
      </c>
      <c r="M2009">
        <v>23</v>
      </c>
      <c r="N2009">
        <v>100</v>
      </c>
      <c r="O2009">
        <v>31.74224343675418</v>
      </c>
    </row>
    <row r="2010" spans="1:15" customFormat="1" hidden="1" x14ac:dyDescent="0.25">
      <c r="A2010" s="11">
        <v>46064</v>
      </c>
      <c r="B2010" t="s">
        <v>33</v>
      </c>
      <c r="C2010" t="s">
        <v>32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28</v>
      </c>
      <c r="K2010" s="3">
        <f>I2010-J2010</f>
        <v>-4</v>
      </c>
      <c r="L2010" s="3" t="str">
        <f t="shared" si="218"/>
        <v>ATENÇÃO</v>
      </c>
      <c r="M2010">
        <v>23</v>
      </c>
      <c r="N2010">
        <v>98.25</v>
      </c>
      <c r="O2010">
        <v>25.83518930957684</v>
      </c>
    </row>
    <row r="2011" spans="1:15" customFormat="1" hidden="1" x14ac:dyDescent="0.25">
      <c r="A2011" s="11">
        <v>46064</v>
      </c>
      <c r="B2011" t="s">
        <v>15</v>
      </c>
      <c r="C2011" t="s">
        <v>16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 t="shared" si="218"/>
        <v>BOM</v>
      </c>
      <c r="M2011">
        <v>7</v>
      </c>
      <c r="N2011">
        <v>97.5</v>
      </c>
      <c r="O2011">
        <v>30.075187969924809</v>
      </c>
    </row>
    <row r="2012" spans="1:15" customFormat="1" hidden="1" x14ac:dyDescent="0.25">
      <c r="A2012" s="11">
        <v>46064</v>
      </c>
      <c r="B2012" t="s">
        <v>49</v>
      </c>
      <c r="C2012" t="s">
        <v>48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-1</v>
      </c>
      <c r="L2012" s="3" t="str">
        <f t="shared" si="218"/>
        <v>ATENÇÃO</v>
      </c>
      <c r="M2012">
        <v>18</v>
      </c>
      <c r="N2012">
        <v>100</v>
      </c>
      <c r="O2012">
        <v>29.71311475409836</v>
      </c>
    </row>
    <row r="2013" spans="1:15" customFormat="1" hidden="1" x14ac:dyDescent="0.25">
      <c r="A2013" s="11">
        <v>46064</v>
      </c>
      <c r="B2013" t="s">
        <v>50</v>
      </c>
      <c r="C2013" t="s">
        <v>48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23</v>
      </c>
      <c r="K2013" s="3">
        <f>I2013-J2013</f>
        <v>-4</v>
      </c>
      <c r="L2013" s="3" t="str">
        <f t="shared" si="218"/>
        <v>ATENÇÃO</v>
      </c>
      <c r="M2013">
        <v>22</v>
      </c>
      <c r="N2013">
        <v>99.22</v>
      </c>
      <c r="O2013">
        <v>35.256410256410263</v>
      </c>
    </row>
    <row r="2014" spans="1:15" customFormat="1" hidden="1" x14ac:dyDescent="0.25">
      <c r="A2014" s="11">
        <v>46064</v>
      </c>
      <c r="B2014" t="s">
        <v>17</v>
      </c>
      <c r="C2014" t="s">
        <v>16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 t="shared" si="218"/>
        <v>BOM</v>
      </c>
      <c r="M2014">
        <v>0</v>
      </c>
      <c r="N2014">
        <v>0</v>
      </c>
      <c r="O2014">
        <v>0</v>
      </c>
    </row>
    <row r="2015" spans="1:15" customFormat="1" hidden="1" x14ac:dyDescent="0.25">
      <c r="A2015" s="11">
        <v>46064</v>
      </c>
      <c r="B2015" t="s">
        <v>60</v>
      </c>
      <c r="C2015" t="s">
        <v>23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-15</v>
      </c>
      <c r="L2015" s="3" t="str">
        <f t="shared" si="218"/>
        <v>CRÍTICO</v>
      </c>
      <c r="M2015">
        <v>15</v>
      </c>
      <c r="N2015">
        <v>98.75</v>
      </c>
      <c r="O2015">
        <v>24.32432432432433</v>
      </c>
    </row>
    <row r="2016" spans="1:15" customFormat="1" hidden="1" x14ac:dyDescent="0.25">
      <c r="A2016" s="11">
        <v>46064</v>
      </c>
      <c r="B2016" t="s">
        <v>34</v>
      </c>
      <c r="C2016" t="s">
        <v>32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28</v>
      </c>
      <c r="K2016" s="3">
        <f>I2016-J2016</f>
        <v>7</v>
      </c>
      <c r="L2016" s="3" t="str">
        <f t="shared" si="218"/>
        <v>EXCELENTE</v>
      </c>
      <c r="M2016">
        <v>32</v>
      </c>
      <c r="N2016">
        <v>93.48</v>
      </c>
      <c r="O2016">
        <v>31.52804642166344</v>
      </c>
    </row>
    <row r="2017" spans="1:15" customFormat="1" hidden="1" x14ac:dyDescent="0.25">
      <c r="A2017" s="11">
        <v>46064</v>
      </c>
      <c r="B2017" t="s">
        <v>51</v>
      </c>
      <c r="C2017" t="s">
        <v>48</v>
      </c>
      <c r="D2017">
        <v>21</v>
      </c>
      <c r="E2017">
        <v>19</v>
      </c>
      <c r="F2017">
        <v>25.11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 t="shared" si="218"/>
        <v>BOM</v>
      </c>
      <c r="M2017">
        <v>18</v>
      </c>
      <c r="N2017">
        <v>99.16</v>
      </c>
      <c r="O2017">
        <v>26.13908872901678</v>
      </c>
    </row>
    <row r="2018" spans="1:15" customFormat="1" hidden="1" x14ac:dyDescent="0.25">
      <c r="A2018" s="11">
        <v>46064</v>
      </c>
      <c r="B2018" t="s">
        <v>61</v>
      </c>
      <c r="C2018" t="s">
        <v>23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19</v>
      </c>
      <c r="K2018" s="3">
        <f>I2018-J2018</f>
        <v>-3</v>
      </c>
      <c r="L2018" s="3" t="str">
        <f t="shared" si="218"/>
        <v>ATENÇÃO</v>
      </c>
      <c r="M2018">
        <v>14</v>
      </c>
      <c r="N2018">
        <v>100</v>
      </c>
      <c r="O2018">
        <v>31.089743589743591</v>
      </c>
    </row>
    <row r="2019" spans="1:15" customFormat="1" hidden="1" x14ac:dyDescent="0.25">
      <c r="A2019" s="11">
        <v>46064</v>
      </c>
      <c r="B2019" t="s">
        <v>35</v>
      </c>
      <c r="C2019" t="s">
        <v>32</v>
      </c>
      <c r="D2019">
        <v>30</v>
      </c>
      <c r="E2019">
        <v>29</v>
      </c>
      <c r="F2019">
        <v>23.51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 t="shared" si="218"/>
        <v>BOM</v>
      </c>
      <c r="M2019">
        <v>30</v>
      </c>
      <c r="N2019">
        <v>98.11</v>
      </c>
      <c r="O2019">
        <v>33.033707865168537</v>
      </c>
    </row>
    <row r="2020" spans="1:15" customFormat="1" hidden="1" x14ac:dyDescent="0.25">
      <c r="A2020" s="11">
        <v>46064</v>
      </c>
      <c r="B2020" t="s">
        <v>18</v>
      </c>
      <c r="C2020" t="s">
        <v>16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ref="I2020:I2028" si="219">E2020+G2020+H2020</f>
        <v>42</v>
      </c>
      <c r="J2020" s="3">
        <f t="shared" ref="J2020:J2028" si="220"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 t="shared" ref="K2020:K2028" si="221">I2020-J2020</f>
        <v>34</v>
      </c>
      <c r="L2020" s="3" t="str">
        <f t="shared" si="218"/>
        <v>EXCELENTE</v>
      </c>
      <c r="M2020">
        <v>2</v>
      </c>
      <c r="N2020">
        <v>78.95</v>
      </c>
      <c r="O2020">
        <v>38.983050847457633</v>
      </c>
    </row>
    <row r="2021" spans="1:15" customFormat="1" hidden="1" x14ac:dyDescent="0.25">
      <c r="A2021" s="11">
        <v>46064</v>
      </c>
      <c r="B2021" t="s">
        <v>52</v>
      </c>
      <c r="C2021" t="s">
        <v>48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219"/>
        <v>23</v>
      </c>
      <c r="J2021" s="3">
        <f t="shared" si="220"/>
        <v>23</v>
      </c>
      <c r="K2021" s="3">
        <f t="shared" si="221"/>
        <v>0</v>
      </c>
      <c r="L2021" s="3" t="str">
        <f t="shared" si="218"/>
        <v>BOM</v>
      </c>
      <c r="M2021">
        <v>21</v>
      </c>
      <c r="N2021">
        <v>98.45</v>
      </c>
      <c r="O2021">
        <v>29.281767955801101</v>
      </c>
    </row>
    <row r="2022" spans="1:15" customFormat="1" hidden="1" x14ac:dyDescent="0.25">
      <c r="A2022" s="11">
        <v>46064</v>
      </c>
      <c r="B2022" t="s">
        <v>36</v>
      </c>
      <c r="C2022" t="s">
        <v>32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219"/>
        <v>28</v>
      </c>
      <c r="J2022" s="3">
        <f t="shared" si="220"/>
        <v>28</v>
      </c>
      <c r="K2022" s="3">
        <f t="shared" si="221"/>
        <v>0</v>
      </c>
      <c r="L2022" s="3" t="str">
        <f t="shared" si="218"/>
        <v>BOM</v>
      </c>
      <c r="M2022">
        <v>28</v>
      </c>
      <c r="N2022">
        <v>97.84</v>
      </c>
      <c r="O2022">
        <v>26.282051282051281</v>
      </c>
    </row>
    <row r="2023" spans="1:15" customFormat="1" hidden="1" x14ac:dyDescent="0.25">
      <c r="A2023" s="11">
        <v>46064</v>
      </c>
      <c r="B2023" t="s">
        <v>53</v>
      </c>
      <c r="C2023" t="s">
        <v>48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219"/>
        <v>21</v>
      </c>
      <c r="J2023" s="3">
        <f t="shared" si="220"/>
        <v>23</v>
      </c>
      <c r="K2023" s="3">
        <f t="shared" si="221"/>
        <v>-2</v>
      </c>
      <c r="L2023" s="3" t="str">
        <f t="shared" si="218"/>
        <v>ATENÇÃO</v>
      </c>
      <c r="M2023">
        <v>24</v>
      </c>
      <c r="N2023">
        <v>98.5</v>
      </c>
      <c r="O2023">
        <v>23.97769516728625</v>
      </c>
    </row>
    <row r="2024" spans="1:15" customFormat="1" hidden="1" x14ac:dyDescent="0.25">
      <c r="A2024" s="11">
        <v>46098</v>
      </c>
      <c r="B2024" t="s">
        <v>22</v>
      </c>
      <c r="C2024" t="s">
        <v>23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219"/>
        <v>13</v>
      </c>
      <c r="J2024" s="3">
        <f t="shared" si="220"/>
        <v>15</v>
      </c>
      <c r="K2024" s="3">
        <f t="shared" si="221"/>
        <v>-2</v>
      </c>
      <c r="L2024" s="3" t="str">
        <f t="shared" si="218"/>
        <v>ATENÇÃO</v>
      </c>
      <c r="M2024">
        <v>13</v>
      </c>
      <c r="N2024">
        <v>99.05</v>
      </c>
      <c r="O2024">
        <v>26.621923937360179</v>
      </c>
    </row>
    <row r="2025" spans="1:15" customFormat="1" hidden="1" x14ac:dyDescent="0.25">
      <c r="A2025" s="11">
        <v>46064</v>
      </c>
      <c r="B2025" t="s">
        <v>54</v>
      </c>
      <c r="C2025" t="s">
        <v>48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219"/>
        <v>26</v>
      </c>
      <c r="J2025" s="3">
        <f t="shared" si="220"/>
        <v>23</v>
      </c>
      <c r="K2025" s="3">
        <f t="shared" si="221"/>
        <v>3</v>
      </c>
      <c r="L2025" s="3" t="str">
        <f t="shared" si="218"/>
        <v>BOM</v>
      </c>
      <c r="M2025">
        <v>26</v>
      </c>
      <c r="N2025">
        <v>98.53</v>
      </c>
      <c r="O2025">
        <v>31.578947368421051</v>
      </c>
    </row>
    <row r="2026" spans="1:15" customFormat="1" hidden="1" x14ac:dyDescent="0.25">
      <c r="A2026" s="11">
        <v>46064</v>
      </c>
      <c r="B2026" t="s">
        <v>37</v>
      </c>
      <c r="C2026" t="s">
        <v>32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219"/>
        <v>49</v>
      </c>
      <c r="J2026" s="3">
        <f t="shared" si="220"/>
        <v>28</v>
      </c>
      <c r="K2026" s="3">
        <f t="shared" si="221"/>
        <v>21</v>
      </c>
      <c r="L2026" s="3" t="str">
        <f t="shared" si="218"/>
        <v>EXCELENTE</v>
      </c>
      <c r="M2026">
        <v>51</v>
      </c>
      <c r="N2026">
        <v>100</v>
      </c>
      <c r="O2026">
        <v>25.72214580467676</v>
      </c>
    </row>
    <row r="2027" spans="1:15" customFormat="1" hidden="1" x14ac:dyDescent="0.25">
      <c r="A2027" s="11">
        <v>46064</v>
      </c>
      <c r="B2027" t="s">
        <v>38</v>
      </c>
      <c r="C2027" t="s">
        <v>32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219"/>
        <v>38</v>
      </c>
      <c r="J2027" s="3">
        <f t="shared" si="220"/>
        <v>28</v>
      </c>
      <c r="K2027" s="3">
        <f t="shared" si="221"/>
        <v>10</v>
      </c>
      <c r="L2027" s="3" t="str">
        <f t="shared" si="218"/>
        <v>EXCELENTE</v>
      </c>
      <c r="M2027">
        <v>34</v>
      </c>
      <c r="N2027">
        <v>94.64</v>
      </c>
      <c r="O2027">
        <v>27.52941176470588</v>
      </c>
    </row>
    <row r="2028" spans="1:15" customFormat="1" hidden="1" x14ac:dyDescent="0.25">
      <c r="A2028" s="11">
        <v>46064</v>
      </c>
      <c r="B2028" t="s">
        <v>55</v>
      </c>
      <c r="C2028" t="s">
        <v>48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219"/>
        <v>26</v>
      </c>
      <c r="J2028" s="3">
        <f t="shared" si="220"/>
        <v>23</v>
      </c>
      <c r="K2028" s="3">
        <f t="shared" si="221"/>
        <v>3</v>
      </c>
      <c r="L2028" s="3" t="str">
        <f t="shared" si="218"/>
        <v>BOM</v>
      </c>
      <c r="M2028">
        <v>23</v>
      </c>
      <c r="N2028">
        <v>99.07</v>
      </c>
      <c r="O2028">
        <v>26.376811594202898</v>
      </c>
    </row>
    <row r="2029" spans="1:15" customFormat="1" hidden="1" x14ac:dyDescent="0.25">
      <c r="A2029" s="11">
        <v>46064</v>
      </c>
      <c r="B2029" t="s">
        <v>39</v>
      </c>
      <c r="C2029" t="s">
        <v>32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 t="shared" si="218"/>
        <v>BOM</v>
      </c>
      <c r="M2029">
        <v>0</v>
      </c>
      <c r="N2029">
        <v>100</v>
      </c>
      <c r="O2029">
        <v>0</v>
      </c>
    </row>
    <row r="2030" spans="1:15" customFormat="1" hidden="1" x14ac:dyDescent="0.25">
      <c r="A2030" s="11">
        <v>46064</v>
      </c>
      <c r="B2030" t="s">
        <v>25</v>
      </c>
      <c r="C2030" t="s">
        <v>26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16</v>
      </c>
      <c r="K2030" s="3">
        <f>I2030-J2030</f>
        <v>-4</v>
      </c>
      <c r="L2030" s="3" t="str">
        <f t="shared" si="218"/>
        <v>ATENÇÃO</v>
      </c>
      <c r="M2030">
        <v>10</v>
      </c>
      <c r="N2030">
        <v>98.48</v>
      </c>
      <c r="O2030">
        <v>27.853881278538811</v>
      </c>
    </row>
    <row r="2031" spans="1:15" customFormat="1" hidden="1" x14ac:dyDescent="0.25">
      <c r="A2031" s="11">
        <v>46064</v>
      </c>
      <c r="B2031" t="s">
        <v>40</v>
      </c>
      <c r="C2031" t="s">
        <v>32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28</v>
      </c>
      <c r="K2031" s="3">
        <f>I2031-J2031</f>
        <v>-26</v>
      </c>
      <c r="L2031" s="3" t="str">
        <f t="shared" si="218"/>
        <v>CRÍTICO</v>
      </c>
      <c r="M2031">
        <v>4</v>
      </c>
      <c r="N2031">
        <v>95.15</v>
      </c>
      <c r="O2031">
        <v>34.131736526946113</v>
      </c>
    </row>
    <row r="2032" spans="1:15" customFormat="1" hidden="1" x14ac:dyDescent="0.25">
      <c r="A2032" s="11">
        <v>46064</v>
      </c>
      <c r="B2032" t="s">
        <v>27</v>
      </c>
      <c r="C2032" t="s">
        <v>26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 t="shared" si="218"/>
        <v>BOM</v>
      </c>
      <c r="M2032">
        <v>0</v>
      </c>
      <c r="N2032">
        <v>0</v>
      </c>
      <c r="O2032">
        <v>0</v>
      </c>
    </row>
    <row r="2033" spans="1:15" customFormat="1" hidden="1" x14ac:dyDescent="0.25">
      <c r="A2033" s="11">
        <v>46064</v>
      </c>
      <c r="B2033" t="s">
        <v>41</v>
      </c>
      <c r="C2033" t="s">
        <v>32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28</v>
      </c>
      <c r="K2033" s="3">
        <f>I2033-J2033</f>
        <v>-2</v>
      </c>
      <c r="L2033" s="3" t="str">
        <f t="shared" si="218"/>
        <v>ATENÇÃO</v>
      </c>
      <c r="M2033">
        <v>28</v>
      </c>
      <c r="N2033">
        <v>99.26</v>
      </c>
      <c r="O2033">
        <v>30.84832904884319</v>
      </c>
    </row>
    <row r="2034" spans="1:15" customFormat="1" hidden="1" x14ac:dyDescent="0.25">
      <c r="A2034" s="11">
        <v>46064</v>
      </c>
      <c r="B2034" t="s">
        <v>56</v>
      </c>
      <c r="C2034" t="s">
        <v>48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23</v>
      </c>
      <c r="K2034" s="3">
        <f>I2034-J2034</f>
        <v>-5</v>
      </c>
      <c r="L2034" s="3" t="str">
        <f t="shared" si="218"/>
        <v>ATENÇÃO</v>
      </c>
      <c r="M2034">
        <v>18</v>
      </c>
      <c r="N2034">
        <v>97.48</v>
      </c>
      <c r="O2034">
        <v>27.764705882352938</v>
      </c>
    </row>
    <row r="2035" spans="1:15" customFormat="1" hidden="1" x14ac:dyDescent="0.25">
      <c r="A2035" s="11">
        <v>46064</v>
      </c>
      <c r="B2035" t="s">
        <v>57</v>
      </c>
      <c r="C2035" t="s">
        <v>48</v>
      </c>
      <c r="D2035">
        <v>33</v>
      </c>
      <c r="E2035">
        <v>30</v>
      </c>
      <c r="F2035">
        <v>19.010000000000002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18"/>
        <v>BOM</v>
      </c>
      <c r="M2035">
        <v>23</v>
      </c>
      <c r="N2035">
        <v>99.34</v>
      </c>
      <c r="O2035">
        <v>30.04291845493562</v>
      </c>
    </row>
    <row r="2036" spans="1:15" customFormat="1" hidden="1" x14ac:dyDescent="0.25">
      <c r="A2036" s="11">
        <v>46064</v>
      </c>
      <c r="B2036" t="s">
        <v>42</v>
      </c>
      <c r="C2036" t="s">
        <v>32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 t="shared" si="218"/>
        <v>BOM</v>
      </c>
      <c r="M2036">
        <v>0</v>
      </c>
      <c r="N2036">
        <v>96.3</v>
      </c>
      <c r="O2036">
        <v>24.29378531073446</v>
      </c>
    </row>
    <row r="2037" spans="1:15" customFormat="1" hidden="1" x14ac:dyDescent="0.25">
      <c r="A2037" s="11">
        <v>46064</v>
      </c>
      <c r="B2037" t="s">
        <v>62</v>
      </c>
      <c r="C2037" t="s">
        <v>23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19</v>
      </c>
      <c r="K2037" s="3">
        <f>I2037-J2037</f>
        <v>0</v>
      </c>
      <c r="L2037" s="3" t="str">
        <f t="shared" si="218"/>
        <v>BOM</v>
      </c>
      <c r="M2037">
        <v>18</v>
      </c>
      <c r="N2037">
        <v>100</v>
      </c>
      <c r="O2037">
        <v>26.543209876543209</v>
      </c>
    </row>
    <row r="2038" spans="1:15" customFormat="1" hidden="1" x14ac:dyDescent="0.25">
      <c r="A2038" s="11">
        <v>46064</v>
      </c>
      <c r="B2038" t="s">
        <v>19</v>
      </c>
      <c r="C2038" t="s">
        <v>16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 t="shared" si="218"/>
        <v>EXCELENTE</v>
      </c>
      <c r="M2038">
        <v>0</v>
      </c>
      <c r="N2038">
        <v>100</v>
      </c>
      <c r="O2038">
        <v>35.483870967741943</v>
      </c>
    </row>
    <row r="2039" spans="1:15" customFormat="1" hidden="1" x14ac:dyDescent="0.25">
      <c r="A2039" s="11">
        <v>46064</v>
      </c>
      <c r="B2039" t="s">
        <v>43</v>
      </c>
      <c r="C2039" t="s">
        <v>32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-13</v>
      </c>
      <c r="L2039" s="3" t="str">
        <f t="shared" si="218"/>
        <v>CRÍTICO</v>
      </c>
      <c r="M2039">
        <v>33</v>
      </c>
      <c r="N2039">
        <v>99.27</v>
      </c>
      <c r="O2039">
        <v>31.163708086785011</v>
      </c>
    </row>
    <row r="2040" spans="1:15" customFormat="1" hidden="1" x14ac:dyDescent="0.25">
      <c r="A2040" s="11">
        <v>46064</v>
      </c>
      <c r="B2040" t="s">
        <v>44</v>
      </c>
      <c r="C2040" t="s">
        <v>32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28</v>
      </c>
      <c r="K2040" s="3">
        <f>I2040-J2040</f>
        <v>-11</v>
      </c>
      <c r="L2040" s="3" t="str">
        <f t="shared" si="218"/>
        <v>CRÍTICO</v>
      </c>
      <c r="M2040">
        <v>15</v>
      </c>
      <c r="N2040">
        <v>94.16</v>
      </c>
      <c r="O2040">
        <v>27.038626609442058</v>
      </c>
    </row>
    <row r="2041" spans="1:15" customFormat="1" hidden="1" x14ac:dyDescent="0.25">
      <c r="A2041" s="11">
        <v>46064</v>
      </c>
      <c r="B2041" t="s">
        <v>20</v>
      </c>
      <c r="C2041" t="s">
        <v>16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 t="shared" si="218"/>
        <v>BOM</v>
      </c>
      <c r="M2041">
        <v>4</v>
      </c>
      <c r="N2041">
        <v>93.75</v>
      </c>
      <c r="O2041">
        <v>19.31818181818182</v>
      </c>
    </row>
    <row r="2042" spans="1:15" customFormat="1" hidden="1" x14ac:dyDescent="0.25">
      <c r="A2042" s="11">
        <v>46064</v>
      </c>
      <c r="B2042" t="s">
        <v>28</v>
      </c>
      <c r="C2042" t="s">
        <v>26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18"/>
        <v>BOM</v>
      </c>
      <c r="M2042">
        <v>0</v>
      </c>
      <c r="N2042">
        <v>0</v>
      </c>
      <c r="O2042">
        <v>0</v>
      </c>
    </row>
    <row r="2043" spans="1:15" customFormat="1" hidden="1" x14ac:dyDescent="0.25">
      <c r="A2043" s="11">
        <v>46064</v>
      </c>
      <c r="B2043" t="s">
        <v>58</v>
      </c>
      <c r="C2043" t="s">
        <v>48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18"/>
        <v>BOM</v>
      </c>
      <c r="M2043">
        <v>0</v>
      </c>
      <c r="N2043">
        <v>97.92</v>
      </c>
      <c r="O2043">
        <v>32.87671232876712</v>
      </c>
    </row>
    <row r="2044" spans="1:15" customFormat="1" hidden="1" x14ac:dyDescent="0.25">
      <c r="A2044" s="11">
        <v>46064</v>
      </c>
      <c r="B2044" t="s">
        <v>29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18"/>
        <v>BOM</v>
      </c>
      <c r="M2044">
        <v>0</v>
      </c>
      <c r="N2044">
        <v>0</v>
      </c>
      <c r="O2044">
        <v>0</v>
      </c>
    </row>
    <row r="2045" spans="1:15" customFormat="1" hidden="1" x14ac:dyDescent="0.25">
      <c r="A2045" s="11">
        <v>46064</v>
      </c>
      <c r="B2045" t="s">
        <v>30</v>
      </c>
      <c r="C2045" t="s">
        <v>26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18"/>
        <v>BOM</v>
      </c>
      <c r="M2045">
        <v>0</v>
      </c>
      <c r="N2045">
        <v>0</v>
      </c>
      <c r="O2045">
        <v>0</v>
      </c>
    </row>
    <row r="2046" spans="1:15" customFormat="1" hidden="1" x14ac:dyDescent="0.25">
      <c r="A2046" s="11">
        <v>46064</v>
      </c>
      <c r="B2046" t="s">
        <v>21</v>
      </c>
      <c r="C2046" t="s">
        <v>16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 t="shared" si="218"/>
        <v>BOM</v>
      </c>
      <c r="M2046">
        <v>0</v>
      </c>
      <c r="N2046">
        <v>0</v>
      </c>
      <c r="O2046">
        <v>0</v>
      </c>
    </row>
    <row r="2047" spans="1:15" customFormat="1" hidden="1" x14ac:dyDescent="0.25">
      <c r="A2047" s="11">
        <v>46064</v>
      </c>
      <c r="B2047" t="s">
        <v>63</v>
      </c>
      <c r="C2047" t="s">
        <v>23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19</v>
      </c>
      <c r="K2047" s="3">
        <f>I2047-J2047</f>
        <v>5</v>
      </c>
      <c r="L2047" s="3" t="str">
        <f t="shared" si="218"/>
        <v>BOM</v>
      </c>
      <c r="M2047">
        <v>17</v>
      </c>
      <c r="N2047">
        <v>98.51</v>
      </c>
      <c r="O2047">
        <v>29.710144927536231</v>
      </c>
    </row>
    <row r="2048" spans="1:15" customFormat="1" hidden="1" x14ac:dyDescent="0.25">
      <c r="A2048" s="11">
        <v>46064</v>
      </c>
      <c r="B2048" t="s">
        <v>45</v>
      </c>
      <c r="C2048" t="s">
        <v>32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28</v>
      </c>
      <c r="K2048" s="3">
        <f>I2048-J2048</f>
        <v>7</v>
      </c>
      <c r="L2048" s="3" t="str">
        <f t="shared" si="218"/>
        <v>EXCELENTE</v>
      </c>
      <c r="M2048">
        <v>38</v>
      </c>
      <c r="N2048">
        <v>98.81</v>
      </c>
      <c r="O2048">
        <v>30.712979890310791</v>
      </c>
    </row>
    <row r="2049" spans="1:15" customFormat="1" hidden="1" x14ac:dyDescent="0.25">
      <c r="A2049" s="11">
        <v>46064</v>
      </c>
      <c r="B2049" t="s">
        <v>64</v>
      </c>
      <c r="C2049" t="s">
        <v>23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19</v>
      </c>
      <c r="K2049" s="3">
        <f>I2049-J2049</f>
        <v>-8</v>
      </c>
      <c r="L2049" s="3" t="str">
        <f t="shared" si="218"/>
        <v>CRÍTICO</v>
      </c>
      <c r="M2049">
        <v>12</v>
      </c>
      <c r="N2049">
        <v>98.48</v>
      </c>
      <c r="O2049">
        <v>29.35323383084577</v>
      </c>
    </row>
    <row r="2050" spans="1:15" customFormat="1" hidden="1" x14ac:dyDescent="0.25">
      <c r="A2050" s="11">
        <v>46064</v>
      </c>
      <c r="B2050" t="s">
        <v>46</v>
      </c>
      <c r="C2050" t="s">
        <v>32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28</v>
      </c>
      <c r="K2050" s="3">
        <f>I2050-J2050</f>
        <v>4</v>
      </c>
      <c r="L2050" s="3" t="str">
        <f t="shared" si="218"/>
        <v>BOM</v>
      </c>
      <c r="M2050">
        <v>27</v>
      </c>
      <c r="N2050">
        <v>98.56</v>
      </c>
      <c r="O2050">
        <v>29.373650107991359</v>
      </c>
    </row>
    <row r="2051" spans="1:15" customFormat="1" hidden="1" x14ac:dyDescent="0.25">
      <c r="A2051" s="11">
        <v>46065</v>
      </c>
      <c r="B2051" t="s">
        <v>47</v>
      </c>
      <c r="C2051" t="s">
        <v>48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21</v>
      </c>
      <c r="K2051" s="3">
        <f>I2051-J2051</f>
        <v>-21</v>
      </c>
      <c r="L2051" s="3" t="str">
        <f t="shared" si="218"/>
        <v>CRÍTICO</v>
      </c>
      <c r="M2051">
        <v>0</v>
      </c>
      <c r="N2051">
        <v>98.32</v>
      </c>
      <c r="O2051">
        <v>30.303030303030301</v>
      </c>
    </row>
    <row r="2052" spans="1:15" customFormat="1" hidden="1" x14ac:dyDescent="0.25">
      <c r="A2052" s="11">
        <v>46065</v>
      </c>
      <c r="B2052" t="s">
        <v>31</v>
      </c>
      <c r="C2052" t="s">
        <v>32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 t="shared" si="218"/>
        <v>BOM</v>
      </c>
      <c r="M2052">
        <v>33</v>
      </c>
      <c r="N2052">
        <v>98.68</v>
      </c>
      <c r="O2052">
        <v>26.219512195121951</v>
      </c>
    </row>
    <row r="2053" spans="1:15" customFormat="1" hidden="1" x14ac:dyDescent="0.25">
      <c r="A2053" s="11">
        <v>46065</v>
      </c>
      <c r="B2053" t="s">
        <v>59</v>
      </c>
      <c r="C2053" t="s">
        <v>23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17</v>
      </c>
      <c r="K2053" s="3">
        <f>I2053-J2053</f>
        <v>7</v>
      </c>
      <c r="L2053" s="3" t="str">
        <f t="shared" si="218"/>
        <v>EXCELENTE</v>
      </c>
      <c r="M2053">
        <v>20</v>
      </c>
      <c r="N2053">
        <v>100</v>
      </c>
      <c r="O2053">
        <v>31.74224343675418</v>
      </c>
    </row>
    <row r="2054" spans="1:15" customFormat="1" hidden="1" x14ac:dyDescent="0.25">
      <c r="A2054" s="11">
        <v>46065</v>
      </c>
      <c r="B2054" t="s">
        <v>33</v>
      </c>
      <c r="C2054" t="s">
        <v>32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27</v>
      </c>
      <c r="K2054" s="3">
        <f>I2054-J2054</f>
        <v>-1</v>
      </c>
      <c r="L2054" s="3" t="str">
        <f t="shared" si="218"/>
        <v>ATENÇÃO</v>
      </c>
      <c r="M2054">
        <v>25</v>
      </c>
      <c r="N2054">
        <v>98.25</v>
      </c>
      <c r="O2054">
        <v>25.83518930957684</v>
      </c>
    </row>
    <row r="2055" spans="1:15" customFormat="1" hidden="1" x14ac:dyDescent="0.25">
      <c r="A2055" s="11">
        <v>46065</v>
      </c>
      <c r="B2055" t="s">
        <v>15</v>
      </c>
      <c r="C2055" t="s">
        <v>16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8</v>
      </c>
      <c r="K2055" s="3">
        <f>I2055-J2055</f>
        <v>1</v>
      </c>
      <c r="L2055" s="3" t="str">
        <f t="shared" ref="L2055:L2118" si="222">IF(K2055&lt;-5,"CRÍTICO",IF(K2055&lt;0,"ATENÇÃO",IF(K2055&lt;=5,"BOM","EXCELENTE")))</f>
        <v>BOM</v>
      </c>
      <c r="M2055">
        <v>9</v>
      </c>
      <c r="N2055">
        <v>97.5</v>
      </c>
      <c r="O2055">
        <v>30.075187969924809</v>
      </c>
    </row>
    <row r="2056" spans="1:15" customFormat="1" hidden="1" x14ac:dyDescent="0.25">
      <c r="A2056" s="11">
        <v>46065</v>
      </c>
      <c r="B2056" t="s">
        <v>49</v>
      </c>
      <c r="C2056" t="s">
        <v>48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-4</v>
      </c>
      <c r="L2056" s="3" t="str">
        <f t="shared" si="222"/>
        <v>ATENÇÃO</v>
      </c>
      <c r="M2056">
        <v>17</v>
      </c>
      <c r="N2056">
        <v>100</v>
      </c>
      <c r="O2056">
        <v>29.71311475409836</v>
      </c>
    </row>
    <row r="2057" spans="1:15" customFormat="1" hidden="1" x14ac:dyDescent="0.25">
      <c r="A2057" s="11">
        <v>46065</v>
      </c>
      <c r="B2057" t="s">
        <v>50</v>
      </c>
      <c r="C2057" t="s">
        <v>48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21</v>
      </c>
      <c r="K2057" s="3">
        <f>I2057-J2057</f>
        <v>-8</v>
      </c>
      <c r="L2057" s="3" t="str">
        <f t="shared" si="222"/>
        <v>CRÍTICO</v>
      </c>
      <c r="M2057">
        <v>14</v>
      </c>
      <c r="N2057">
        <v>99.22</v>
      </c>
      <c r="O2057">
        <v>35.256410256410263</v>
      </c>
    </row>
    <row r="2058" spans="1:15" customFormat="1" hidden="1" x14ac:dyDescent="0.25">
      <c r="A2058" s="11">
        <v>46065</v>
      </c>
      <c r="B2058" t="s">
        <v>17</v>
      </c>
      <c r="C2058" t="s">
        <v>16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 t="shared" si="222"/>
        <v>BOM</v>
      </c>
      <c r="M2058">
        <v>0</v>
      </c>
      <c r="N2058">
        <v>0</v>
      </c>
      <c r="O2058">
        <v>0</v>
      </c>
    </row>
    <row r="2059" spans="1:15" customFormat="1" hidden="1" x14ac:dyDescent="0.25">
      <c r="A2059" s="11">
        <v>46065</v>
      </c>
      <c r="B2059" t="s">
        <v>60</v>
      </c>
      <c r="C2059" t="s">
        <v>23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-11</v>
      </c>
      <c r="L2059" s="3" t="str">
        <f t="shared" si="222"/>
        <v>CRÍTICO</v>
      </c>
      <c r="M2059">
        <v>9</v>
      </c>
      <c r="N2059">
        <v>98.75</v>
      </c>
      <c r="O2059">
        <v>24.32432432432433</v>
      </c>
    </row>
    <row r="2060" spans="1:15" customFormat="1" hidden="1" x14ac:dyDescent="0.25">
      <c r="A2060" s="11">
        <v>46065</v>
      </c>
      <c r="B2060" t="s">
        <v>34</v>
      </c>
      <c r="C2060" t="s">
        <v>32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27</v>
      </c>
      <c r="K2060" s="3">
        <f>I2060-J2060</f>
        <v>9</v>
      </c>
      <c r="L2060" s="3" t="str">
        <f t="shared" si="222"/>
        <v>EXCELENTE</v>
      </c>
      <c r="M2060">
        <v>35</v>
      </c>
      <c r="N2060">
        <v>93.48</v>
      </c>
      <c r="O2060">
        <v>31.52804642166344</v>
      </c>
    </row>
    <row r="2061" spans="1:15" customFormat="1" hidden="1" x14ac:dyDescent="0.25">
      <c r="A2061" s="11">
        <v>46065</v>
      </c>
      <c r="B2061" t="s">
        <v>51</v>
      </c>
      <c r="C2061" t="s">
        <v>48</v>
      </c>
      <c r="D2061">
        <v>38</v>
      </c>
      <c r="E2061">
        <v>36</v>
      </c>
      <c r="F2061">
        <v>15.56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 t="shared" si="222"/>
        <v>BOM</v>
      </c>
      <c r="M2061">
        <v>36</v>
      </c>
      <c r="N2061">
        <v>99.16</v>
      </c>
      <c r="O2061">
        <v>26.13908872901678</v>
      </c>
    </row>
    <row r="2062" spans="1:15" customFormat="1" hidden="1" x14ac:dyDescent="0.25">
      <c r="A2062" s="11">
        <v>46065</v>
      </c>
      <c r="B2062" t="s">
        <v>61</v>
      </c>
      <c r="C2062" t="s">
        <v>23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17</v>
      </c>
      <c r="K2062" s="3">
        <f>I2062-J2062</f>
        <v>-2</v>
      </c>
      <c r="L2062" s="3" t="str">
        <f t="shared" si="222"/>
        <v>ATENÇÃO</v>
      </c>
      <c r="M2062">
        <v>13</v>
      </c>
      <c r="N2062">
        <v>100</v>
      </c>
      <c r="O2062">
        <v>31.089743589743591</v>
      </c>
    </row>
    <row r="2063" spans="1:15" customFormat="1" hidden="1" x14ac:dyDescent="0.25">
      <c r="A2063" s="11">
        <v>46065</v>
      </c>
      <c r="B2063" t="s">
        <v>35</v>
      </c>
      <c r="C2063" t="s">
        <v>32</v>
      </c>
      <c r="D2063">
        <v>26</v>
      </c>
      <c r="E2063">
        <v>26</v>
      </c>
      <c r="F2063">
        <v>27.22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 t="shared" si="222"/>
        <v>BOM</v>
      </c>
      <c r="M2063">
        <v>25</v>
      </c>
      <c r="N2063">
        <v>98.11</v>
      </c>
      <c r="O2063">
        <v>33.033707865168537</v>
      </c>
    </row>
    <row r="2064" spans="1:15" customFormat="1" hidden="1" x14ac:dyDescent="0.25">
      <c r="A2064" s="11">
        <v>46065</v>
      </c>
      <c r="B2064" t="s">
        <v>18</v>
      </c>
      <c r="C2064" t="s">
        <v>16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ref="I2064:I2072" si="223">E2064+G2064+H2064</f>
        <v>13</v>
      </c>
      <c r="J2064" s="3">
        <f t="shared" ref="J2064:J2072" si="224"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8</v>
      </c>
      <c r="K2064" s="3">
        <f t="shared" ref="K2064:K2072" si="225">I2064-J2064</f>
        <v>5</v>
      </c>
      <c r="L2064" s="3" t="str">
        <f t="shared" si="222"/>
        <v>BOM</v>
      </c>
      <c r="M2064">
        <v>2</v>
      </c>
      <c r="N2064">
        <v>78.95</v>
      </c>
      <c r="O2064">
        <v>38.983050847457633</v>
      </c>
    </row>
    <row r="2065" spans="1:15" customFormat="1" hidden="1" x14ac:dyDescent="0.25">
      <c r="A2065" s="11">
        <v>46065</v>
      </c>
      <c r="B2065" t="s">
        <v>52</v>
      </c>
      <c r="C2065" t="s">
        <v>48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223"/>
        <v>20</v>
      </c>
      <c r="J2065" s="3">
        <f t="shared" si="224"/>
        <v>21</v>
      </c>
      <c r="K2065" s="3">
        <f t="shared" si="225"/>
        <v>-1</v>
      </c>
      <c r="L2065" s="3" t="str">
        <f t="shared" si="222"/>
        <v>ATENÇÃO</v>
      </c>
      <c r="M2065">
        <v>17</v>
      </c>
      <c r="N2065">
        <v>98.45</v>
      </c>
      <c r="O2065">
        <v>29.281767955801101</v>
      </c>
    </row>
    <row r="2066" spans="1:15" customFormat="1" hidden="1" x14ac:dyDescent="0.25">
      <c r="A2066" s="11">
        <v>46065</v>
      </c>
      <c r="B2066" t="s">
        <v>36</v>
      </c>
      <c r="C2066" t="s">
        <v>32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223"/>
        <v>29</v>
      </c>
      <c r="J2066" s="3">
        <f t="shared" si="224"/>
        <v>27</v>
      </c>
      <c r="K2066" s="3">
        <f t="shared" si="225"/>
        <v>2</v>
      </c>
      <c r="L2066" s="3" t="str">
        <f t="shared" si="222"/>
        <v>BOM</v>
      </c>
      <c r="M2066">
        <v>29</v>
      </c>
      <c r="N2066">
        <v>97.84</v>
      </c>
      <c r="O2066">
        <v>26.282051282051281</v>
      </c>
    </row>
    <row r="2067" spans="1:15" customFormat="1" hidden="1" x14ac:dyDescent="0.25">
      <c r="A2067" s="11">
        <v>46065</v>
      </c>
      <c r="B2067" t="s">
        <v>53</v>
      </c>
      <c r="C2067" t="s">
        <v>48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223"/>
        <v>29</v>
      </c>
      <c r="J2067" s="3">
        <f t="shared" si="224"/>
        <v>21</v>
      </c>
      <c r="K2067" s="3">
        <f t="shared" si="225"/>
        <v>8</v>
      </c>
      <c r="L2067" s="3" t="str">
        <f t="shared" si="222"/>
        <v>EXCELENTE</v>
      </c>
      <c r="M2067">
        <v>29</v>
      </c>
      <c r="N2067">
        <v>98.5</v>
      </c>
      <c r="O2067">
        <v>23.97769516728625</v>
      </c>
    </row>
    <row r="2068" spans="1:15" customFormat="1" hidden="1" x14ac:dyDescent="0.25">
      <c r="A2068" s="11">
        <v>46099</v>
      </c>
      <c r="B2068" t="s">
        <v>22</v>
      </c>
      <c r="C2068" t="s">
        <v>23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223"/>
        <v>25</v>
      </c>
      <c r="J2068" s="3">
        <f t="shared" si="224"/>
        <v>14</v>
      </c>
      <c r="K2068" s="3">
        <f t="shared" si="225"/>
        <v>11</v>
      </c>
      <c r="L2068" s="3" t="str">
        <f t="shared" si="222"/>
        <v>EXCELENTE</v>
      </c>
      <c r="M2068">
        <v>24</v>
      </c>
      <c r="N2068">
        <v>99.05</v>
      </c>
      <c r="O2068">
        <v>26.621923937360179</v>
      </c>
    </row>
    <row r="2069" spans="1:15" customFormat="1" hidden="1" x14ac:dyDescent="0.25">
      <c r="A2069" s="11">
        <v>46065</v>
      </c>
      <c r="B2069" t="s">
        <v>54</v>
      </c>
      <c r="C2069" t="s">
        <v>48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223"/>
        <v>33</v>
      </c>
      <c r="J2069" s="3">
        <f t="shared" si="224"/>
        <v>21</v>
      </c>
      <c r="K2069" s="3">
        <f t="shared" si="225"/>
        <v>12</v>
      </c>
      <c r="L2069" s="3" t="str">
        <f t="shared" si="222"/>
        <v>EXCELENTE</v>
      </c>
      <c r="M2069">
        <v>29</v>
      </c>
      <c r="N2069">
        <v>98.53</v>
      </c>
      <c r="O2069">
        <v>31.578947368421051</v>
      </c>
    </row>
    <row r="2070" spans="1:15" customFormat="1" hidden="1" x14ac:dyDescent="0.25">
      <c r="A2070" s="11">
        <v>46065</v>
      </c>
      <c r="B2070" t="s">
        <v>37</v>
      </c>
      <c r="C2070" t="s">
        <v>32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223"/>
        <v>37</v>
      </c>
      <c r="J2070" s="3">
        <f t="shared" si="224"/>
        <v>27</v>
      </c>
      <c r="K2070" s="3">
        <f t="shared" si="225"/>
        <v>10</v>
      </c>
      <c r="L2070" s="3" t="str">
        <f t="shared" si="222"/>
        <v>EXCELENTE</v>
      </c>
      <c r="M2070">
        <v>37</v>
      </c>
      <c r="N2070">
        <v>100</v>
      </c>
      <c r="O2070">
        <v>25.72214580467676</v>
      </c>
    </row>
    <row r="2071" spans="1:15" customFormat="1" hidden="1" x14ac:dyDescent="0.25">
      <c r="A2071" s="11">
        <v>46065</v>
      </c>
      <c r="B2071" t="s">
        <v>38</v>
      </c>
      <c r="C2071" t="s">
        <v>32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223"/>
        <v>20</v>
      </c>
      <c r="J2071" s="3">
        <f t="shared" si="224"/>
        <v>27</v>
      </c>
      <c r="K2071" s="3">
        <f t="shared" si="225"/>
        <v>-7</v>
      </c>
      <c r="L2071" s="3" t="str">
        <f t="shared" si="222"/>
        <v>CRÍTICO</v>
      </c>
      <c r="M2071">
        <v>17</v>
      </c>
      <c r="N2071">
        <v>94.64</v>
      </c>
      <c r="O2071">
        <v>27.52941176470588</v>
      </c>
    </row>
    <row r="2072" spans="1:15" customFormat="1" hidden="1" x14ac:dyDescent="0.25">
      <c r="A2072" s="11">
        <v>46065</v>
      </c>
      <c r="B2072" t="s">
        <v>55</v>
      </c>
      <c r="C2072" t="s">
        <v>48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223"/>
        <v>17</v>
      </c>
      <c r="J2072" s="3">
        <f t="shared" si="224"/>
        <v>21</v>
      </c>
      <c r="K2072" s="3">
        <f t="shared" si="225"/>
        <v>-4</v>
      </c>
      <c r="L2072" s="3" t="str">
        <f t="shared" si="222"/>
        <v>ATENÇÃO</v>
      </c>
      <c r="M2072">
        <v>16</v>
      </c>
      <c r="N2072">
        <v>99.07</v>
      </c>
      <c r="O2072">
        <v>26.376811594202898</v>
      </c>
    </row>
    <row r="2073" spans="1:15" customFormat="1" hidden="1" x14ac:dyDescent="0.25">
      <c r="A2073" s="11">
        <v>46065</v>
      </c>
      <c r="B2073" t="s">
        <v>39</v>
      </c>
      <c r="C2073" t="s">
        <v>32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 t="shared" si="222"/>
        <v>BOM</v>
      </c>
      <c r="M2073">
        <v>0</v>
      </c>
      <c r="N2073">
        <v>100</v>
      </c>
      <c r="O2073">
        <v>0</v>
      </c>
    </row>
    <row r="2074" spans="1:15" customFormat="1" hidden="1" x14ac:dyDescent="0.25">
      <c r="A2074" s="11">
        <v>46065</v>
      </c>
      <c r="B2074" t="s">
        <v>25</v>
      </c>
      <c r="C2074" t="s">
        <v>26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15</v>
      </c>
      <c r="K2074" s="3">
        <f>I2074-J2074</f>
        <v>-8</v>
      </c>
      <c r="L2074" s="3" t="str">
        <f t="shared" si="222"/>
        <v>CRÍTICO</v>
      </c>
      <c r="M2074">
        <v>7</v>
      </c>
      <c r="N2074">
        <v>98.48</v>
      </c>
      <c r="O2074">
        <v>27.853881278538811</v>
      </c>
    </row>
    <row r="2075" spans="1:15" customFormat="1" hidden="1" x14ac:dyDescent="0.25">
      <c r="A2075" s="11">
        <v>46065</v>
      </c>
      <c r="B2075" t="s">
        <v>40</v>
      </c>
      <c r="C2075" t="s">
        <v>32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27</v>
      </c>
      <c r="K2075" s="3">
        <f>I2075-J2075</f>
        <v>-18</v>
      </c>
      <c r="L2075" s="3" t="str">
        <f t="shared" si="222"/>
        <v>CRÍTICO</v>
      </c>
      <c r="M2075">
        <v>21</v>
      </c>
      <c r="N2075">
        <v>95.15</v>
      </c>
      <c r="O2075">
        <v>34.131736526946113</v>
      </c>
    </row>
    <row r="2076" spans="1:15" customFormat="1" hidden="1" x14ac:dyDescent="0.25">
      <c r="A2076" s="11">
        <v>46065</v>
      </c>
      <c r="B2076" t="s">
        <v>27</v>
      </c>
      <c r="C2076" t="s">
        <v>26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 t="shared" si="222"/>
        <v>BOM</v>
      </c>
      <c r="M2076">
        <v>0</v>
      </c>
      <c r="N2076">
        <v>0</v>
      </c>
      <c r="O2076">
        <v>0</v>
      </c>
    </row>
    <row r="2077" spans="1:15" customFormat="1" hidden="1" x14ac:dyDescent="0.25">
      <c r="A2077" s="11">
        <v>46065</v>
      </c>
      <c r="B2077" t="s">
        <v>41</v>
      </c>
      <c r="C2077" t="s">
        <v>32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27</v>
      </c>
      <c r="K2077" s="3">
        <f>I2077-J2077</f>
        <v>2</v>
      </c>
      <c r="L2077" s="3" t="str">
        <f t="shared" si="222"/>
        <v>BOM</v>
      </c>
      <c r="M2077">
        <v>26</v>
      </c>
      <c r="N2077">
        <v>99.26</v>
      </c>
      <c r="O2077">
        <v>30.84832904884319</v>
      </c>
    </row>
    <row r="2078" spans="1:15" customFormat="1" hidden="1" x14ac:dyDescent="0.25">
      <c r="A2078" s="11">
        <v>46065</v>
      </c>
      <c r="B2078" t="s">
        <v>56</v>
      </c>
      <c r="C2078" t="s">
        <v>48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21</v>
      </c>
      <c r="K2078" s="3">
        <f>I2078-J2078</f>
        <v>15</v>
      </c>
      <c r="L2078" s="3" t="str">
        <f t="shared" si="222"/>
        <v>EXCELENTE</v>
      </c>
      <c r="M2078">
        <v>23</v>
      </c>
      <c r="N2078">
        <v>97.48</v>
      </c>
      <c r="O2078">
        <v>27.764705882352938</v>
      </c>
    </row>
    <row r="2079" spans="1:15" customFormat="1" hidden="1" x14ac:dyDescent="0.25">
      <c r="A2079" s="11">
        <v>46065</v>
      </c>
      <c r="B2079" t="s">
        <v>57</v>
      </c>
      <c r="C2079" t="s">
        <v>48</v>
      </c>
      <c r="D2079">
        <v>25</v>
      </c>
      <c r="E2079">
        <v>23</v>
      </c>
      <c r="F2079">
        <v>20.41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22"/>
        <v>BOM</v>
      </c>
      <c r="M2079">
        <v>19</v>
      </c>
      <c r="N2079">
        <v>99.34</v>
      </c>
      <c r="O2079">
        <v>30.04291845493562</v>
      </c>
    </row>
    <row r="2080" spans="1:15" customFormat="1" hidden="1" x14ac:dyDescent="0.25">
      <c r="A2080" s="11">
        <v>46065</v>
      </c>
      <c r="B2080" t="s">
        <v>42</v>
      </c>
      <c r="C2080" t="s">
        <v>32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 t="shared" si="222"/>
        <v>BOM</v>
      </c>
      <c r="M2080">
        <v>0</v>
      </c>
      <c r="N2080">
        <v>96.3</v>
      </c>
      <c r="O2080">
        <v>24.29378531073446</v>
      </c>
    </row>
    <row r="2081" spans="1:15" customFormat="1" hidden="1" x14ac:dyDescent="0.25">
      <c r="A2081" s="11">
        <v>46065</v>
      </c>
      <c r="B2081" t="s">
        <v>62</v>
      </c>
      <c r="C2081" t="s">
        <v>23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17</v>
      </c>
      <c r="K2081" s="3">
        <f>I2081-J2081</f>
        <v>11</v>
      </c>
      <c r="L2081" s="3" t="str">
        <f t="shared" si="222"/>
        <v>EXCELENTE</v>
      </c>
      <c r="M2081">
        <v>23</v>
      </c>
      <c r="N2081">
        <v>100</v>
      </c>
      <c r="O2081">
        <v>26.543209876543209</v>
      </c>
    </row>
    <row r="2082" spans="1:15" customFormat="1" hidden="1" x14ac:dyDescent="0.25">
      <c r="A2082" s="11">
        <v>46065</v>
      </c>
      <c r="B2082" t="s">
        <v>19</v>
      </c>
      <c r="C2082" t="s">
        <v>16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8</v>
      </c>
      <c r="L2082" s="3" t="str">
        <f t="shared" si="222"/>
        <v>EXCELENTE</v>
      </c>
      <c r="M2082">
        <v>1</v>
      </c>
      <c r="N2082">
        <v>100</v>
      </c>
      <c r="O2082">
        <v>35.483870967741943</v>
      </c>
    </row>
    <row r="2083" spans="1:15" customFormat="1" hidden="1" x14ac:dyDescent="0.25">
      <c r="A2083" s="11">
        <v>46065</v>
      </c>
      <c r="B2083" t="s">
        <v>43</v>
      </c>
      <c r="C2083" t="s">
        <v>32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7</v>
      </c>
      <c r="L2083" s="3" t="str">
        <f t="shared" si="222"/>
        <v>EXCELENTE</v>
      </c>
      <c r="M2083">
        <v>31</v>
      </c>
      <c r="N2083">
        <v>99.27</v>
      </c>
      <c r="O2083">
        <v>31.163708086785011</v>
      </c>
    </row>
    <row r="2084" spans="1:15" customFormat="1" hidden="1" x14ac:dyDescent="0.25">
      <c r="A2084" s="11">
        <v>46065</v>
      </c>
      <c r="B2084" t="s">
        <v>44</v>
      </c>
      <c r="C2084" t="s">
        <v>32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27</v>
      </c>
      <c r="K2084" s="3">
        <f>I2084-J2084</f>
        <v>-10</v>
      </c>
      <c r="L2084" s="3" t="str">
        <f t="shared" si="222"/>
        <v>CRÍTICO</v>
      </c>
      <c r="M2084">
        <v>16</v>
      </c>
      <c r="N2084">
        <v>94.16</v>
      </c>
      <c r="O2084">
        <v>27.038626609442058</v>
      </c>
    </row>
    <row r="2085" spans="1:15" customFormat="1" hidden="1" x14ac:dyDescent="0.25">
      <c r="A2085" s="11">
        <v>46065</v>
      </c>
      <c r="B2085" t="s">
        <v>20</v>
      </c>
      <c r="C2085" t="s">
        <v>16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8</v>
      </c>
      <c r="K2085" s="3">
        <f>I2085-J2085</f>
        <v>5</v>
      </c>
      <c r="L2085" s="3" t="str">
        <f t="shared" si="222"/>
        <v>BOM</v>
      </c>
      <c r="M2085">
        <v>4</v>
      </c>
      <c r="N2085">
        <v>93.75</v>
      </c>
      <c r="O2085">
        <v>19.31818181818182</v>
      </c>
    </row>
    <row r="2086" spans="1:15" customFormat="1" hidden="1" x14ac:dyDescent="0.25">
      <c r="A2086" s="11">
        <v>46065</v>
      </c>
      <c r="B2086" t="s">
        <v>28</v>
      </c>
      <c r="C2086" t="s">
        <v>26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22"/>
        <v>BOM</v>
      </c>
      <c r="M2086">
        <v>0</v>
      </c>
      <c r="N2086">
        <v>0</v>
      </c>
      <c r="O2086">
        <v>0</v>
      </c>
    </row>
    <row r="2087" spans="1:15" customFormat="1" hidden="1" x14ac:dyDescent="0.25">
      <c r="A2087" s="11">
        <v>46065</v>
      </c>
      <c r="B2087" t="s">
        <v>58</v>
      </c>
      <c r="C2087" t="s">
        <v>48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22"/>
        <v>BOM</v>
      </c>
      <c r="M2087">
        <v>0</v>
      </c>
      <c r="N2087">
        <v>97.92</v>
      </c>
      <c r="O2087">
        <v>32.87671232876712</v>
      </c>
    </row>
    <row r="2088" spans="1:15" customFormat="1" hidden="1" x14ac:dyDescent="0.25">
      <c r="A2088" s="11">
        <v>46065</v>
      </c>
      <c r="B2088" t="s">
        <v>29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22"/>
        <v>BOM</v>
      </c>
      <c r="M2088">
        <v>0</v>
      </c>
      <c r="N2088">
        <v>0</v>
      </c>
      <c r="O2088">
        <v>0</v>
      </c>
    </row>
    <row r="2089" spans="1:15" customFormat="1" hidden="1" x14ac:dyDescent="0.25">
      <c r="A2089" s="11">
        <v>46065</v>
      </c>
      <c r="B2089" t="s">
        <v>30</v>
      </c>
      <c r="C2089" t="s">
        <v>26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22"/>
        <v>BOM</v>
      </c>
      <c r="M2089">
        <v>0</v>
      </c>
      <c r="N2089">
        <v>0</v>
      </c>
      <c r="O2089">
        <v>0</v>
      </c>
    </row>
    <row r="2090" spans="1:15" customFormat="1" hidden="1" x14ac:dyDescent="0.25">
      <c r="A2090" s="11">
        <v>46065</v>
      </c>
      <c r="B2090" t="s">
        <v>21</v>
      </c>
      <c r="C2090" t="s">
        <v>16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 t="shared" si="222"/>
        <v>BOM</v>
      </c>
      <c r="M2090">
        <v>0</v>
      </c>
      <c r="N2090">
        <v>0</v>
      </c>
      <c r="O2090">
        <v>0</v>
      </c>
    </row>
    <row r="2091" spans="1:15" customFormat="1" hidden="1" x14ac:dyDescent="0.25">
      <c r="A2091" s="11">
        <v>46065</v>
      </c>
      <c r="B2091" t="s">
        <v>63</v>
      </c>
      <c r="C2091" t="s">
        <v>23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17</v>
      </c>
      <c r="K2091" s="3">
        <f>I2091-J2091</f>
        <v>7</v>
      </c>
      <c r="L2091" s="3" t="str">
        <f t="shared" si="222"/>
        <v>EXCELENTE</v>
      </c>
      <c r="M2091">
        <v>20</v>
      </c>
      <c r="N2091">
        <v>98.51</v>
      </c>
      <c r="O2091">
        <v>29.710144927536231</v>
      </c>
    </row>
    <row r="2092" spans="1:15" customFormat="1" hidden="1" x14ac:dyDescent="0.25">
      <c r="A2092" s="11">
        <v>46065</v>
      </c>
      <c r="B2092" t="s">
        <v>45</v>
      </c>
      <c r="C2092" t="s">
        <v>32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27</v>
      </c>
      <c r="K2092" s="3">
        <f>I2092-J2092</f>
        <v>19</v>
      </c>
      <c r="L2092" s="3" t="str">
        <f t="shared" si="222"/>
        <v>EXCELENTE</v>
      </c>
      <c r="M2092">
        <v>43</v>
      </c>
      <c r="N2092">
        <v>98.81</v>
      </c>
      <c r="O2092">
        <v>30.712979890310791</v>
      </c>
    </row>
    <row r="2093" spans="1:15" customFormat="1" hidden="1" x14ac:dyDescent="0.25">
      <c r="A2093" s="11">
        <v>46065</v>
      </c>
      <c r="B2093" t="s">
        <v>64</v>
      </c>
      <c r="C2093" t="s">
        <v>23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17</v>
      </c>
      <c r="K2093" s="3">
        <f>I2093-J2093</f>
        <v>-6</v>
      </c>
      <c r="L2093" s="3" t="str">
        <f t="shared" si="222"/>
        <v>CRÍTICO</v>
      </c>
      <c r="M2093">
        <v>7</v>
      </c>
      <c r="N2093">
        <v>98.48</v>
      </c>
      <c r="O2093">
        <v>29.35323383084577</v>
      </c>
    </row>
    <row r="2094" spans="1:15" customFormat="1" hidden="1" x14ac:dyDescent="0.25">
      <c r="A2094" s="11">
        <v>46065</v>
      </c>
      <c r="B2094" t="s">
        <v>46</v>
      </c>
      <c r="C2094" t="s">
        <v>32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27</v>
      </c>
      <c r="K2094" s="3">
        <f>I2094-J2094</f>
        <v>2</v>
      </c>
      <c r="L2094" s="3" t="str">
        <f t="shared" si="222"/>
        <v>BOM</v>
      </c>
      <c r="M2094">
        <v>26</v>
      </c>
      <c r="N2094">
        <v>98.56</v>
      </c>
      <c r="O2094">
        <v>29.373650107991359</v>
      </c>
    </row>
    <row r="2095" spans="1:15" customFormat="1" hidden="1" x14ac:dyDescent="0.25">
      <c r="A2095" s="11">
        <v>46066</v>
      </c>
      <c r="B2095" t="s">
        <v>47</v>
      </c>
      <c r="C2095" t="s">
        <v>48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22</v>
      </c>
      <c r="K2095" s="3">
        <f>I2095-J2095</f>
        <v>9</v>
      </c>
      <c r="L2095" s="3" t="str">
        <f t="shared" si="222"/>
        <v>EXCELENTE</v>
      </c>
      <c r="M2095">
        <v>27</v>
      </c>
      <c r="N2095">
        <v>98.32</v>
      </c>
      <c r="O2095">
        <v>30.303030303030301</v>
      </c>
    </row>
    <row r="2096" spans="1:15" customFormat="1" hidden="1" x14ac:dyDescent="0.25">
      <c r="A2096" s="11">
        <v>46066</v>
      </c>
      <c r="B2096" t="s">
        <v>31</v>
      </c>
      <c r="C2096" t="s">
        <v>32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 t="shared" si="222"/>
        <v>BOM</v>
      </c>
      <c r="M2096">
        <v>28</v>
      </c>
      <c r="N2096">
        <v>98.68</v>
      </c>
      <c r="O2096">
        <v>26.219512195121951</v>
      </c>
    </row>
    <row r="2097" spans="1:15" customFormat="1" hidden="1" x14ac:dyDescent="0.25">
      <c r="A2097" s="11">
        <v>46066</v>
      </c>
      <c r="B2097" t="s">
        <v>59</v>
      </c>
      <c r="C2097" t="s">
        <v>23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18</v>
      </c>
      <c r="K2097" s="3">
        <f>I2097-J2097</f>
        <v>-2</v>
      </c>
      <c r="L2097" s="3" t="str">
        <f t="shared" si="222"/>
        <v>ATENÇÃO</v>
      </c>
      <c r="M2097">
        <v>16</v>
      </c>
      <c r="N2097">
        <v>100</v>
      </c>
      <c r="O2097">
        <v>31.74224343675418</v>
      </c>
    </row>
    <row r="2098" spans="1:15" customFormat="1" hidden="1" x14ac:dyDescent="0.25">
      <c r="A2098" s="11">
        <v>46066</v>
      </c>
      <c r="B2098" t="s">
        <v>33</v>
      </c>
      <c r="C2098" t="s">
        <v>32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27</v>
      </c>
      <c r="K2098" s="3">
        <f>I2098-J2098</f>
        <v>-10</v>
      </c>
      <c r="L2098" s="3" t="str">
        <f t="shared" si="222"/>
        <v>CRÍTICO</v>
      </c>
      <c r="M2098">
        <v>17</v>
      </c>
      <c r="N2098">
        <v>98.25</v>
      </c>
      <c r="O2098">
        <v>25.83518930957684</v>
      </c>
    </row>
    <row r="2099" spans="1:15" customFormat="1" hidden="1" x14ac:dyDescent="0.25">
      <c r="A2099" s="11">
        <v>46066</v>
      </c>
      <c r="B2099" t="s">
        <v>15</v>
      </c>
      <c r="C2099" t="s">
        <v>16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8</v>
      </c>
      <c r="K2099" s="3">
        <f>I2099-J2099</f>
        <v>0</v>
      </c>
      <c r="L2099" s="3" t="str">
        <f t="shared" si="222"/>
        <v>BOM</v>
      </c>
      <c r="M2099">
        <v>7</v>
      </c>
      <c r="N2099">
        <v>97.5</v>
      </c>
      <c r="O2099">
        <v>30.075187969924809</v>
      </c>
    </row>
    <row r="2100" spans="1:15" customFormat="1" hidden="1" x14ac:dyDescent="0.25">
      <c r="A2100" s="11">
        <v>46066</v>
      </c>
      <c r="B2100" t="s">
        <v>49</v>
      </c>
      <c r="C2100" t="s">
        <v>48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8</v>
      </c>
      <c r="L2100" s="3" t="str">
        <f t="shared" si="222"/>
        <v>EXCELENTE</v>
      </c>
      <c r="M2100">
        <v>31</v>
      </c>
      <c r="N2100">
        <v>100</v>
      </c>
      <c r="O2100">
        <v>29.71311475409836</v>
      </c>
    </row>
    <row r="2101" spans="1:15" customFormat="1" hidden="1" x14ac:dyDescent="0.25">
      <c r="A2101" s="11">
        <v>46066</v>
      </c>
      <c r="B2101" t="s">
        <v>50</v>
      </c>
      <c r="C2101" t="s">
        <v>48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22</v>
      </c>
      <c r="K2101" s="3">
        <f>I2101-J2101</f>
        <v>-6</v>
      </c>
      <c r="L2101" s="3" t="str">
        <f t="shared" si="222"/>
        <v>CRÍTICO</v>
      </c>
      <c r="M2101">
        <v>18</v>
      </c>
      <c r="N2101">
        <v>99.22</v>
      </c>
      <c r="O2101">
        <v>35.256410256410263</v>
      </c>
    </row>
    <row r="2102" spans="1:15" customFormat="1" hidden="1" x14ac:dyDescent="0.25">
      <c r="A2102" s="11">
        <v>46066</v>
      </c>
      <c r="B2102" t="s">
        <v>17</v>
      </c>
      <c r="C2102" t="s">
        <v>16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 t="shared" si="222"/>
        <v>BOM</v>
      </c>
      <c r="M2102">
        <v>0</v>
      </c>
      <c r="N2102">
        <v>0</v>
      </c>
      <c r="O2102">
        <v>0</v>
      </c>
    </row>
    <row r="2103" spans="1:15" customFormat="1" hidden="1" x14ac:dyDescent="0.25">
      <c r="A2103" s="11">
        <v>46066</v>
      </c>
      <c r="B2103" t="s">
        <v>60</v>
      </c>
      <c r="C2103" t="s">
        <v>23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-10</v>
      </c>
      <c r="L2103" s="3" t="str">
        <f t="shared" si="222"/>
        <v>CRÍTICO</v>
      </c>
      <c r="M2103">
        <v>17</v>
      </c>
      <c r="N2103">
        <v>98.75</v>
      </c>
      <c r="O2103">
        <v>24.32432432432433</v>
      </c>
    </row>
    <row r="2104" spans="1:15" customFormat="1" hidden="1" x14ac:dyDescent="0.25">
      <c r="A2104" s="11">
        <v>46066</v>
      </c>
      <c r="B2104" t="s">
        <v>34</v>
      </c>
      <c r="C2104" t="s">
        <v>32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27</v>
      </c>
      <c r="K2104" s="3">
        <f>I2104-J2104</f>
        <v>11</v>
      </c>
      <c r="L2104" s="3" t="str">
        <f t="shared" si="222"/>
        <v>EXCELENTE</v>
      </c>
      <c r="M2104">
        <v>42</v>
      </c>
      <c r="N2104">
        <v>93.48</v>
      </c>
      <c r="O2104">
        <v>31.52804642166344</v>
      </c>
    </row>
    <row r="2105" spans="1:15" customFormat="1" hidden="1" x14ac:dyDescent="0.25">
      <c r="A2105" s="11">
        <v>46066</v>
      </c>
      <c r="B2105" t="s">
        <v>51</v>
      </c>
      <c r="C2105" t="s">
        <v>48</v>
      </c>
      <c r="D2105">
        <v>21</v>
      </c>
      <c r="E2105">
        <v>18</v>
      </c>
      <c r="F2105">
        <v>35.57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 t="shared" si="222"/>
        <v>BOM</v>
      </c>
      <c r="M2105">
        <v>21</v>
      </c>
      <c r="N2105">
        <v>99.16</v>
      </c>
      <c r="O2105">
        <v>26.13908872901678</v>
      </c>
    </row>
    <row r="2106" spans="1:15" customFormat="1" hidden="1" x14ac:dyDescent="0.25">
      <c r="A2106" s="11">
        <v>46066</v>
      </c>
      <c r="B2106" t="s">
        <v>61</v>
      </c>
      <c r="C2106" t="s">
        <v>23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18</v>
      </c>
      <c r="K2106" s="3">
        <f>I2106-J2106</f>
        <v>-6</v>
      </c>
      <c r="L2106" s="3" t="str">
        <f t="shared" si="222"/>
        <v>CRÍTICO</v>
      </c>
      <c r="M2106">
        <v>9</v>
      </c>
      <c r="N2106">
        <v>100</v>
      </c>
      <c r="O2106">
        <v>31.089743589743591</v>
      </c>
    </row>
    <row r="2107" spans="1:15" customFormat="1" hidden="1" x14ac:dyDescent="0.25">
      <c r="A2107" s="11">
        <v>46066</v>
      </c>
      <c r="B2107" t="s">
        <v>35</v>
      </c>
      <c r="C2107" t="s">
        <v>32</v>
      </c>
      <c r="D2107">
        <v>29</v>
      </c>
      <c r="E2107">
        <v>28</v>
      </c>
      <c r="F2107">
        <v>27.38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 t="shared" si="222"/>
        <v>BOM</v>
      </c>
      <c r="M2107">
        <v>28</v>
      </c>
      <c r="N2107">
        <v>98.11</v>
      </c>
      <c r="O2107">
        <v>33.033707865168537</v>
      </c>
    </row>
    <row r="2108" spans="1:15" customFormat="1" hidden="1" x14ac:dyDescent="0.25">
      <c r="A2108" s="11">
        <v>46066</v>
      </c>
      <c r="B2108" t="s">
        <v>18</v>
      </c>
      <c r="C2108" t="s">
        <v>16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ref="I2108:I2116" si="226">E2108+G2108+H2108</f>
        <v>33</v>
      </c>
      <c r="J2108" s="3">
        <f t="shared" ref="J2108:J2116" si="227"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8</v>
      </c>
      <c r="K2108" s="3">
        <f t="shared" ref="K2108:K2116" si="228">I2108-J2108</f>
        <v>25</v>
      </c>
      <c r="L2108" s="3" t="str">
        <f t="shared" si="222"/>
        <v>EXCELENTE</v>
      </c>
      <c r="M2108">
        <v>2</v>
      </c>
      <c r="N2108">
        <v>78.95</v>
      </c>
      <c r="O2108">
        <v>38.983050847457633</v>
      </c>
    </row>
    <row r="2109" spans="1:15" customFormat="1" hidden="1" x14ac:dyDescent="0.25">
      <c r="A2109" s="11">
        <v>46066</v>
      </c>
      <c r="B2109" t="s">
        <v>52</v>
      </c>
      <c r="C2109" t="s">
        <v>48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226"/>
        <v>16</v>
      </c>
      <c r="J2109" s="3">
        <f t="shared" si="227"/>
        <v>22</v>
      </c>
      <c r="K2109" s="3">
        <f t="shared" si="228"/>
        <v>-6</v>
      </c>
      <c r="L2109" s="3" t="str">
        <f t="shared" si="222"/>
        <v>CRÍTICO</v>
      </c>
      <c r="M2109">
        <v>17</v>
      </c>
      <c r="N2109">
        <v>98.45</v>
      </c>
      <c r="O2109">
        <v>29.281767955801101</v>
      </c>
    </row>
    <row r="2110" spans="1:15" customFormat="1" hidden="1" x14ac:dyDescent="0.25">
      <c r="A2110" s="11">
        <v>46066</v>
      </c>
      <c r="B2110" t="s">
        <v>36</v>
      </c>
      <c r="C2110" t="s">
        <v>32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226"/>
        <v>25</v>
      </c>
      <c r="J2110" s="3">
        <f t="shared" si="227"/>
        <v>27</v>
      </c>
      <c r="K2110" s="3">
        <f t="shared" si="228"/>
        <v>-2</v>
      </c>
      <c r="L2110" s="3" t="str">
        <f t="shared" si="222"/>
        <v>ATENÇÃO</v>
      </c>
      <c r="M2110">
        <v>26</v>
      </c>
      <c r="N2110">
        <v>97.84</v>
      </c>
      <c r="O2110">
        <v>26.282051282051281</v>
      </c>
    </row>
    <row r="2111" spans="1:15" customFormat="1" hidden="1" x14ac:dyDescent="0.25">
      <c r="A2111" s="11">
        <v>46066</v>
      </c>
      <c r="B2111" t="s">
        <v>53</v>
      </c>
      <c r="C2111" t="s">
        <v>48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226"/>
        <v>36</v>
      </c>
      <c r="J2111" s="3">
        <f t="shared" si="227"/>
        <v>22</v>
      </c>
      <c r="K2111" s="3">
        <f t="shared" si="228"/>
        <v>14</v>
      </c>
      <c r="L2111" s="3" t="str">
        <f t="shared" si="222"/>
        <v>EXCELENTE</v>
      </c>
      <c r="M2111">
        <v>34</v>
      </c>
      <c r="N2111">
        <v>98.5</v>
      </c>
      <c r="O2111">
        <v>23.97769516728625</v>
      </c>
    </row>
    <row r="2112" spans="1:15" customFormat="1" hidden="1" x14ac:dyDescent="0.25">
      <c r="A2112" s="11">
        <v>46100</v>
      </c>
      <c r="B2112" t="s">
        <v>22</v>
      </c>
      <c r="C2112" t="s">
        <v>23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226"/>
        <v>12</v>
      </c>
      <c r="J2112" s="3">
        <f t="shared" si="227"/>
        <v>14</v>
      </c>
      <c r="K2112" s="3">
        <f t="shared" si="228"/>
        <v>-2</v>
      </c>
      <c r="L2112" s="3" t="str">
        <f t="shared" si="222"/>
        <v>ATENÇÃO</v>
      </c>
      <c r="M2112">
        <v>11</v>
      </c>
      <c r="N2112">
        <v>99.05</v>
      </c>
      <c r="O2112">
        <v>26.621923937360179</v>
      </c>
    </row>
    <row r="2113" spans="1:15" customFormat="1" hidden="1" x14ac:dyDescent="0.25">
      <c r="A2113" s="11">
        <v>46066</v>
      </c>
      <c r="B2113" t="s">
        <v>54</v>
      </c>
      <c r="C2113" t="s">
        <v>48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226"/>
        <v>24</v>
      </c>
      <c r="J2113" s="3">
        <f t="shared" si="227"/>
        <v>22</v>
      </c>
      <c r="K2113" s="3">
        <f t="shared" si="228"/>
        <v>2</v>
      </c>
      <c r="L2113" s="3" t="str">
        <f t="shared" si="222"/>
        <v>BOM</v>
      </c>
      <c r="M2113">
        <v>22</v>
      </c>
      <c r="N2113">
        <v>98.53</v>
      </c>
      <c r="O2113">
        <v>31.578947368421051</v>
      </c>
    </row>
    <row r="2114" spans="1:15" customFormat="1" hidden="1" x14ac:dyDescent="0.25">
      <c r="A2114" s="11">
        <v>46066</v>
      </c>
      <c r="B2114" t="s">
        <v>37</v>
      </c>
      <c r="C2114" t="s">
        <v>32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226"/>
        <v>44</v>
      </c>
      <c r="J2114" s="3">
        <f t="shared" si="227"/>
        <v>27</v>
      </c>
      <c r="K2114" s="3">
        <f t="shared" si="228"/>
        <v>17</v>
      </c>
      <c r="L2114" s="3" t="str">
        <f t="shared" si="222"/>
        <v>EXCELENTE</v>
      </c>
      <c r="M2114">
        <v>40</v>
      </c>
      <c r="N2114">
        <v>100</v>
      </c>
      <c r="O2114">
        <v>25.72214580467676</v>
      </c>
    </row>
    <row r="2115" spans="1:15" customFormat="1" hidden="1" x14ac:dyDescent="0.25">
      <c r="A2115" s="11">
        <v>46066</v>
      </c>
      <c r="B2115" t="s">
        <v>38</v>
      </c>
      <c r="C2115" t="s">
        <v>32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226"/>
        <v>33</v>
      </c>
      <c r="J2115" s="3">
        <f t="shared" si="227"/>
        <v>27</v>
      </c>
      <c r="K2115" s="3">
        <f t="shared" si="228"/>
        <v>6</v>
      </c>
      <c r="L2115" s="3" t="str">
        <f t="shared" si="222"/>
        <v>EXCELENTE</v>
      </c>
      <c r="M2115">
        <v>33</v>
      </c>
      <c r="N2115">
        <v>94.64</v>
      </c>
      <c r="O2115">
        <v>27.52941176470588</v>
      </c>
    </row>
    <row r="2116" spans="1:15" customFormat="1" hidden="1" x14ac:dyDescent="0.25">
      <c r="A2116" s="11">
        <v>46066</v>
      </c>
      <c r="B2116" t="s">
        <v>55</v>
      </c>
      <c r="C2116" t="s">
        <v>48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226"/>
        <v>30</v>
      </c>
      <c r="J2116" s="3">
        <f t="shared" si="227"/>
        <v>22</v>
      </c>
      <c r="K2116" s="3">
        <f t="shared" si="228"/>
        <v>8</v>
      </c>
      <c r="L2116" s="3" t="str">
        <f t="shared" si="222"/>
        <v>EXCELENTE</v>
      </c>
      <c r="M2116">
        <v>24</v>
      </c>
      <c r="N2116">
        <v>99.07</v>
      </c>
      <c r="O2116">
        <v>26.376811594202898</v>
      </c>
    </row>
    <row r="2117" spans="1:15" customFormat="1" hidden="1" x14ac:dyDescent="0.25">
      <c r="A2117" s="11">
        <v>46066</v>
      </c>
      <c r="B2117" t="s">
        <v>39</v>
      </c>
      <c r="C2117" t="s">
        <v>32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 t="shared" si="222"/>
        <v>BOM</v>
      </c>
      <c r="M2117">
        <v>0</v>
      </c>
      <c r="N2117">
        <v>100</v>
      </c>
      <c r="O2117">
        <v>0</v>
      </c>
    </row>
    <row r="2118" spans="1:15" customFormat="1" hidden="1" x14ac:dyDescent="0.25">
      <c r="A2118" s="11">
        <v>46066</v>
      </c>
      <c r="B2118" t="s">
        <v>25</v>
      </c>
      <c r="C2118" t="s">
        <v>26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 t="shared" si="222"/>
        <v>CRÍTICO</v>
      </c>
      <c r="M2118">
        <v>8</v>
      </c>
      <c r="N2118">
        <v>98.48</v>
      </c>
      <c r="O2118">
        <v>27.853881278538811</v>
      </c>
    </row>
    <row r="2119" spans="1:15" customFormat="1" hidden="1" x14ac:dyDescent="0.25">
      <c r="A2119" s="11">
        <v>46066</v>
      </c>
      <c r="B2119" t="s">
        <v>40</v>
      </c>
      <c r="C2119" t="s">
        <v>32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27</v>
      </c>
      <c r="K2119" s="3">
        <f>I2119-J2119</f>
        <v>-25</v>
      </c>
      <c r="L2119" s="3" t="str">
        <f t="shared" ref="L2119:L2182" si="229">IF(K2119&lt;-5,"CRÍTICO",IF(K2119&lt;0,"ATENÇÃO",IF(K2119&lt;=5,"BOM","EXCELENTE")))</f>
        <v>CRÍTICO</v>
      </c>
      <c r="M2119">
        <v>5</v>
      </c>
      <c r="N2119">
        <v>95.15</v>
      </c>
      <c r="O2119">
        <v>34.131736526946113</v>
      </c>
    </row>
    <row r="2120" spans="1:15" customFormat="1" hidden="1" x14ac:dyDescent="0.25">
      <c r="A2120" s="11">
        <v>46066</v>
      </c>
      <c r="B2120" t="s">
        <v>27</v>
      </c>
      <c r="C2120" t="s">
        <v>26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 t="shared" si="229"/>
        <v>BOM</v>
      </c>
      <c r="M2120">
        <v>0</v>
      </c>
      <c r="N2120">
        <v>0</v>
      </c>
      <c r="O2120">
        <v>0</v>
      </c>
    </row>
    <row r="2121" spans="1:15" customFormat="1" hidden="1" x14ac:dyDescent="0.25">
      <c r="A2121" s="11">
        <v>46066</v>
      </c>
      <c r="B2121" t="s">
        <v>41</v>
      </c>
      <c r="C2121" t="s">
        <v>32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27</v>
      </c>
      <c r="K2121" s="3">
        <f>I2121-J2121</f>
        <v>-5</v>
      </c>
      <c r="L2121" s="3" t="str">
        <f t="shared" si="229"/>
        <v>ATENÇÃO</v>
      </c>
      <c r="M2121">
        <v>24</v>
      </c>
      <c r="N2121">
        <v>99.26</v>
      </c>
      <c r="O2121">
        <v>30.84832904884319</v>
      </c>
    </row>
    <row r="2122" spans="1:15" customFormat="1" hidden="1" x14ac:dyDescent="0.25">
      <c r="A2122" s="11">
        <v>46066</v>
      </c>
      <c r="B2122" t="s">
        <v>56</v>
      </c>
      <c r="C2122" t="s">
        <v>48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22</v>
      </c>
      <c r="K2122" s="3">
        <f>I2122-J2122</f>
        <v>0</v>
      </c>
      <c r="L2122" s="3" t="str">
        <f t="shared" si="229"/>
        <v>BOM</v>
      </c>
      <c r="M2122">
        <v>8</v>
      </c>
      <c r="N2122">
        <v>97.48</v>
      </c>
      <c r="O2122">
        <v>27.764705882352938</v>
      </c>
    </row>
    <row r="2123" spans="1:15" customFormat="1" hidden="1" x14ac:dyDescent="0.25">
      <c r="A2123" s="11">
        <v>46066</v>
      </c>
      <c r="B2123" t="s">
        <v>57</v>
      </c>
      <c r="C2123" t="s">
        <v>48</v>
      </c>
      <c r="D2123">
        <v>32</v>
      </c>
      <c r="E2123">
        <v>28</v>
      </c>
      <c r="F2123">
        <v>22.28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29"/>
        <v>BOM</v>
      </c>
      <c r="M2123">
        <v>25</v>
      </c>
      <c r="N2123">
        <v>99.34</v>
      </c>
      <c r="O2123">
        <v>30.04291845493562</v>
      </c>
    </row>
    <row r="2124" spans="1:15" customFormat="1" hidden="1" x14ac:dyDescent="0.25">
      <c r="A2124" s="11">
        <v>46066</v>
      </c>
      <c r="B2124" t="s">
        <v>42</v>
      </c>
      <c r="C2124" t="s">
        <v>32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 t="shared" si="229"/>
        <v>BOM</v>
      </c>
      <c r="M2124">
        <v>0</v>
      </c>
      <c r="N2124">
        <v>96.3</v>
      </c>
      <c r="O2124">
        <v>24.29378531073446</v>
      </c>
    </row>
    <row r="2125" spans="1:15" customFormat="1" hidden="1" x14ac:dyDescent="0.25">
      <c r="A2125" s="11">
        <v>46066</v>
      </c>
      <c r="B2125" t="s">
        <v>62</v>
      </c>
      <c r="C2125" t="s">
        <v>23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18</v>
      </c>
      <c r="K2125" s="3">
        <f>I2125-J2125</f>
        <v>-2</v>
      </c>
      <c r="L2125" s="3" t="str">
        <f t="shared" si="229"/>
        <v>ATENÇÃO</v>
      </c>
      <c r="M2125">
        <v>16</v>
      </c>
      <c r="N2125">
        <v>100</v>
      </c>
      <c r="O2125">
        <v>26.543209876543209</v>
      </c>
    </row>
    <row r="2126" spans="1:15" customFormat="1" hidden="1" x14ac:dyDescent="0.25">
      <c r="A2126" s="11">
        <v>46066</v>
      </c>
      <c r="B2126" t="s">
        <v>19</v>
      </c>
      <c r="C2126" t="s">
        <v>16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17</v>
      </c>
      <c r="L2126" s="3" t="str">
        <f t="shared" si="229"/>
        <v>EXCELENTE</v>
      </c>
      <c r="M2126">
        <v>2</v>
      </c>
      <c r="N2126">
        <v>100</v>
      </c>
      <c r="O2126">
        <v>35.483870967741943</v>
      </c>
    </row>
    <row r="2127" spans="1:15" customFormat="1" hidden="1" x14ac:dyDescent="0.25">
      <c r="A2127" s="11">
        <v>46066</v>
      </c>
      <c r="B2127" t="s">
        <v>43</v>
      </c>
      <c r="C2127" t="s">
        <v>32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-2</v>
      </c>
      <c r="L2127" s="3" t="str">
        <f t="shared" si="229"/>
        <v>ATENÇÃO</v>
      </c>
      <c r="M2127">
        <v>23</v>
      </c>
      <c r="N2127">
        <v>99.27</v>
      </c>
      <c r="O2127">
        <v>31.163708086785011</v>
      </c>
    </row>
    <row r="2128" spans="1:15" customFormat="1" hidden="1" x14ac:dyDescent="0.25">
      <c r="A2128" s="11">
        <v>46066</v>
      </c>
      <c r="B2128" t="s">
        <v>44</v>
      </c>
      <c r="C2128" t="s">
        <v>32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27</v>
      </c>
      <c r="K2128" s="3">
        <f>I2128-J2128</f>
        <v>6</v>
      </c>
      <c r="L2128" s="3" t="str">
        <f t="shared" si="229"/>
        <v>EXCELENTE</v>
      </c>
      <c r="M2128">
        <v>27</v>
      </c>
      <c r="N2128">
        <v>94.16</v>
      </c>
      <c r="O2128">
        <v>27.038626609442058</v>
      </c>
    </row>
    <row r="2129" spans="1:15" customFormat="1" hidden="1" x14ac:dyDescent="0.25">
      <c r="A2129" s="11">
        <v>46066</v>
      </c>
      <c r="B2129" t="s">
        <v>20</v>
      </c>
      <c r="C2129" t="s">
        <v>16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8</v>
      </c>
      <c r="K2129" s="3">
        <f>I2129-J2129</f>
        <v>3</v>
      </c>
      <c r="L2129" s="3" t="str">
        <f t="shared" si="229"/>
        <v>BOM</v>
      </c>
      <c r="M2129">
        <v>5</v>
      </c>
      <c r="N2129">
        <v>93.75</v>
      </c>
      <c r="O2129">
        <v>19.31818181818182</v>
      </c>
    </row>
    <row r="2130" spans="1:15" customFormat="1" hidden="1" x14ac:dyDescent="0.25">
      <c r="A2130" s="11">
        <v>46066</v>
      </c>
      <c r="B2130" t="s">
        <v>28</v>
      </c>
      <c r="C2130" t="s">
        <v>26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29"/>
        <v>BOM</v>
      </c>
      <c r="M2130">
        <v>0</v>
      </c>
      <c r="N2130">
        <v>0</v>
      </c>
      <c r="O2130">
        <v>0</v>
      </c>
    </row>
    <row r="2131" spans="1:15" customFormat="1" hidden="1" x14ac:dyDescent="0.25">
      <c r="A2131" s="11">
        <v>46066</v>
      </c>
      <c r="B2131" t="s">
        <v>58</v>
      </c>
      <c r="C2131" t="s">
        <v>48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29"/>
        <v>BOM</v>
      </c>
      <c r="M2131">
        <v>0</v>
      </c>
      <c r="N2131">
        <v>97.92</v>
      </c>
      <c r="O2131">
        <v>32.87671232876712</v>
      </c>
    </row>
    <row r="2132" spans="1:15" customFormat="1" hidden="1" x14ac:dyDescent="0.25">
      <c r="A2132" s="11">
        <v>46066</v>
      </c>
      <c r="B2132" t="s">
        <v>29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29"/>
        <v>BOM</v>
      </c>
      <c r="M2132">
        <v>0</v>
      </c>
      <c r="N2132">
        <v>0</v>
      </c>
      <c r="O2132">
        <v>0</v>
      </c>
    </row>
    <row r="2133" spans="1:15" customFormat="1" hidden="1" x14ac:dyDescent="0.25">
      <c r="A2133" s="11">
        <v>46066</v>
      </c>
      <c r="B2133" t="s">
        <v>30</v>
      </c>
      <c r="C2133" t="s">
        <v>26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29"/>
        <v>BOM</v>
      </c>
      <c r="M2133">
        <v>0</v>
      </c>
      <c r="N2133">
        <v>0</v>
      </c>
      <c r="O2133">
        <v>0</v>
      </c>
    </row>
    <row r="2134" spans="1:15" customFormat="1" hidden="1" x14ac:dyDescent="0.25">
      <c r="A2134" s="11">
        <v>46066</v>
      </c>
      <c r="B2134" t="s">
        <v>21</v>
      </c>
      <c r="C2134" t="s">
        <v>16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 t="shared" si="229"/>
        <v>BOM</v>
      </c>
      <c r="M2134">
        <v>0</v>
      </c>
      <c r="N2134">
        <v>0</v>
      </c>
      <c r="O2134">
        <v>0</v>
      </c>
    </row>
    <row r="2135" spans="1:15" customFormat="1" hidden="1" x14ac:dyDescent="0.25">
      <c r="A2135" s="11">
        <v>46066</v>
      </c>
      <c r="B2135" t="s">
        <v>63</v>
      </c>
      <c r="C2135" t="s">
        <v>23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18</v>
      </c>
      <c r="K2135" s="3">
        <f>I2135-J2135</f>
        <v>-2</v>
      </c>
      <c r="L2135" s="3" t="str">
        <f t="shared" si="229"/>
        <v>ATENÇÃO</v>
      </c>
      <c r="M2135">
        <v>12</v>
      </c>
      <c r="N2135">
        <v>98.51</v>
      </c>
      <c r="O2135">
        <v>29.710144927536231</v>
      </c>
    </row>
    <row r="2136" spans="1:15" customFormat="1" hidden="1" x14ac:dyDescent="0.25">
      <c r="A2136" s="11">
        <v>46066</v>
      </c>
      <c r="B2136" t="s">
        <v>45</v>
      </c>
      <c r="C2136" t="s">
        <v>32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27</v>
      </c>
      <c r="K2136" s="3">
        <f>I2136-J2136</f>
        <v>5</v>
      </c>
      <c r="L2136" s="3" t="str">
        <f t="shared" si="229"/>
        <v>BOM</v>
      </c>
      <c r="M2136">
        <v>30</v>
      </c>
      <c r="N2136">
        <v>98.81</v>
      </c>
      <c r="O2136">
        <v>30.712979890310791</v>
      </c>
    </row>
    <row r="2137" spans="1:15" customFormat="1" hidden="1" x14ac:dyDescent="0.25">
      <c r="A2137" s="11">
        <v>46066</v>
      </c>
      <c r="B2137" t="s">
        <v>64</v>
      </c>
      <c r="C2137" t="s">
        <v>23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18</v>
      </c>
      <c r="K2137" s="3">
        <f>I2137-J2137</f>
        <v>-9</v>
      </c>
      <c r="L2137" s="3" t="str">
        <f t="shared" si="229"/>
        <v>CRÍTICO</v>
      </c>
      <c r="M2137">
        <v>11</v>
      </c>
      <c r="N2137">
        <v>98.48</v>
      </c>
      <c r="O2137">
        <v>29.35323383084577</v>
      </c>
    </row>
    <row r="2138" spans="1:15" customFormat="1" hidden="1" x14ac:dyDescent="0.25">
      <c r="A2138" s="11">
        <v>46066</v>
      </c>
      <c r="B2138" t="s">
        <v>46</v>
      </c>
      <c r="C2138" t="s">
        <v>32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27</v>
      </c>
      <c r="K2138" s="3">
        <f>I2138-J2138</f>
        <v>3</v>
      </c>
      <c r="L2138" s="3" t="str">
        <f t="shared" si="229"/>
        <v>BOM</v>
      </c>
      <c r="M2138">
        <v>30</v>
      </c>
      <c r="N2138">
        <v>98.56</v>
      </c>
      <c r="O2138">
        <v>29.373650107991359</v>
      </c>
    </row>
    <row r="2139" spans="1:15" customFormat="1" hidden="1" x14ac:dyDescent="0.25">
      <c r="A2139" s="11">
        <v>46069</v>
      </c>
      <c r="B2139" t="s">
        <v>47</v>
      </c>
      <c r="C2139" t="s">
        <v>48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6</v>
      </c>
      <c r="K2139" s="3">
        <f>I2139-J2139</f>
        <v>2</v>
      </c>
      <c r="L2139" s="3" t="str">
        <f t="shared" si="229"/>
        <v>BOM</v>
      </c>
      <c r="M2139">
        <v>4</v>
      </c>
      <c r="N2139">
        <v>98.32</v>
      </c>
      <c r="O2139">
        <v>30.303030303030301</v>
      </c>
    </row>
    <row r="2140" spans="1:15" customFormat="1" hidden="1" x14ac:dyDescent="0.25">
      <c r="A2140" s="11">
        <v>46069</v>
      </c>
      <c r="B2140" t="s">
        <v>31</v>
      </c>
      <c r="C2140" t="s">
        <v>32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 t="shared" si="229"/>
        <v>BOM</v>
      </c>
      <c r="M2140">
        <v>6</v>
      </c>
      <c r="N2140">
        <v>98.68</v>
      </c>
      <c r="O2140">
        <v>26.219512195121951</v>
      </c>
    </row>
    <row r="2141" spans="1:15" customFormat="1" hidden="1" x14ac:dyDescent="0.25">
      <c r="A2141" s="11">
        <v>46069</v>
      </c>
      <c r="B2141" t="s">
        <v>59</v>
      </c>
      <c r="C2141" t="s">
        <v>23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5</v>
      </c>
      <c r="K2141" s="3">
        <f>I2141-J2141</f>
        <v>3</v>
      </c>
      <c r="L2141" s="3" t="str">
        <f t="shared" si="229"/>
        <v>BOM</v>
      </c>
      <c r="M2141">
        <v>7</v>
      </c>
      <c r="N2141">
        <v>100</v>
      </c>
      <c r="O2141">
        <v>31.74224343675418</v>
      </c>
    </row>
    <row r="2142" spans="1:15" customFormat="1" hidden="1" x14ac:dyDescent="0.25">
      <c r="A2142" s="11">
        <v>46069</v>
      </c>
      <c r="B2142" t="s">
        <v>33</v>
      </c>
      <c r="C2142" t="s">
        <v>32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 t="shared" si="229"/>
        <v>BOM</v>
      </c>
      <c r="M2142">
        <v>5</v>
      </c>
      <c r="N2142">
        <v>98.25</v>
      </c>
      <c r="O2142">
        <v>25.83518930957684</v>
      </c>
    </row>
    <row r="2143" spans="1:15" customFormat="1" hidden="1" x14ac:dyDescent="0.25">
      <c r="A2143" s="11">
        <v>46069</v>
      </c>
      <c r="B2143" t="s">
        <v>15</v>
      </c>
      <c r="C2143" t="s">
        <v>16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 t="shared" si="229"/>
        <v>BOM</v>
      </c>
      <c r="M2143">
        <v>3</v>
      </c>
      <c r="N2143">
        <v>97.5</v>
      </c>
      <c r="O2143">
        <v>30.075187969924809</v>
      </c>
    </row>
    <row r="2144" spans="1:15" customFormat="1" hidden="1" x14ac:dyDescent="0.25">
      <c r="A2144" s="11">
        <v>46069</v>
      </c>
      <c r="B2144" t="s">
        <v>49</v>
      </c>
      <c r="C2144" t="s">
        <v>48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0</v>
      </c>
      <c r="L2144" s="3" t="str">
        <f t="shared" si="229"/>
        <v>BOM</v>
      </c>
      <c r="M2144">
        <v>5</v>
      </c>
      <c r="N2144">
        <v>100</v>
      </c>
      <c r="O2144">
        <v>29.71311475409836</v>
      </c>
    </row>
    <row r="2145" spans="1:15" customFormat="1" hidden="1" x14ac:dyDescent="0.25">
      <c r="A2145" s="11">
        <v>46069</v>
      </c>
      <c r="B2145" t="s">
        <v>50</v>
      </c>
      <c r="C2145" t="s">
        <v>48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6</v>
      </c>
      <c r="K2145" s="3">
        <f>I2145-J2145</f>
        <v>1</v>
      </c>
      <c r="L2145" s="3" t="str">
        <f t="shared" si="229"/>
        <v>BOM</v>
      </c>
      <c r="M2145">
        <v>8</v>
      </c>
      <c r="N2145">
        <v>99.22</v>
      </c>
      <c r="O2145">
        <v>35.256410256410263</v>
      </c>
    </row>
    <row r="2146" spans="1:15" customFormat="1" hidden="1" x14ac:dyDescent="0.25">
      <c r="A2146" s="11">
        <v>46069</v>
      </c>
      <c r="B2146" t="s">
        <v>17</v>
      </c>
      <c r="C2146" t="s">
        <v>16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 t="shared" si="229"/>
        <v>BOM</v>
      </c>
      <c r="M2146">
        <v>0</v>
      </c>
      <c r="N2146">
        <v>0</v>
      </c>
      <c r="O2146">
        <v>0</v>
      </c>
    </row>
    <row r="2147" spans="1:15" customFormat="1" hidden="1" x14ac:dyDescent="0.25">
      <c r="A2147" s="11">
        <v>46069</v>
      </c>
      <c r="B2147" t="s">
        <v>60</v>
      </c>
      <c r="C2147" t="s">
        <v>23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1</v>
      </c>
      <c r="L2147" s="3" t="str">
        <f t="shared" si="229"/>
        <v>BOM</v>
      </c>
      <c r="M2147">
        <v>4</v>
      </c>
      <c r="N2147">
        <v>98.75</v>
      </c>
      <c r="O2147">
        <v>24.32432432432433</v>
      </c>
    </row>
    <row r="2148" spans="1:15" customFormat="1" hidden="1" x14ac:dyDescent="0.25">
      <c r="A2148" s="11">
        <v>46069</v>
      </c>
      <c r="B2148" t="s">
        <v>34</v>
      </c>
      <c r="C2148" t="s">
        <v>32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 t="shared" si="229"/>
        <v>BOM</v>
      </c>
      <c r="M2148">
        <v>9</v>
      </c>
      <c r="N2148">
        <v>93.48</v>
      </c>
      <c r="O2148">
        <v>31.52804642166344</v>
      </c>
    </row>
    <row r="2149" spans="1:15" customFormat="1" hidden="1" x14ac:dyDescent="0.25">
      <c r="A2149" s="11">
        <v>46069</v>
      </c>
      <c r="B2149" t="s">
        <v>51</v>
      </c>
      <c r="C2149" t="s">
        <v>48</v>
      </c>
      <c r="D2149">
        <v>5</v>
      </c>
      <c r="E2149">
        <v>1</v>
      </c>
      <c r="F2149">
        <v>1.55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 t="shared" si="229"/>
        <v>BOM</v>
      </c>
      <c r="M2149">
        <v>0</v>
      </c>
      <c r="N2149">
        <v>99.16</v>
      </c>
      <c r="O2149">
        <v>26.13908872901678</v>
      </c>
    </row>
    <row r="2150" spans="1:15" customFormat="1" hidden="1" x14ac:dyDescent="0.25">
      <c r="A2150" s="11">
        <v>46069</v>
      </c>
      <c r="B2150" t="s">
        <v>61</v>
      </c>
      <c r="C2150" t="s">
        <v>23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5</v>
      </c>
      <c r="K2150" s="3">
        <f>I2150-J2150</f>
        <v>3</v>
      </c>
      <c r="L2150" s="3" t="str">
        <f t="shared" si="229"/>
        <v>BOM</v>
      </c>
      <c r="M2150">
        <v>6</v>
      </c>
      <c r="N2150">
        <v>100</v>
      </c>
      <c r="O2150">
        <v>31.089743589743591</v>
      </c>
    </row>
    <row r="2151" spans="1:15" customFormat="1" hidden="1" x14ac:dyDescent="0.25">
      <c r="A2151" s="11">
        <v>46069</v>
      </c>
      <c r="B2151" t="s">
        <v>35</v>
      </c>
      <c r="C2151" t="s">
        <v>32</v>
      </c>
      <c r="D2151">
        <v>7</v>
      </c>
      <c r="E2151">
        <v>7</v>
      </c>
      <c r="F2151">
        <v>32.340000000000003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 t="shared" si="229"/>
        <v>BOM</v>
      </c>
      <c r="M2151">
        <v>7</v>
      </c>
      <c r="N2151">
        <v>98.11</v>
      </c>
      <c r="O2151">
        <v>33.033707865168537</v>
      </c>
    </row>
    <row r="2152" spans="1:15" customFormat="1" hidden="1" x14ac:dyDescent="0.25">
      <c r="A2152" s="11">
        <v>46069</v>
      </c>
      <c r="B2152" t="s">
        <v>18</v>
      </c>
      <c r="C2152" t="s">
        <v>16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ref="I2152:I2160" si="230">E2152+G2152+H2152</f>
        <v>4</v>
      </c>
      <c r="J2152" s="3">
        <f t="shared" ref="J2152:J2160" si="231"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 t="shared" ref="K2152:K2160" si="232">I2152-J2152</f>
        <v>2</v>
      </c>
      <c r="L2152" s="3" t="str">
        <f t="shared" si="229"/>
        <v>BOM</v>
      </c>
      <c r="M2152">
        <v>3</v>
      </c>
      <c r="N2152">
        <v>78.95</v>
      </c>
      <c r="O2152">
        <v>38.983050847457633</v>
      </c>
    </row>
    <row r="2153" spans="1:15" customFormat="1" hidden="1" x14ac:dyDescent="0.25">
      <c r="A2153" s="11">
        <v>46069</v>
      </c>
      <c r="B2153" t="s">
        <v>52</v>
      </c>
      <c r="C2153" t="s">
        <v>48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230"/>
        <v>10</v>
      </c>
      <c r="J2153" s="3">
        <f t="shared" si="231"/>
        <v>6</v>
      </c>
      <c r="K2153" s="3">
        <f t="shared" si="232"/>
        <v>4</v>
      </c>
      <c r="L2153" s="3" t="str">
        <f t="shared" si="229"/>
        <v>BOM</v>
      </c>
      <c r="M2153">
        <v>8</v>
      </c>
      <c r="N2153">
        <v>98.45</v>
      </c>
      <c r="O2153">
        <v>29.281767955801101</v>
      </c>
    </row>
    <row r="2154" spans="1:15" customFormat="1" hidden="1" x14ac:dyDescent="0.25">
      <c r="A2154" s="11">
        <v>46069</v>
      </c>
      <c r="B2154" t="s">
        <v>36</v>
      </c>
      <c r="C2154" t="s">
        <v>32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230"/>
        <v>8</v>
      </c>
      <c r="J2154" s="3">
        <f t="shared" si="231"/>
        <v>7</v>
      </c>
      <c r="K2154" s="3">
        <f t="shared" si="232"/>
        <v>1</v>
      </c>
      <c r="L2154" s="3" t="str">
        <f t="shared" si="229"/>
        <v>BOM</v>
      </c>
      <c r="M2154">
        <v>9</v>
      </c>
      <c r="N2154">
        <v>97.84</v>
      </c>
      <c r="O2154">
        <v>26.282051282051281</v>
      </c>
    </row>
    <row r="2155" spans="1:15" customFormat="1" hidden="1" x14ac:dyDescent="0.25">
      <c r="A2155" s="11">
        <v>46069</v>
      </c>
      <c r="B2155" t="s">
        <v>53</v>
      </c>
      <c r="C2155" t="s">
        <v>48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230"/>
        <v>7</v>
      </c>
      <c r="J2155" s="3">
        <f t="shared" si="231"/>
        <v>6</v>
      </c>
      <c r="K2155" s="3">
        <f t="shared" si="232"/>
        <v>1</v>
      </c>
      <c r="L2155" s="3" t="str">
        <f t="shared" si="229"/>
        <v>BOM</v>
      </c>
      <c r="M2155">
        <v>6</v>
      </c>
      <c r="N2155">
        <v>98.5</v>
      </c>
      <c r="O2155">
        <v>23.97769516728625</v>
      </c>
    </row>
    <row r="2156" spans="1:15" customFormat="1" hidden="1" x14ac:dyDescent="0.25">
      <c r="A2156" s="11">
        <v>46101</v>
      </c>
      <c r="B2156" t="s">
        <v>22</v>
      </c>
      <c r="C2156" t="s">
        <v>23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230"/>
        <v>17</v>
      </c>
      <c r="J2156" s="3">
        <f t="shared" si="231"/>
        <v>14</v>
      </c>
      <c r="K2156" s="3">
        <f t="shared" si="232"/>
        <v>3</v>
      </c>
      <c r="L2156" s="3" t="str">
        <f t="shared" si="229"/>
        <v>BOM</v>
      </c>
      <c r="M2156">
        <v>18</v>
      </c>
      <c r="N2156">
        <v>99.05</v>
      </c>
      <c r="O2156">
        <v>26.621923937360179</v>
      </c>
    </row>
    <row r="2157" spans="1:15" customFormat="1" hidden="1" x14ac:dyDescent="0.25">
      <c r="A2157" s="11">
        <v>46069</v>
      </c>
      <c r="B2157" t="s">
        <v>54</v>
      </c>
      <c r="C2157" t="s">
        <v>48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230"/>
        <v>5</v>
      </c>
      <c r="J2157" s="3">
        <f t="shared" si="231"/>
        <v>6</v>
      </c>
      <c r="K2157" s="3">
        <f t="shared" si="232"/>
        <v>-1</v>
      </c>
      <c r="L2157" s="3" t="str">
        <f t="shared" si="229"/>
        <v>ATENÇÃO</v>
      </c>
      <c r="M2157">
        <v>5</v>
      </c>
      <c r="N2157">
        <v>98.53</v>
      </c>
      <c r="O2157">
        <v>31.578947368421051</v>
      </c>
    </row>
    <row r="2158" spans="1:15" customFormat="1" hidden="1" x14ac:dyDescent="0.25">
      <c r="A2158" s="11">
        <v>46069</v>
      </c>
      <c r="B2158" t="s">
        <v>37</v>
      </c>
      <c r="C2158" t="s">
        <v>32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230"/>
        <v>6</v>
      </c>
      <c r="J2158" s="3">
        <f t="shared" si="231"/>
        <v>7</v>
      </c>
      <c r="K2158" s="3">
        <f t="shared" si="232"/>
        <v>-1</v>
      </c>
      <c r="L2158" s="3" t="str">
        <f t="shared" si="229"/>
        <v>ATENÇÃO</v>
      </c>
      <c r="M2158">
        <v>6</v>
      </c>
      <c r="N2158">
        <v>100</v>
      </c>
      <c r="O2158">
        <v>25.72214580467676</v>
      </c>
    </row>
    <row r="2159" spans="1:15" customFormat="1" hidden="1" x14ac:dyDescent="0.25">
      <c r="A2159" s="11">
        <v>46069</v>
      </c>
      <c r="B2159" t="s">
        <v>38</v>
      </c>
      <c r="C2159" t="s">
        <v>32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230"/>
        <v>7</v>
      </c>
      <c r="J2159" s="3">
        <f t="shared" si="231"/>
        <v>7</v>
      </c>
      <c r="K2159" s="3">
        <f t="shared" si="232"/>
        <v>0</v>
      </c>
      <c r="L2159" s="3" t="str">
        <f t="shared" si="229"/>
        <v>BOM</v>
      </c>
      <c r="M2159">
        <v>7</v>
      </c>
      <c r="N2159">
        <v>94.64</v>
      </c>
      <c r="O2159">
        <v>27.52941176470588</v>
      </c>
    </row>
    <row r="2160" spans="1:15" customFormat="1" hidden="1" x14ac:dyDescent="0.25">
      <c r="A2160" s="11">
        <v>46069</v>
      </c>
      <c r="B2160" t="s">
        <v>55</v>
      </c>
      <c r="C2160" t="s">
        <v>48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230"/>
        <v>7</v>
      </c>
      <c r="J2160" s="3">
        <f t="shared" si="231"/>
        <v>6</v>
      </c>
      <c r="K2160" s="3">
        <f t="shared" si="232"/>
        <v>1</v>
      </c>
      <c r="L2160" s="3" t="str">
        <f t="shared" si="229"/>
        <v>BOM</v>
      </c>
      <c r="M2160">
        <v>6</v>
      </c>
      <c r="N2160">
        <v>99.07</v>
      </c>
      <c r="O2160">
        <v>26.376811594202898</v>
      </c>
    </row>
    <row r="2161" spans="1:15" customFormat="1" hidden="1" x14ac:dyDescent="0.25">
      <c r="A2161" s="11">
        <v>46069</v>
      </c>
      <c r="B2161" t="s">
        <v>39</v>
      </c>
      <c r="C2161" t="s">
        <v>32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29"/>
        <v>BOM</v>
      </c>
      <c r="M2161">
        <v>0</v>
      </c>
      <c r="N2161">
        <v>100</v>
      </c>
      <c r="O2161">
        <v>0</v>
      </c>
    </row>
    <row r="2162" spans="1:15" customFormat="1" hidden="1" x14ac:dyDescent="0.25">
      <c r="A2162" s="11">
        <v>46069</v>
      </c>
      <c r="B2162" t="s">
        <v>25</v>
      </c>
      <c r="C2162" t="s">
        <v>26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 t="shared" si="229"/>
        <v>BOM</v>
      </c>
      <c r="M2162">
        <v>0</v>
      </c>
      <c r="N2162">
        <v>98.48</v>
      </c>
      <c r="O2162">
        <v>27.853881278538811</v>
      </c>
    </row>
    <row r="2163" spans="1:15" customFormat="1" hidden="1" x14ac:dyDescent="0.25">
      <c r="A2163" s="11">
        <v>46069</v>
      </c>
      <c r="B2163" t="s">
        <v>40</v>
      </c>
      <c r="C2163" t="s">
        <v>32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 t="shared" si="229"/>
        <v>ATENÇÃO</v>
      </c>
      <c r="M2163">
        <v>5</v>
      </c>
      <c r="N2163">
        <v>95.15</v>
      </c>
      <c r="O2163">
        <v>34.131736526946113</v>
      </c>
    </row>
    <row r="2164" spans="1:15" customFormat="1" hidden="1" x14ac:dyDescent="0.25">
      <c r="A2164" s="11">
        <v>46069</v>
      </c>
      <c r="B2164" t="s">
        <v>27</v>
      </c>
      <c r="C2164" t="s">
        <v>26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 t="shared" si="229"/>
        <v>BOM</v>
      </c>
      <c r="M2164">
        <v>0</v>
      </c>
      <c r="N2164">
        <v>0</v>
      </c>
      <c r="O2164">
        <v>0</v>
      </c>
    </row>
    <row r="2165" spans="1:15" customFormat="1" hidden="1" x14ac:dyDescent="0.25">
      <c r="A2165" s="11">
        <v>46069</v>
      </c>
      <c r="B2165" t="s">
        <v>41</v>
      </c>
      <c r="C2165" t="s">
        <v>32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 t="shared" si="229"/>
        <v>BOM</v>
      </c>
      <c r="M2165">
        <v>8</v>
      </c>
      <c r="N2165">
        <v>99.26</v>
      </c>
      <c r="O2165">
        <v>30.84832904884319</v>
      </c>
    </row>
    <row r="2166" spans="1:15" customFormat="1" hidden="1" x14ac:dyDescent="0.25">
      <c r="A2166" s="11">
        <v>46069</v>
      </c>
      <c r="B2166" t="s">
        <v>56</v>
      </c>
      <c r="C2166" t="s">
        <v>48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6</v>
      </c>
      <c r="K2166" s="3">
        <f>I2166-J2166</f>
        <v>0</v>
      </c>
      <c r="L2166" s="3" t="str">
        <f t="shared" si="229"/>
        <v>BOM</v>
      </c>
      <c r="M2166">
        <v>35</v>
      </c>
      <c r="N2166">
        <v>97.48</v>
      </c>
      <c r="O2166">
        <v>27.764705882352938</v>
      </c>
    </row>
    <row r="2167" spans="1:15" customFormat="1" hidden="1" x14ac:dyDescent="0.25">
      <c r="A2167" s="11">
        <v>46069</v>
      </c>
      <c r="B2167" t="s">
        <v>57</v>
      </c>
      <c r="C2167" t="s">
        <v>48</v>
      </c>
      <c r="D2167">
        <v>7</v>
      </c>
      <c r="E2167">
        <v>7</v>
      </c>
      <c r="F2167">
        <v>35.479999999999997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29"/>
        <v>BOM</v>
      </c>
      <c r="M2167">
        <v>5</v>
      </c>
      <c r="N2167">
        <v>99.34</v>
      </c>
      <c r="O2167">
        <v>30.04291845493562</v>
      </c>
    </row>
    <row r="2168" spans="1:15" customFormat="1" hidden="1" x14ac:dyDescent="0.25">
      <c r="A2168" s="11">
        <v>46069</v>
      </c>
      <c r="B2168" t="s">
        <v>42</v>
      </c>
      <c r="C2168" t="s">
        <v>32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 t="shared" si="229"/>
        <v>BOM</v>
      </c>
      <c r="M2168">
        <v>0</v>
      </c>
      <c r="N2168">
        <v>96.3</v>
      </c>
      <c r="O2168">
        <v>24.29378531073446</v>
      </c>
    </row>
    <row r="2169" spans="1:15" customFormat="1" hidden="1" x14ac:dyDescent="0.25">
      <c r="A2169" s="11">
        <v>46069</v>
      </c>
      <c r="B2169" t="s">
        <v>62</v>
      </c>
      <c r="C2169" t="s">
        <v>23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5</v>
      </c>
      <c r="K2169" s="3">
        <f>I2169-J2169</f>
        <v>2</v>
      </c>
      <c r="L2169" s="3" t="str">
        <f t="shared" si="229"/>
        <v>BOM</v>
      </c>
      <c r="M2169">
        <v>6</v>
      </c>
      <c r="N2169">
        <v>100</v>
      </c>
      <c r="O2169">
        <v>26.543209876543209</v>
      </c>
    </row>
    <row r="2170" spans="1:15" customFormat="1" hidden="1" x14ac:dyDescent="0.25">
      <c r="A2170" s="11">
        <v>46069</v>
      </c>
      <c r="B2170" t="s">
        <v>19</v>
      </c>
      <c r="C2170" t="s">
        <v>16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 t="shared" si="229"/>
        <v>BOM</v>
      </c>
      <c r="M2170">
        <v>3</v>
      </c>
      <c r="N2170">
        <v>100</v>
      </c>
      <c r="O2170">
        <v>35.483870967741943</v>
      </c>
    </row>
    <row r="2171" spans="1:15" customFormat="1" hidden="1" x14ac:dyDescent="0.25">
      <c r="A2171" s="11">
        <v>46069</v>
      </c>
      <c r="B2171" t="s">
        <v>43</v>
      </c>
      <c r="C2171" t="s">
        <v>32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 t="shared" si="229"/>
        <v>ATENÇÃO</v>
      </c>
      <c r="M2171">
        <v>3</v>
      </c>
      <c r="N2171">
        <v>99.27</v>
      </c>
      <c r="O2171">
        <v>31.163708086785011</v>
      </c>
    </row>
    <row r="2172" spans="1:15" customFormat="1" hidden="1" x14ac:dyDescent="0.25">
      <c r="A2172" s="11">
        <v>46069</v>
      </c>
      <c r="B2172" t="s">
        <v>44</v>
      </c>
      <c r="C2172" t="s">
        <v>32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 t="shared" si="229"/>
        <v>ATENÇÃO</v>
      </c>
      <c r="M2172">
        <v>5</v>
      </c>
      <c r="N2172">
        <v>94.16</v>
      </c>
      <c r="O2172">
        <v>27.038626609442058</v>
      </c>
    </row>
    <row r="2173" spans="1:15" customFormat="1" hidden="1" x14ac:dyDescent="0.25">
      <c r="A2173" s="11">
        <v>46069</v>
      </c>
      <c r="B2173" t="s">
        <v>20</v>
      </c>
      <c r="C2173" t="s">
        <v>16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29"/>
        <v>BOM</v>
      </c>
      <c r="M2173">
        <v>0</v>
      </c>
      <c r="N2173">
        <v>93.75</v>
      </c>
      <c r="O2173">
        <v>19.31818181818182</v>
      </c>
    </row>
    <row r="2174" spans="1:15" customFormat="1" hidden="1" x14ac:dyDescent="0.25">
      <c r="A2174" s="11">
        <v>46069</v>
      </c>
      <c r="B2174" t="s">
        <v>28</v>
      </c>
      <c r="C2174" t="s">
        <v>26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29"/>
        <v>BOM</v>
      </c>
      <c r="M2174">
        <v>0</v>
      </c>
      <c r="N2174">
        <v>0</v>
      </c>
      <c r="O2174">
        <v>0</v>
      </c>
    </row>
    <row r="2175" spans="1:15" customFormat="1" hidden="1" x14ac:dyDescent="0.25">
      <c r="A2175" s="11">
        <v>46069</v>
      </c>
      <c r="B2175" t="s">
        <v>58</v>
      </c>
      <c r="C2175" t="s">
        <v>48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29"/>
        <v>BOM</v>
      </c>
      <c r="M2175">
        <v>0</v>
      </c>
      <c r="N2175">
        <v>97.92</v>
      </c>
      <c r="O2175">
        <v>32.87671232876712</v>
      </c>
    </row>
    <row r="2176" spans="1:15" customFormat="1" hidden="1" x14ac:dyDescent="0.25">
      <c r="A2176" s="11">
        <v>46069</v>
      </c>
      <c r="B2176" t="s">
        <v>29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29"/>
        <v>BOM</v>
      </c>
      <c r="M2176">
        <v>0</v>
      </c>
      <c r="N2176">
        <v>0</v>
      </c>
      <c r="O2176">
        <v>0</v>
      </c>
    </row>
    <row r="2177" spans="1:15" customFormat="1" hidden="1" x14ac:dyDescent="0.25">
      <c r="A2177" s="11">
        <v>46069</v>
      </c>
      <c r="B2177" t="s">
        <v>30</v>
      </c>
      <c r="C2177" t="s">
        <v>26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29"/>
        <v>BOM</v>
      </c>
      <c r="M2177">
        <v>0</v>
      </c>
      <c r="N2177">
        <v>0</v>
      </c>
      <c r="O2177">
        <v>0</v>
      </c>
    </row>
    <row r="2178" spans="1:15" customFormat="1" hidden="1" x14ac:dyDescent="0.25">
      <c r="A2178" s="11">
        <v>46069</v>
      </c>
      <c r="B2178" t="s">
        <v>21</v>
      </c>
      <c r="C2178" t="s">
        <v>16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 t="shared" si="229"/>
        <v>BOM</v>
      </c>
      <c r="M2178">
        <v>0</v>
      </c>
      <c r="N2178">
        <v>0</v>
      </c>
      <c r="O2178">
        <v>0</v>
      </c>
    </row>
    <row r="2179" spans="1:15" customFormat="1" hidden="1" x14ac:dyDescent="0.25">
      <c r="A2179" s="11">
        <v>46069</v>
      </c>
      <c r="B2179" t="s">
        <v>63</v>
      </c>
      <c r="C2179" t="s">
        <v>23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5</v>
      </c>
      <c r="K2179" s="3">
        <f>I2179-J2179</f>
        <v>2</v>
      </c>
      <c r="L2179" s="3" t="str">
        <f t="shared" si="229"/>
        <v>BOM</v>
      </c>
      <c r="M2179">
        <v>6</v>
      </c>
      <c r="N2179">
        <v>98.51</v>
      </c>
      <c r="O2179">
        <v>29.710144927536231</v>
      </c>
    </row>
    <row r="2180" spans="1:15" customFormat="1" hidden="1" x14ac:dyDescent="0.25">
      <c r="A2180" s="11">
        <v>46069</v>
      </c>
      <c r="B2180" t="s">
        <v>45</v>
      </c>
      <c r="C2180" t="s">
        <v>32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 t="shared" si="229"/>
        <v>ATENÇÃO</v>
      </c>
      <c r="M2180">
        <v>3</v>
      </c>
      <c r="N2180">
        <v>98.81</v>
      </c>
      <c r="O2180">
        <v>30.712979890310791</v>
      </c>
    </row>
    <row r="2181" spans="1:15" customFormat="1" hidden="1" x14ac:dyDescent="0.25">
      <c r="A2181" s="11">
        <v>46069</v>
      </c>
      <c r="B2181" t="s">
        <v>64</v>
      </c>
      <c r="C2181" t="s">
        <v>23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5</v>
      </c>
      <c r="K2181" s="3">
        <f>I2181-J2181</f>
        <v>2</v>
      </c>
      <c r="L2181" s="3" t="str">
        <f t="shared" si="229"/>
        <v>BOM</v>
      </c>
      <c r="M2181">
        <v>7</v>
      </c>
      <c r="N2181">
        <v>98.48</v>
      </c>
      <c r="O2181">
        <v>29.35323383084577</v>
      </c>
    </row>
    <row r="2182" spans="1:15" customFormat="1" hidden="1" x14ac:dyDescent="0.25">
      <c r="A2182" s="11">
        <v>46069</v>
      </c>
      <c r="B2182" t="s">
        <v>46</v>
      </c>
      <c r="C2182" t="s">
        <v>32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 t="shared" si="229"/>
        <v>BOM</v>
      </c>
      <c r="M2182">
        <v>5</v>
      </c>
      <c r="N2182">
        <v>98.56</v>
      </c>
      <c r="O2182">
        <v>29.373650107991359</v>
      </c>
    </row>
    <row r="2183" spans="1:15" customFormat="1" hidden="1" x14ac:dyDescent="0.25">
      <c r="A2183" s="11">
        <v>46070</v>
      </c>
      <c r="B2183" t="s">
        <v>47</v>
      </c>
      <c r="C2183" t="s">
        <v>48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ref="L2183:L2246" si="233">IF(K2183&lt;-5,"CRÍTICO",IF(K2183&lt;0,"ATENÇÃO",IF(K2183&lt;=5,"BOM","EXCELENTE")))</f>
        <v>BOM</v>
      </c>
      <c r="M2183">
        <v>0</v>
      </c>
      <c r="N2183">
        <v>98.32</v>
      </c>
      <c r="O2183">
        <v>30.303030303030301</v>
      </c>
    </row>
    <row r="2184" spans="1:15" customFormat="1" hidden="1" x14ac:dyDescent="0.25">
      <c r="A2184" s="11">
        <v>46070</v>
      </c>
      <c r="B2184" t="s">
        <v>31</v>
      </c>
      <c r="C2184" t="s">
        <v>32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33"/>
        <v>BOM</v>
      </c>
      <c r="M2184">
        <v>0</v>
      </c>
      <c r="N2184">
        <v>98.68</v>
      </c>
      <c r="O2184">
        <v>26.219512195121951</v>
      </c>
    </row>
    <row r="2185" spans="1:15" customFormat="1" hidden="1" x14ac:dyDescent="0.25">
      <c r="A2185" s="11">
        <v>46070</v>
      </c>
      <c r="B2185" t="s">
        <v>59</v>
      </c>
      <c r="C2185" t="s">
        <v>23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33"/>
        <v>BOM</v>
      </c>
      <c r="M2185">
        <v>0</v>
      </c>
      <c r="N2185">
        <v>100</v>
      </c>
      <c r="O2185">
        <v>31.74224343675418</v>
      </c>
    </row>
    <row r="2186" spans="1:15" customFormat="1" hidden="1" x14ac:dyDescent="0.25">
      <c r="A2186" s="11">
        <v>46070</v>
      </c>
      <c r="B2186" t="s">
        <v>33</v>
      </c>
      <c r="C2186" t="s">
        <v>32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33"/>
        <v>BOM</v>
      </c>
      <c r="M2186">
        <v>0</v>
      </c>
      <c r="N2186">
        <v>98.25</v>
      </c>
      <c r="O2186">
        <v>25.83518930957684</v>
      </c>
    </row>
    <row r="2187" spans="1:15" customFormat="1" hidden="1" x14ac:dyDescent="0.25">
      <c r="A2187" s="11">
        <v>46070</v>
      </c>
      <c r="B2187" t="s">
        <v>15</v>
      </c>
      <c r="C2187" t="s">
        <v>16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33"/>
        <v>BOM</v>
      </c>
      <c r="M2187">
        <v>0</v>
      </c>
      <c r="N2187">
        <v>97.5</v>
      </c>
      <c r="O2187">
        <v>30.075187969924809</v>
      </c>
    </row>
    <row r="2188" spans="1:15" customFormat="1" hidden="1" x14ac:dyDescent="0.25">
      <c r="A2188" s="11">
        <v>46070</v>
      </c>
      <c r="B2188" t="s">
        <v>49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33"/>
        <v>BOM</v>
      </c>
      <c r="M2188">
        <v>0</v>
      </c>
      <c r="N2188">
        <v>100</v>
      </c>
      <c r="O2188">
        <v>29.71311475409836</v>
      </c>
    </row>
    <row r="2189" spans="1:15" customFormat="1" hidden="1" x14ac:dyDescent="0.25">
      <c r="A2189" s="11">
        <v>46070</v>
      </c>
      <c r="B2189" t="s">
        <v>50</v>
      </c>
      <c r="C2189" t="s">
        <v>48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33"/>
        <v>BOM</v>
      </c>
      <c r="M2189">
        <v>0</v>
      </c>
      <c r="N2189">
        <v>99.22</v>
      </c>
      <c r="O2189">
        <v>35.256410256410263</v>
      </c>
    </row>
    <row r="2190" spans="1:15" customFormat="1" hidden="1" x14ac:dyDescent="0.25">
      <c r="A2190" s="11">
        <v>46070</v>
      </c>
      <c r="B2190" t="s">
        <v>17</v>
      </c>
      <c r="C2190" t="s">
        <v>16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33"/>
        <v>BOM</v>
      </c>
      <c r="M2190">
        <v>0</v>
      </c>
      <c r="N2190">
        <v>0</v>
      </c>
      <c r="O2190">
        <v>0</v>
      </c>
    </row>
    <row r="2191" spans="1:15" customFormat="1" hidden="1" x14ac:dyDescent="0.25">
      <c r="A2191" s="11">
        <v>46070</v>
      </c>
      <c r="B2191" t="s">
        <v>60</v>
      </c>
      <c r="C2191" t="s">
        <v>23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33"/>
        <v>BOM</v>
      </c>
      <c r="M2191">
        <v>0</v>
      </c>
      <c r="N2191">
        <v>98.75</v>
      </c>
      <c r="O2191">
        <v>24.32432432432433</v>
      </c>
    </row>
    <row r="2192" spans="1:15" customFormat="1" hidden="1" x14ac:dyDescent="0.25">
      <c r="A2192" s="11">
        <v>46070</v>
      </c>
      <c r="B2192" t="s">
        <v>34</v>
      </c>
      <c r="C2192" t="s">
        <v>32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33"/>
        <v>BOM</v>
      </c>
      <c r="M2192">
        <v>0</v>
      </c>
      <c r="N2192">
        <v>93.48</v>
      </c>
      <c r="O2192">
        <v>31.52804642166344</v>
      </c>
    </row>
    <row r="2193" spans="1:15" customFormat="1" hidden="1" x14ac:dyDescent="0.25">
      <c r="A2193" s="11">
        <v>46070</v>
      </c>
      <c r="B2193" t="s">
        <v>51</v>
      </c>
      <c r="C2193" t="s">
        <v>48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33"/>
        <v>BOM</v>
      </c>
      <c r="M2193">
        <v>0</v>
      </c>
      <c r="N2193">
        <v>99.16</v>
      </c>
      <c r="O2193">
        <v>26.13908872901678</v>
      </c>
    </row>
    <row r="2194" spans="1:15" customFormat="1" hidden="1" x14ac:dyDescent="0.25">
      <c r="A2194" s="11">
        <v>46070</v>
      </c>
      <c r="B2194" t="s">
        <v>61</v>
      </c>
      <c r="C2194" t="s">
        <v>23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33"/>
        <v>BOM</v>
      </c>
      <c r="M2194">
        <v>0</v>
      </c>
      <c r="N2194">
        <v>100</v>
      </c>
      <c r="O2194">
        <v>31.089743589743591</v>
      </c>
    </row>
    <row r="2195" spans="1:15" customFormat="1" hidden="1" x14ac:dyDescent="0.25">
      <c r="A2195" s="11">
        <v>46070</v>
      </c>
      <c r="B2195" t="s">
        <v>35</v>
      </c>
      <c r="C2195" t="s">
        <v>32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33"/>
        <v>BOM</v>
      </c>
      <c r="M2195">
        <v>0</v>
      </c>
      <c r="N2195">
        <v>98.11</v>
      </c>
      <c r="O2195">
        <v>33.033707865168537</v>
      </c>
    </row>
    <row r="2196" spans="1:15" customFormat="1" hidden="1" x14ac:dyDescent="0.25">
      <c r="A2196" s="11">
        <v>46070</v>
      </c>
      <c r="B2196" t="s">
        <v>18</v>
      </c>
      <c r="C2196" t="s">
        <v>16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33"/>
        <v>BOM</v>
      </c>
      <c r="M2196">
        <v>0</v>
      </c>
      <c r="N2196">
        <v>78.95</v>
      </c>
      <c r="O2196">
        <v>38.983050847457633</v>
      </c>
    </row>
    <row r="2197" spans="1:15" customFormat="1" hidden="1" x14ac:dyDescent="0.25">
      <c r="A2197" s="11">
        <v>46070</v>
      </c>
      <c r="B2197" t="s">
        <v>52</v>
      </c>
      <c r="C2197" t="s">
        <v>48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33"/>
        <v>BOM</v>
      </c>
      <c r="M2197">
        <v>0</v>
      </c>
      <c r="N2197">
        <v>98.45</v>
      </c>
      <c r="O2197">
        <v>29.281767955801101</v>
      </c>
    </row>
    <row r="2198" spans="1:15" customFormat="1" hidden="1" x14ac:dyDescent="0.25">
      <c r="A2198" s="11">
        <v>46070</v>
      </c>
      <c r="B2198" t="s">
        <v>36</v>
      </c>
      <c r="C2198" t="s">
        <v>32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33"/>
        <v>BOM</v>
      </c>
      <c r="M2198">
        <v>0</v>
      </c>
      <c r="N2198">
        <v>97.84</v>
      </c>
      <c r="O2198">
        <v>26.282051282051281</v>
      </c>
    </row>
    <row r="2199" spans="1:15" customFormat="1" hidden="1" x14ac:dyDescent="0.25">
      <c r="A2199" s="11">
        <v>46070</v>
      </c>
      <c r="B2199" t="s">
        <v>53</v>
      </c>
      <c r="C2199" t="s">
        <v>48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 t="shared" si="233"/>
        <v>BOM</v>
      </c>
      <c r="M2199">
        <v>0</v>
      </c>
      <c r="N2199">
        <v>98.5</v>
      </c>
      <c r="O2199">
        <v>23.97769516728625</v>
      </c>
    </row>
    <row r="2200" spans="1:15" customFormat="1" hidden="1" x14ac:dyDescent="0.25">
      <c r="A2200" s="11">
        <v>46104</v>
      </c>
      <c r="B2200" t="s">
        <v>22</v>
      </c>
      <c r="C2200" t="s">
        <v>23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14</v>
      </c>
      <c r="K2200" s="3">
        <f>I2200-J2200</f>
        <v>1</v>
      </c>
      <c r="L2200" s="3" t="str">
        <f t="shared" si="233"/>
        <v>BOM</v>
      </c>
      <c r="M2200">
        <v>11</v>
      </c>
      <c r="N2200">
        <v>99.05</v>
      </c>
      <c r="O2200">
        <v>26.621923937360179</v>
      </c>
    </row>
    <row r="2201" spans="1:15" customFormat="1" hidden="1" x14ac:dyDescent="0.25">
      <c r="A2201" s="11">
        <v>46070</v>
      </c>
      <c r="B2201" t="s">
        <v>54</v>
      </c>
      <c r="C2201" t="s">
        <v>48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33"/>
        <v>BOM</v>
      </c>
      <c r="M2201">
        <v>0</v>
      </c>
      <c r="N2201">
        <v>98.53</v>
      </c>
      <c r="O2201">
        <v>31.578947368421051</v>
      </c>
    </row>
    <row r="2202" spans="1:15" customFormat="1" hidden="1" x14ac:dyDescent="0.25">
      <c r="A2202" s="11">
        <v>46070</v>
      </c>
      <c r="B2202" t="s">
        <v>37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33"/>
        <v>BOM</v>
      </c>
      <c r="M2202">
        <v>0</v>
      </c>
      <c r="N2202">
        <v>100</v>
      </c>
      <c r="O2202">
        <v>25.72214580467676</v>
      </c>
    </row>
    <row r="2203" spans="1:15" customFormat="1" hidden="1" x14ac:dyDescent="0.25">
      <c r="A2203" s="11">
        <v>46070</v>
      </c>
      <c r="B2203" t="s">
        <v>38</v>
      </c>
      <c r="C2203" t="s">
        <v>32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33"/>
        <v>BOM</v>
      </c>
      <c r="M2203">
        <v>0</v>
      </c>
      <c r="N2203">
        <v>94.64</v>
      </c>
      <c r="O2203">
        <v>27.52941176470588</v>
      </c>
    </row>
    <row r="2204" spans="1:15" customFormat="1" hidden="1" x14ac:dyDescent="0.25">
      <c r="A2204" s="11">
        <v>46070</v>
      </c>
      <c r="B2204" t="s">
        <v>55</v>
      </c>
      <c r="C2204" t="s">
        <v>48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33"/>
        <v>BOM</v>
      </c>
      <c r="M2204">
        <v>0</v>
      </c>
      <c r="N2204">
        <v>99.07</v>
      </c>
      <c r="O2204">
        <v>26.376811594202898</v>
      </c>
    </row>
    <row r="2205" spans="1:15" customFormat="1" hidden="1" x14ac:dyDescent="0.25">
      <c r="A2205" s="11">
        <v>46070</v>
      </c>
      <c r="B2205" t="s">
        <v>39</v>
      </c>
      <c r="C2205" t="s">
        <v>32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33"/>
        <v>BOM</v>
      </c>
      <c r="M2205">
        <v>0</v>
      </c>
      <c r="N2205">
        <v>100</v>
      </c>
      <c r="O2205">
        <v>0</v>
      </c>
    </row>
    <row r="2206" spans="1:15" customFormat="1" hidden="1" x14ac:dyDescent="0.25">
      <c r="A2206" s="11">
        <v>46070</v>
      </c>
      <c r="B2206" t="s">
        <v>25</v>
      </c>
      <c r="C2206" t="s">
        <v>26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33"/>
        <v>BOM</v>
      </c>
      <c r="M2206">
        <v>0</v>
      </c>
      <c r="N2206">
        <v>98.48</v>
      </c>
      <c r="O2206">
        <v>27.853881278538811</v>
      </c>
    </row>
    <row r="2207" spans="1:15" customFormat="1" hidden="1" x14ac:dyDescent="0.25">
      <c r="A2207" s="11">
        <v>46070</v>
      </c>
      <c r="B2207" t="s">
        <v>40</v>
      </c>
      <c r="C2207" t="s">
        <v>32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33"/>
        <v>BOM</v>
      </c>
      <c r="M2207">
        <v>0</v>
      </c>
      <c r="N2207">
        <v>95.15</v>
      </c>
      <c r="O2207">
        <v>34.131736526946113</v>
      </c>
    </row>
    <row r="2208" spans="1:15" customFormat="1" hidden="1" x14ac:dyDescent="0.25">
      <c r="A2208" s="11">
        <v>46070</v>
      </c>
      <c r="B2208" t="s">
        <v>27</v>
      </c>
      <c r="C2208" t="s">
        <v>26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33"/>
        <v>BOM</v>
      </c>
      <c r="M2208">
        <v>0</v>
      </c>
      <c r="N2208">
        <v>0</v>
      </c>
      <c r="O2208">
        <v>0</v>
      </c>
    </row>
    <row r="2209" spans="1:15" customFormat="1" hidden="1" x14ac:dyDescent="0.25">
      <c r="A2209" s="11">
        <v>46070</v>
      </c>
      <c r="B2209" t="s">
        <v>41</v>
      </c>
      <c r="C2209" t="s">
        <v>32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33"/>
        <v>BOM</v>
      </c>
      <c r="M2209">
        <v>0</v>
      </c>
      <c r="N2209">
        <v>99.26</v>
      </c>
      <c r="O2209">
        <v>30.84832904884319</v>
      </c>
    </row>
    <row r="2210" spans="1:15" customFormat="1" hidden="1" x14ac:dyDescent="0.25">
      <c r="A2210" s="11">
        <v>46070</v>
      </c>
      <c r="B2210" t="s">
        <v>56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33"/>
        <v>BOM</v>
      </c>
      <c r="M2210">
        <v>0</v>
      </c>
      <c r="N2210">
        <v>97.48</v>
      </c>
      <c r="O2210">
        <v>27.764705882352938</v>
      </c>
    </row>
    <row r="2211" spans="1:15" customFormat="1" hidden="1" x14ac:dyDescent="0.25">
      <c r="A2211" s="11">
        <v>46070</v>
      </c>
      <c r="B2211" t="s">
        <v>57</v>
      </c>
      <c r="C2211" t="s">
        <v>48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33"/>
        <v>BOM</v>
      </c>
      <c r="M2211">
        <v>0</v>
      </c>
      <c r="N2211">
        <v>99.34</v>
      </c>
      <c r="O2211">
        <v>30.04291845493562</v>
      </c>
    </row>
    <row r="2212" spans="1:15" customFormat="1" hidden="1" x14ac:dyDescent="0.25">
      <c r="A2212" s="11">
        <v>46070</v>
      </c>
      <c r="B2212" t="s">
        <v>42</v>
      </c>
      <c r="C2212" t="s">
        <v>32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33"/>
        <v>BOM</v>
      </c>
      <c r="M2212">
        <v>0</v>
      </c>
      <c r="N2212">
        <v>96.3</v>
      </c>
      <c r="O2212">
        <v>24.29378531073446</v>
      </c>
    </row>
    <row r="2213" spans="1:15" customFormat="1" hidden="1" x14ac:dyDescent="0.25">
      <c r="A2213" s="11">
        <v>46070</v>
      </c>
      <c r="B2213" t="s">
        <v>62</v>
      </c>
      <c r="C2213" t="s">
        <v>23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33"/>
        <v>BOM</v>
      </c>
      <c r="M2213">
        <v>0</v>
      </c>
      <c r="N2213">
        <v>100</v>
      </c>
      <c r="O2213">
        <v>26.543209876543209</v>
      </c>
    </row>
    <row r="2214" spans="1:15" customFormat="1" hidden="1" x14ac:dyDescent="0.25">
      <c r="A2214" s="11">
        <v>46070</v>
      </c>
      <c r="B2214" t="s">
        <v>19</v>
      </c>
      <c r="C2214" t="s">
        <v>16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33"/>
        <v>BOM</v>
      </c>
      <c r="M2214">
        <v>0</v>
      </c>
      <c r="N2214">
        <v>100</v>
      </c>
      <c r="O2214">
        <v>35.483870967741943</v>
      </c>
    </row>
    <row r="2215" spans="1:15" customFormat="1" hidden="1" x14ac:dyDescent="0.25">
      <c r="A2215" s="11">
        <v>46070</v>
      </c>
      <c r="B2215" t="s">
        <v>43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33"/>
        <v>BOM</v>
      </c>
      <c r="M2215">
        <v>0</v>
      </c>
      <c r="N2215">
        <v>99.27</v>
      </c>
      <c r="O2215">
        <v>31.163708086785011</v>
      </c>
    </row>
    <row r="2216" spans="1:15" customFormat="1" hidden="1" x14ac:dyDescent="0.25">
      <c r="A2216" s="11">
        <v>46070</v>
      </c>
      <c r="B2216" t="s">
        <v>44</v>
      </c>
      <c r="C2216" t="s">
        <v>32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33"/>
        <v>BOM</v>
      </c>
      <c r="M2216">
        <v>0</v>
      </c>
      <c r="N2216">
        <v>94.16</v>
      </c>
      <c r="O2216">
        <v>27.038626609442058</v>
      </c>
    </row>
    <row r="2217" spans="1:15" customFormat="1" hidden="1" x14ac:dyDescent="0.25">
      <c r="A2217" s="11">
        <v>46070</v>
      </c>
      <c r="B2217" t="s">
        <v>20</v>
      </c>
      <c r="C2217" t="s">
        <v>16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33"/>
        <v>BOM</v>
      </c>
      <c r="M2217">
        <v>0</v>
      </c>
      <c r="N2217">
        <v>93.75</v>
      </c>
      <c r="O2217">
        <v>19.31818181818182</v>
      </c>
    </row>
    <row r="2218" spans="1:15" customFormat="1" hidden="1" x14ac:dyDescent="0.25">
      <c r="A2218" s="11">
        <v>46070</v>
      </c>
      <c r="B2218" t="s">
        <v>28</v>
      </c>
      <c r="C2218" t="s">
        <v>26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33"/>
        <v>BOM</v>
      </c>
      <c r="M2218">
        <v>0</v>
      </c>
      <c r="N2218">
        <v>0</v>
      </c>
      <c r="O2218">
        <v>0</v>
      </c>
    </row>
    <row r="2219" spans="1:15" customFormat="1" hidden="1" x14ac:dyDescent="0.25">
      <c r="A2219" s="11">
        <v>46070</v>
      </c>
      <c r="B2219" t="s">
        <v>58</v>
      </c>
      <c r="C2219" t="s">
        <v>48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33"/>
        <v>BOM</v>
      </c>
      <c r="M2219">
        <v>0</v>
      </c>
      <c r="N2219">
        <v>97.92</v>
      </c>
      <c r="O2219">
        <v>32.87671232876712</v>
      </c>
    </row>
    <row r="2220" spans="1:15" customFormat="1" hidden="1" x14ac:dyDescent="0.25">
      <c r="A2220" s="11">
        <v>46070</v>
      </c>
      <c r="B2220" t="s">
        <v>29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33"/>
        <v>BOM</v>
      </c>
      <c r="M2220">
        <v>0</v>
      </c>
      <c r="N2220">
        <v>0</v>
      </c>
      <c r="O2220">
        <v>0</v>
      </c>
    </row>
    <row r="2221" spans="1:15" customFormat="1" hidden="1" x14ac:dyDescent="0.25">
      <c r="A2221" s="11">
        <v>46070</v>
      </c>
      <c r="B2221" t="s">
        <v>30</v>
      </c>
      <c r="C2221" t="s">
        <v>26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33"/>
        <v>BOM</v>
      </c>
      <c r="M2221">
        <v>0</v>
      </c>
      <c r="N2221">
        <v>0</v>
      </c>
      <c r="O2221">
        <v>0</v>
      </c>
    </row>
    <row r="2222" spans="1:15" customFormat="1" hidden="1" x14ac:dyDescent="0.25">
      <c r="A2222" s="11">
        <v>46070</v>
      </c>
      <c r="B2222" t="s">
        <v>21</v>
      </c>
      <c r="C2222" t="s">
        <v>16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33"/>
        <v>BOM</v>
      </c>
      <c r="M2222">
        <v>0</v>
      </c>
      <c r="N2222">
        <v>0</v>
      </c>
      <c r="O2222">
        <v>0</v>
      </c>
    </row>
    <row r="2223" spans="1:15" customFormat="1" hidden="1" x14ac:dyDescent="0.25">
      <c r="A2223" s="11">
        <v>46070</v>
      </c>
      <c r="B2223" t="s">
        <v>63</v>
      </c>
      <c r="C2223" t="s">
        <v>23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33"/>
        <v>BOM</v>
      </c>
      <c r="M2223">
        <v>0</v>
      </c>
      <c r="N2223">
        <v>98.51</v>
      </c>
      <c r="O2223">
        <v>29.710144927536231</v>
      </c>
    </row>
    <row r="2224" spans="1:15" customFormat="1" hidden="1" x14ac:dyDescent="0.25">
      <c r="A2224" s="11">
        <v>46070</v>
      </c>
      <c r="B2224" t="s">
        <v>45</v>
      </c>
      <c r="C2224" t="s">
        <v>32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33"/>
        <v>BOM</v>
      </c>
      <c r="M2224">
        <v>0</v>
      </c>
      <c r="N2224">
        <v>98.81</v>
      </c>
      <c r="O2224">
        <v>30.712979890310791</v>
      </c>
    </row>
    <row r="2225" spans="1:15" customFormat="1" hidden="1" x14ac:dyDescent="0.25">
      <c r="A2225" s="11">
        <v>46070</v>
      </c>
      <c r="B2225" t="s">
        <v>64</v>
      </c>
      <c r="C2225" t="s">
        <v>23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33"/>
        <v>BOM</v>
      </c>
      <c r="M2225">
        <v>0</v>
      </c>
      <c r="N2225">
        <v>98.48</v>
      </c>
      <c r="O2225">
        <v>29.35323383084577</v>
      </c>
    </row>
    <row r="2226" spans="1:15" customFormat="1" hidden="1" x14ac:dyDescent="0.25">
      <c r="A2226" s="11">
        <v>46070</v>
      </c>
      <c r="B2226" t="s">
        <v>46</v>
      </c>
      <c r="C2226" t="s">
        <v>32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 t="shared" si="233"/>
        <v>BOM</v>
      </c>
      <c r="M2226">
        <v>0</v>
      </c>
      <c r="N2226">
        <v>98.56</v>
      </c>
      <c r="O2226">
        <v>29.373650107991359</v>
      </c>
    </row>
    <row r="2227" spans="1:15" customFormat="1" hidden="1" x14ac:dyDescent="0.25">
      <c r="A2227" s="11">
        <v>46071</v>
      </c>
      <c r="B2227" t="s">
        <v>47</v>
      </c>
      <c r="C2227" t="s">
        <v>48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19</v>
      </c>
      <c r="K2227" s="3">
        <f>I2227-J2227</f>
        <v>13</v>
      </c>
      <c r="L2227" s="3" t="str">
        <f t="shared" si="233"/>
        <v>EXCELENTE</v>
      </c>
      <c r="M2227">
        <v>22</v>
      </c>
      <c r="N2227">
        <v>98.32</v>
      </c>
      <c r="O2227">
        <v>30.303030303030301</v>
      </c>
    </row>
    <row r="2228" spans="1:15" customFormat="1" hidden="1" x14ac:dyDescent="0.25">
      <c r="A2228" s="11">
        <v>46071</v>
      </c>
      <c r="B2228" t="s">
        <v>31</v>
      </c>
      <c r="C2228" t="s">
        <v>32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 t="shared" si="233"/>
        <v>BOM</v>
      </c>
      <c r="M2228">
        <v>19</v>
      </c>
      <c r="N2228">
        <v>98.68</v>
      </c>
      <c r="O2228">
        <v>26.219512195121951</v>
      </c>
    </row>
    <row r="2229" spans="1:15" customFormat="1" hidden="1" x14ac:dyDescent="0.25">
      <c r="A2229" s="11">
        <v>46071</v>
      </c>
      <c r="B2229" t="s">
        <v>59</v>
      </c>
      <c r="C2229" t="s">
        <v>23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16</v>
      </c>
      <c r="K2229" s="3">
        <f>I2229-J2229</f>
        <v>5</v>
      </c>
      <c r="L2229" s="3" t="str">
        <f t="shared" si="233"/>
        <v>BOM</v>
      </c>
      <c r="M2229">
        <v>21</v>
      </c>
      <c r="N2229">
        <v>100</v>
      </c>
      <c r="O2229">
        <v>31.74224343675418</v>
      </c>
    </row>
    <row r="2230" spans="1:15" customFormat="1" hidden="1" x14ac:dyDescent="0.25">
      <c r="A2230" s="11">
        <v>46071</v>
      </c>
      <c r="B2230" t="s">
        <v>33</v>
      </c>
      <c r="C2230" t="s">
        <v>32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24</v>
      </c>
      <c r="K2230" s="3">
        <f>I2230-J2230</f>
        <v>4</v>
      </c>
      <c r="L2230" s="3" t="str">
        <f t="shared" si="233"/>
        <v>BOM</v>
      </c>
      <c r="M2230">
        <v>26</v>
      </c>
      <c r="N2230">
        <v>98.25</v>
      </c>
      <c r="O2230">
        <v>25.83518930957684</v>
      </c>
    </row>
    <row r="2231" spans="1:15" customFormat="1" hidden="1" x14ac:dyDescent="0.25">
      <c r="A2231" s="11">
        <v>46071</v>
      </c>
      <c r="B2231" t="s">
        <v>15</v>
      </c>
      <c r="C2231" t="s">
        <v>16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 t="shared" si="233"/>
        <v>ATENÇÃO</v>
      </c>
      <c r="M2231">
        <v>6</v>
      </c>
      <c r="N2231">
        <v>97.5</v>
      </c>
      <c r="O2231">
        <v>30.075187969924809</v>
      </c>
    </row>
    <row r="2232" spans="1:15" customFormat="1" hidden="1" x14ac:dyDescent="0.25">
      <c r="A2232" s="11">
        <v>46071</v>
      </c>
      <c r="B2232" t="s">
        <v>49</v>
      </c>
      <c r="C2232" t="s">
        <v>48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-2</v>
      </c>
      <c r="L2232" s="3" t="str">
        <f t="shared" si="233"/>
        <v>ATENÇÃO</v>
      </c>
      <c r="M2232">
        <v>19</v>
      </c>
      <c r="N2232">
        <v>100</v>
      </c>
      <c r="O2232">
        <v>29.71311475409836</v>
      </c>
    </row>
    <row r="2233" spans="1:15" customFormat="1" hidden="1" x14ac:dyDescent="0.25">
      <c r="A2233" s="11">
        <v>46071</v>
      </c>
      <c r="B2233" t="s">
        <v>50</v>
      </c>
      <c r="C2233" t="s">
        <v>48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19</v>
      </c>
      <c r="K2233" s="3">
        <f>I2233-J2233</f>
        <v>-10</v>
      </c>
      <c r="L2233" s="3" t="str">
        <f t="shared" si="233"/>
        <v>CRÍTICO</v>
      </c>
      <c r="M2233">
        <v>12</v>
      </c>
      <c r="N2233">
        <v>99.22</v>
      </c>
      <c r="O2233">
        <v>35.256410256410263</v>
      </c>
    </row>
    <row r="2234" spans="1:15" customFormat="1" hidden="1" x14ac:dyDescent="0.25">
      <c r="A2234" s="11">
        <v>46071</v>
      </c>
      <c r="B2234" t="s">
        <v>17</v>
      </c>
      <c r="C2234" t="s">
        <v>16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 t="shared" si="233"/>
        <v>BOM</v>
      </c>
      <c r="M2234">
        <v>0</v>
      </c>
      <c r="N2234">
        <v>0</v>
      </c>
      <c r="O2234">
        <v>0</v>
      </c>
    </row>
    <row r="2235" spans="1:15" customFormat="1" hidden="1" x14ac:dyDescent="0.25">
      <c r="A2235" s="11">
        <v>46071</v>
      </c>
      <c r="B2235" t="s">
        <v>60</v>
      </c>
      <c r="C2235" t="s">
        <v>23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6</v>
      </c>
      <c r="L2235" s="3" t="str">
        <f t="shared" si="233"/>
        <v>EXCELENTE</v>
      </c>
      <c r="M2235">
        <v>20</v>
      </c>
      <c r="N2235">
        <v>98.75</v>
      </c>
      <c r="O2235">
        <v>24.32432432432433</v>
      </c>
    </row>
    <row r="2236" spans="1:15" customFormat="1" hidden="1" x14ac:dyDescent="0.25">
      <c r="A2236" s="11">
        <v>46071</v>
      </c>
      <c r="B2236" t="s">
        <v>34</v>
      </c>
      <c r="C2236" t="s">
        <v>32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24</v>
      </c>
      <c r="K2236" s="3">
        <f>I2236-J2236</f>
        <v>13</v>
      </c>
      <c r="L2236" s="3" t="str">
        <f t="shared" si="233"/>
        <v>EXCELENTE</v>
      </c>
      <c r="M2236">
        <v>34</v>
      </c>
      <c r="N2236">
        <v>93.48</v>
      </c>
      <c r="O2236">
        <v>31.52804642166344</v>
      </c>
    </row>
    <row r="2237" spans="1:15" customFormat="1" hidden="1" x14ac:dyDescent="0.25">
      <c r="A2237" s="11">
        <v>46071</v>
      </c>
      <c r="B2237" t="s">
        <v>51</v>
      </c>
      <c r="C2237" t="s">
        <v>48</v>
      </c>
      <c r="D2237">
        <v>17</v>
      </c>
      <c r="E2237">
        <v>14</v>
      </c>
      <c r="F2237">
        <v>34.049999999999997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 t="shared" si="233"/>
        <v>BOM</v>
      </c>
      <c r="M2237">
        <v>13</v>
      </c>
      <c r="N2237">
        <v>99.16</v>
      </c>
      <c r="O2237">
        <v>26.13908872901678</v>
      </c>
    </row>
    <row r="2238" spans="1:15" customFormat="1" hidden="1" x14ac:dyDescent="0.25">
      <c r="A2238" s="11">
        <v>46071</v>
      </c>
      <c r="B2238" t="s">
        <v>61</v>
      </c>
      <c r="C2238" t="s">
        <v>23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16</v>
      </c>
      <c r="K2238" s="3">
        <f>I2238-J2238</f>
        <v>15</v>
      </c>
      <c r="L2238" s="3" t="str">
        <f t="shared" si="233"/>
        <v>EXCELENTE</v>
      </c>
      <c r="M2238">
        <v>24</v>
      </c>
      <c r="N2238">
        <v>100</v>
      </c>
      <c r="O2238">
        <v>31.089743589743591</v>
      </c>
    </row>
    <row r="2239" spans="1:15" customFormat="1" hidden="1" x14ac:dyDescent="0.25">
      <c r="A2239" s="11">
        <v>46071</v>
      </c>
      <c r="B2239" t="s">
        <v>35</v>
      </c>
      <c r="C2239" t="s">
        <v>32</v>
      </c>
      <c r="D2239">
        <v>13</v>
      </c>
      <c r="E2239">
        <v>13</v>
      </c>
      <c r="F2239">
        <v>47.13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 t="shared" si="233"/>
        <v>BOM</v>
      </c>
      <c r="M2239">
        <v>13</v>
      </c>
      <c r="N2239">
        <v>98.11</v>
      </c>
      <c r="O2239">
        <v>33.033707865168537</v>
      </c>
    </row>
    <row r="2240" spans="1:15" customFormat="1" hidden="1" x14ac:dyDescent="0.25">
      <c r="A2240" s="11">
        <v>46071</v>
      </c>
      <c r="B2240" t="s">
        <v>18</v>
      </c>
      <c r="C2240" t="s">
        <v>16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ref="I2240:I2248" si="234">E2240+G2240+H2240</f>
        <v>3</v>
      </c>
      <c r="J2240" s="3">
        <f t="shared" ref="J2240:J2248" si="235"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 t="shared" ref="K2240:K2248" si="236">I2240-J2240</f>
        <v>-4</v>
      </c>
      <c r="L2240" s="3" t="str">
        <f t="shared" si="233"/>
        <v>ATENÇÃO</v>
      </c>
      <c r="M2240">
        <v>4</v>
      </c>
      <c r="N2240">
        <v>78.95</v>
      </c>
      <c r="O2240">
        <v>38.983050847457633</v>
      </c>
    </row>
    <row r="2241" spans="1:15" customFormat="1" hidden="1" x14ac:dyDescent="0.25">
      <c r="A2241" s="11">
        <v>46071</v>
      </c>
      <c r="B2241" t="s">
        <v>52</v>
      </c>
      <c r="C2241" t="s">
        <v>48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234"/>
        <v>28</v>
      </c>
      <c r="J2241" s="3">
        <f t="shared" si="235"/>
        <v>19</v>
      </c>
      <c r="K2241" s="3">
        <f t="shared" si="236"/>
        <v>9</v>
      </c>
      <c r="L2241" s="3" t="str">
        <f t="shared" si="233"/>
        <v>EXCELENTE</v>
      </c>
      <c r="M2241">
        <v>22</v>
      </c>
      <c r="N2241">
        <v>98.45</v>
      </c>
      <c r="O2241">
        <v>29.281767955801101</v>
      </c>
    </row>
    <row r="2242" spans="1:15" customFormat="1" hidden="1" x14ac:dyDescent="0.25">
      <c r="A2242" s="11">
        <v>46071</v>
      </c>
      <c r="B2242" t="s">
        <v>36</v>
      </c>
      <c r="C2242" t="s">
        <v>32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234"/>
        <v>15</v>
      </c>
      <c r="J2242" s="3">
        <f t="shared" si="235"/>
        <v>24</v>
      </c>
      <c r="K2242" s="3">
        <f t="shared" si="236"/>
        <v>-9</v>
      </c>
      <c r="L2242" s="3" t="str">
        <f t="shared" si="233"/>
        <v>CRÍTICO</v>
      </c>
      <c r="M2242">
        <v>14</v>
      </c>
      <c r="N2242">
        <v>97.84</v>
      </c>
      <c r="O2242">
        <v>26.282051282051281</v>
      </c>
    </row>
    <row r="2243" spans="1:15" customFormat="1" hidden="1" x14ac:dyDescent="0.25">
      <c r="A2243" s="11">
        <v>46071</v>
      </c>
      <c r="B2243" t="s">
        <v>53</v>
      </c>
      <c r="C2243" t="s">
        <v>48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234"/>
        <v>24</v>
      </c>
      <c r="J2243" s="3">
        <f t="shared" si="235"/>
        <v>19</v>
      </c>
      <c r="K2243" s="3">
        <f t="shared" si="236"/>
        <v>5</v>
      </c>
      <c r="L2243" s="3" t="str">
        <f t="shared" si="233"/>
        <v>BOM</v>
      </c>
      <c r="M2243">
        <v>21</v>
      </c>
      <c r="N2243">
        <v>98.5</v>
      </c>
      <c r="O2243">
        <v>23.97769516728625</v>
      </c>
    </row>
    <row r="2244" spans="1:15" customFormat="1" hidden="1" x14ac:dyDescent="0.25">
      <c r="A2244" s="11">
        <v>46105</v>
      </c>
      <c r="B2244" t="s">
        <v>22</v>
      </c>
      <c r="C2244" t="s">
        <v>23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234"/>
        <v>29</v>
      </c>
      <c r="J2244" s="3">
        <f t="shared" si="235"/>
        <v>17</v>
      </c>
      <c r="K2244" s="3">
        <f t="shared" si="236"/>
        <v>12</v>
      </c>
      <c r="L2244" s="3" t="str">
        <f t="shared" si="233"/>
        <v>EXCELENTE</v>
      </c>
      <c r="M2244">
        <v>29</v>
      </c>
      <c r="N2244">
        <v>99.05</v>
      </c>
      <c r="O2244">
        <v>26.621923937360179</v>
      </c>
    </row>
    <row r="2245" spans="1:15" customFormat="1" hidden="1" x14ac:dyDescent="0.25">
      <c r="A2245" s="11">
        <v>46071</v>
      </c>
      <c r="B2245" t="s">
        <v>54</v>
      </c>
      <c r="C2245" t="s">
        <v>48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234"/>
        <v>22</v>
      </c>
      <c r="J2245" s="3">
        <f t="shared" si="235"/>
        <v>19</v>
      </c>
      <c r="K2245" s="3">
        <f t="shared" si="236"/>
        <v>3</v>
      </c>
      <c r="L2245" s="3" t="str">
        <f t="shared" si="233"/>
        <v>BOM</v>
      </c>
      <c r="M2245">
        <v>21</v>
      </c>
      <c r="N2245">
        <v>98.53</v>
      </c>
      <c r="O2245">
        <v>31.578947368421051</v>
      </c>
    </row>
    <row r="2246" spans="1:15" customFormat="1" hidden="1" x14ac:dyDescent="0.25">
      <c r="A2246" s="11">
        <v>46071</v>
      </c>
      <c r="B2246" t="s">
        <v>37</v>
      </c>
      <c r="C2246" t="s">
        <v>32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234"/>
        <v>39</v>
      </c>
      <c r="J2246" s="3">
        <f t="shared" si="235"/>
        <v>24</v>
      </c>
      <c r="K2246" s="3">
        <f t="shared" si="236"/>
        <v>15</v>
      </c>
      <c r="L2246" s="3" t="str">
        <f t="shared" si="233"/>
        <v>EXCELENTE</v>
      </c>
      <c r="M2246">
        <v>37</v>
      </c>
      <c r="N2246">
        <v>100</v>
      </c>
      <c r="O2246">
        <v>25.72214580467676</v>
      </c>
    </row>
    <row r="2247" spans="1:15" customFormat="1" hidden="1" x14ac:dyDescent="0.25">
      <c r="A2247" s="11">
        <v>46071</v>
      </c>
      <c r="B2247" t="s">
        <v>38</v>
      </c>
      <c r="C2247" t="s">
        <v>32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234"/>
        <v>26</v>
      </c>
      <c r="J2247" s="3">
        <f t="shared" si="235"/>
        <v>24</v>
      </c>
      <c r="K2247" s="3">
        <f t="shared" si="236"/>
        <v>2</v>
      </c>
      <c r="L2247" s="3" t="str">
        <f t="shared" ref="L2247:L2310" si="237">IF(K2247&lt;-5,"CRÍTICO",IF(K2247&lt;0,"ATENÇÃO",IF(K2247&lt;=5,"BOM","EXCELENTE")))</f>
        <v>BOM</v>
      </c>
      <c r="M2247">
        <v>22</v>
      </c>
      <c r="N2247">
        <v>94.64</v>
      </c>
      <c r="O2247">
        <v>27.52941176470588</v>
      </c>
    </row>
    <row r="2248" spans="1:15" customFormat="1" hidden="1" x14ac:dyDescent="0.25">
      <c r="A2248" s="11">
        <v>46071</v>
      </c>
      <c r="B2248" t="s">
        <v>55</v>
      </c>
      <c r="C2248" t="s">
        <v>48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234"/>
        <v>20</v>
      </c>
      <c r="J2248" s="3">
        <f t="shared" si="235"/>
        <v>19</v>
      </c>
      <c r="K2248" s="3">
        <f t="shared" si="236"/>
        <v>1</v>
      </c>
      <c r="L2248" s="3" t="str">
        <f t="shared" si="237"/>
        <v>BOM</v>
      </c>
      <c r="M2248">
        <v>16</v>
      </c>
      <c r="N2248">
        <v>99.07</v>
      </c>
      <c r="O2248">
        <v>26.376811594202898</v>
      </c>
    </row>
    <row r="2249" spans="1:15" customFormat="1" hidden="1" x14ac:dyDescent="0.25">
      <c r="A2249" s="11">
        <v>46071</v>
      </c>
      <c r="B2249" t="s">
        <v>39</v>
      </c>
      <c r="C2249" t="s">
        <v>32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 t="shared" si="237"/>
        <v>BOM</v>
      </c>
      <c r="M2249">
        <v>0</v>
      </c>
      <c r="N2249">
        <v>100</v>
      </c>
      <c r="O2249">
        <v>0</v>
      </c>
    </row>
    <row r="2250" spans="1:15" customFormat="1" hidden="1" x14ac:dyDescent="0.25">
      <c r="A2250" s="11">
        <v>46071</v>
      </c>
      <c r="B2250" t="s">
        <v>25</v>
      </c>
      <c r="C2250" t="s">
        <v>26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14</v>
      </c>
      <c r="K2250" s="3">
        <f>I2250-J2250</f>
        <v>-5</v>
      </c>
      <c r="L2250" s="3" t="str">
        <f t="shared" si="237"/>
        <v>ATENÇÃO</v>
      </c>
      <c r="M2250">
        <v>7</v>
      </c>
      <c r="N2250">
        <v>98.48</v>
      </c>
      <c r="O2250">
        <v>27.853881278538811</v>
      </c>
    </row>
    <row r="2251" spans="1:15" customFormat="1" hidden="1" x14ac:dyDescent="0.25">
      <c r="A2251" s="11">
        <v>46071</v>
      </c>
      <c r="B2251" t="s">
        <v>40</v>
      </c>
      <c r="C2251" t="s">
        <v>32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24</v>
      </c>
      <c r="K2251" s="3">
        <f>I2251-J2251</f>
        <v>-8</v>
      </c>
      <c r="L2251" s="3" t="str">
        <f t="shared" si="237"/>
        <v>CRÍTICO</v>
      </c>
      <c r="M2251">
        <v>14</v>
      </c>
      <c r="N2251">
        <v>95.15</v>
      </c>
      <c r="O2251">
        <v>34.131736526946113</v>
      </c>
    </row>
    <row r="2252" spans="1:15" customFormat="1" hidden="1" x14ac:dyDescent="0.25">
      <c r="A2252" s="11">
        <v>46071</v>
      </c>
      <c r="B2252" t="s">
        <v>27</v>
      </c>
      <c r="C2252" t="s">
        <v>26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 t="shared" si="237"/>
        <v>BOM</v>
      </c>
      <c r="M2252">
        <v>0</v>
      </c>
      <c r="N2252">
        <v>0</v>
      </c>
      <c r="O2252">
        <v>0</v>
      </c>
    </row>
    <row r="2253" spans="1:15" customFormat="1" hidden="1" x14ac:dyDescent="0.25">
      <c r="A2253" s="11">
        <v>46071</v>
      </c>
      <c r="B2253" t="s">
        <v>41</v>
      </c>
      <c r="C2253" t="s">
        <v>32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24</v>
      </c>
      <c r="K2253" s="3">
        <f>I2253-J2253</f>
        <v>-6</v>
      </c>
      <c r="L2253" s="3" t="str">
        <f t="shared" si="237"/>
        <v>CRÍTICO</v>
      </c>
      <c r="M2253">
        <v>15</v>
      </c>
      <c r="N2253">
        <v>99.26</v>
      </c>
      <c r="O2253">
        <v>30.84832904884319</v>
      </c>
    </row>
    <row r="2254" spans="1:15" customFormat="1" hidden="1" x14ac:dyDescent="0.25">
      <c r="A2254" s="11">
        <v>46071</v>
      </c>
      <c r="B2254" t="s">
        <v>56</v>
      </c>
      <c r="C2254" t="s">
        <v>48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19</v>
      </c>
      <c r="K2254" s="3">
        <f>I2254-J2254</f>
        <v>3</v>
      </c>
      <c r="L2254" s="3" t="str">
        <f t="shared" si="237"/>
        <v>BOM</v>
      </c>
      <c r="M2254">
        <v>5</v>
      </c>
      <c r="N2254">
        <v>97.48</v>
      </c>
      <c r="O2254">
        <v>27.764705882352938</v>
      </c>
    </row>
    <row r="2255" spans="1:15" customFormat="1" hidden="1" x14ac:dyDescent="0.25">
      <c r="A2255" s="11">
        <v>46071</v>
      </c>
      <c r="B2255" t="s">
        <v>57</v>
      </c>
      <c r="C2255" t="s">
        <v>48</v>
      </c>
      <c r="D2255">
        <v>32</v>
      </c>
      <c r="E2255">
        <v>32</v>
      </c>
      <c r="F2255">
        <v>21.45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37"/>
        <v>BOM</v>
      </c>
      <c r="M2255">
        <v>28</v>
      </c>
      <c r="N2255">
        <v>99.34</v>
      </c>
      <c r="O2255">
        <v>30.04291845493562</v>
      </c>
    </row>
    <row r="2256" spans="1:15" customFormat="1" hidden="1" x14ac:dyDescent="0.25">
      <c r="A2256" s="11">
        <v>46071</v>
      </c>
      <c r="B2256" t="s">
        <v>42</v>
      </c>
      <c r="C2256" t="s">
        <v>32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 t="shared" si="237"/>
        <v>BOM</v>
      </c>
      <c r="M2256">
        <v>0</v>
      </c>
      <c r="N2256">
        <v>96.3</v>
      </c>
      <c r="O2256">
        <v>24.29378531073446</v>
      </c>
    </row>
    <row r="2257" spans="1:15" customFormat="1" hidden="1" x14ac:dyDescent="0.25">
      <c r="A2257" s="11">
        <v>46071</v>
      </c>
      <c r="B2257" t="s">
        <v>62</v>
      </c>
      <c r="C2257" t="s">
        <v>23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16</v>
      </c>
      <c r="K2257" s="3">
        <f>I2257-J2257</f>
        <v>2</v>
      </c>
      <c r="L2257" s="3" t="str">
        <f t="shared" si="237"/>
        <v>BOM</v>
      </c>
      <c r="M2257">
        <v>16</v>
      </c>
      <c r="N2257">
        <v>100</v>
      </c>
      <c r="O2257">
        <v>26.543209876543209</v>
      </c>
    </row>
    <row r="2258" spans="1:15" customFormat="1" hidden="1" x14ac:dyDescent="0.25">
      <c r="A2258" s="11">
        <v>46071</v>
      </c>
      <c r="B2258" t="s">
        <v>19</v>
      </c>
      <c r="C2258" t="s">
        <v>16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 t="shared" si="237"/>
        <v>ATENÇÃO</v>
      </c>
      <c r="M2258">
        <v>2</v>
      </c>
      <c r="N2258">
        <v>100</v>
      </c>
      <c r="O2258">
        <v>35.483870967741943</v>
      </c>
    </row>
    <row r="2259" spans="1:15" customFormat="1" hidden="1" x14ac:dyDescent="0.25">
      <c r="A2259" s="11">
        <v>46071</v>
      </c>
      <c r="B2259" t="s">
        <v>43</v>
      </c>
      <c r="C2259" t="s">
        <v>32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4</v>
      </c>
      <c r="L2259" s="3" t="str">
        <f t="shared" si="237"/>
        <v>BOM</v>
      </c>
      <c r="M2259">
        <v>25</v>
      </c>
      <c r="N2259">
        <v>99.27</v>
      </c>
      <c r="O2259">
        <v>31.163708086785011</v>
      </c>
    </row>
    <row r="2260" spans="1:15" customFormat="1" hidden="1" x14ac:dyDescent="0.25">
      <c r="A2260" s="11">
        <v>46071</v>
      </c>
      <c r="B2260" t="s">
        <v>44</v>
      </c>
      <c r="C2260" t="s">
        <v>32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24</v>
      </c>
      <c r="K2260" s="3">
        <f>I2260-J2260</f>
        <v>11</v>
      </c>
      <c r="L2260" s="3" t="str">
        <f t="shared" si="237"/>
        <v>EXCELENTE</v>
      </c>
      <c r="M2260">
        <v>26</v>
      </c>
      <c r="N2260">
        <v>94.16</v>
      </c>
      <c r="O2260">
        <v>27.038626609442058</v>
      </c>
    </row>
    <row r="2261" spans="1:15" customFormat="1" hidden="1" x14ac:dyDescent="0.25">
      <c r="A2261" s="11">
        <v>46071</v>
      </c>
      <c r="B2261" t="s">
        <v>20</v>
      </c>
      <c r="C2261" t="s">
        <v>16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 t="shared" si="237"/>
        <v>ATENÇÃO</v>
      </c>
      <c r="M2261">
        <v>4</v>
      </c>
      <c r="N2261">
        <v>93.75</v>
      </c>
      <c r="O2261">
        <v>19.31818181818182</v>
      </c>
    </row>
    <row r="2262" spans="1:15" customFormat="1" hidden="1" x14ac:dyDescent="0.25">
      <c r="A2262" s="11">
        <v>46071</v>
      </c>
      <c r="B2262" t="s">
        <v>28</v>
      </c>
      <c r="C2262" t="s">
        <v>26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37"/>
        <v>BOM</v>
      </c>
      <c r="M2262">
        <v>0</v>
      </c>
      <c r="N2262">
        <v>0</v>
      </c>
      <c r="O2262">
        <v>0</v>
      </c>
    </row>
    <row r="2263" spans="1:15" customFormat="1" hidden="1" x14ac:dyDescent="0.25">
      <c r="A2263" s="11">
        <v>46071</v>
      </c>
      <c r="B2263" t="s">
        <v>58</v>
      </c>
      <c r="C2263" t="s">
        <v>48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37"/>
        <v>BOM</v>
      </c>
      <c r="M2263">
        <v>0</v>
      </c>
      <c r="N2263">
        <v>97.92</v>
      </c>
      <c r="O2263">
        <v>32.87671232876712</v>
      </c>
    </row>
    <row r="2264" spans="1:15" customFormat="1" hidden="1" x14ac:dyDescent="0.25">
      <c r="A2264" s="11">
        <v>46071</v>
      </c>
      <c r="B2264" t="s">
        <v>29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37"/>
        <v>BOM</v>
      </c>
      <c r="M2264">
        <v>0</v>
      </c>
      <c r="N2264">
        <v>0</v>
      </c>
      <c r="O2264">
        <v>0</v>
      </c>
    </row>
    <row r="2265" spans="1:15" customFormat="1" hidden="1" x14ac:dyDescent="0.25">
      <c r="A2265" s="11">
        <v>46071</v>
      </c>
      <c r="B2265" t="s">
        <v>30</v>
      </c>
      <c r="C2265" t="s">
        <v>26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37"/>
        <v>BOM</v>
      </c>
      <c r="M2265">
        <v>0</v>
      </c>
      <c r="N2265">
        <v>0</v>
      </c>
      <c r="O2265">
        <v>0</v>
      </c>
    </row>
    <row r="2266" spans="1:15" customFormat="1" hidden="1" x14ac:dyDescent="0.25">
      <c r="A2266" s="11">
        <v>46071</v>
      </c>
      <c r="B2266" t="s">
        <v>21</v>
      </c>
      <c r="C2266" t="s">
        <v>16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 t="shared" si="237"/>
        <v>BOM</v>
      </c>
      <c r="M2266">
        <v>0</v>
      </c>
      <c r="N2266">
        <v>0</v>
      </c>
      <c r="O2266">
        <v>0</v>
      </c>
    </row>
    <row r="2267" spans="1:15" customFormat="1" hidden="1" x14ac:dyDescent="0.25">
      <c r="A2267" s="11">
        <v>46071</v>
      </c>
      <c r="B2267" t="s">
        <v>63</v>
      </c>
      <c r="C2267" t="s">
        <v>23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16</v>
      </c>
      <c r="K2267" s="3">
        <f>I2267-J2267</f>
        <v>18</v>
      </c>
      <c r="L2267" s="3" t="str">
        <f t="shared" si="237"/>
        <v>EXCELENTE</v>
      </c>
      <c r="M2267">
        <v>27</v>
      </c>
      <c r="N2267">
        <v>98.51</v>
      </c>
      <c r="O2267">
        <v>29.710144927536231</v>
      </c>
    </row>
    <row r="2268" spans="1:15" customFormat="1" hidden="1" x14ac:dyDescent="0.25">
      <c r="A2268" s="11">
        <v>46071</v>
      </c>
      <c r="B2268" t="s">
        <v>45</v>
      </c>
      <c r="C2268" t="s">
        <v>32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24</v>
      </c>
      <c r="K2268" s="3">
        <f>I2268-J2268</f>
        <v>17</v>
      </c>
      <c r="L2268" s="3" t="str">
        <f t="shared" si="237"/>
        <v>EXCELENTE</v>
      </c>
      <c r="M2268">
        <v>36</v>
      </c>
      <c r="N2268">
        <v>98.81</v>
      </c>
      <c r="O2268">
        <v>30.712979890310791</v>
      </c>
    </row>
    <row r="2269" spans="1:15" customFormat="1" hidden="1" x14ac:dyDescent="0.25">
      <c r="A2269" s="11">
        <v>46071</v>
      </c>
      <c r="B2269" t="s">
        <v>64</v>
      </c>
      <c r="C2269" t="s">
        <v>23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16</v>
      </c>
      <c r="K2269" s="3">
        <f>I2269-J2269</f>
        <v>-6</v>
      </c>
      <c r="L2269" s="3" t="str">
        <f t="shared" si="237"/>
        <v>CRÍTICO</v>
      </c>
      <c r="M2269">
        <v>8</v>
      </c>
      <c r="N2269">
        <v>98.48</v>
      </c>
      <c r="O2269">
        <v>29.35323383084577</v>
      </c>
    </row>
    <row r="2270" spans="1:15" customFormat="1" hidden="1" x14ac:dyDescent="0.25">
      <c r="A2270" s="11">
        <v>46071</v>
      </c>
      <c r="B2270" t="s">
        <v>46</v>
      </c>
      <c r="C2270" t="s">
        <v>32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24</v>
      </c>
      <c r="K2270" s="3">
        <f>I2270-J2270</f>
        <v>2</v>
      </c>
      <c r="L2270" s="3" t="str">
        <f t="shared" si="237"/>
        <v>BOM</v>
      </c>
      <c r="M2270">
        <v>24</v>
      </c>
      <c r="N2270">
        <v>98.56</v>
      </c>
      <c r="O2270">
        <v>29.373650107991359</v>
      </c>
    </row>
    <row r="2271" spans="1:15" customFormat="1" hidden="1" x14ac:dyDescent="0.25">
      <c r="A2271" s="11">
        <v>46072</v>
      </c>
      <c r="B2271" t="s">
        <v>47</v>
      </c>
      <c r="C2271" t="s">
        <v>48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18</v>
      </c>
      <c r="K2271" s="3">
        <f>I2271-J2271</f>
        <v>-3</v>
      </c>
      <c r="L2271" s="3" t="str">
        <f t="shared" si="237"/>
        <v>ATENÇÃO</v>
      </c>
      <c r="M2271">
        <v>12</v>
      </c>
      <c r="N2271">
        <v>98.32</v>
      </c>
      <c r="O2271">
        <v>30.303030303030301</v>
      </c>
    </row>
    <row r="2272" spans="1:15" customFormat="1" hidden="1" x14ac:dyDescent="0.25">
      <c r="A2272" s="11">
        <v>46072</v>
      </c>
      <c r="B2272" t="s">
        <v>31</v>
      </c>
      <c r="C2272" t="s">
        <v>32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 t="shared" si="237"/>
        <v>BOM</v>
      </c>
      <c r="M2272">
        <v>21</v>
      </c>
      <c r="N2272">
        <v>98.68</v>
      </c>
      <c r="O2272">
        <v>26.219512195121951</v>
      </c>
    </row>
    <row r="2273" spans="1:15" customFormat="1" hidden="1" x14ac:dyDescent="0.25">
      <c r="A2273" s="11">
        <v>46072</v>
      </c>
      <c r="B2273" t="s">
        <v>59</v>
      </c>
      <c r="C2273" t="s">
        <v>23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15</v>
      </c>
      <c r="K2273" s="3">
        <f>I2273-J2273</f>
        <v>-1</v>
      </c>
      <c r="L2273" s="3" t="str">
        <f t="shared" si="237"/>
        <v>ATENÇÃO</v>
      </c>
      <c r="M2273">
        <v>14</v>
      </c>
      <c r="N2273">
        <v>100</v>
      </c>
      <c r="O2273">
        <v>31.74224343675418</v>
      </c>
    </row>
    <row r="2274" spans="1:15" customFormat="1" hidden="1" x14ac:dyDescent="0.25">
      <c r="A2274" s="11">
        <v>46072</v>
      </c>
      <c r="B2274" t="s">
        <v>33</v>
      </c>
      <c r="C2274" t="s">
        <v>32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23</v>
      </c>
      <c r="K2274" s="3">
        <f>I2274-J2274</f>
        <v>5</v>
      </c>
      <c r="L2274" s="3" t="str">
        <f t="shared" si="237"/>
        <v>BOM</v>
      </c>
      <c r="M2274">
        <v>31</v>
      </c>
      <c r="N2274">
        <v>98.25</v>
      </c>
      <c r="O2274">
        <v>25.83518930957684</v>
      </c>
    </row>
    <row r="2275" spans="1:15" customFormat="1" hidden="1" x14ac:dyDescent="0.25">
      <c r="A2275" s="11">
        <v>46072</v>
      </c>
      <c r="B2275" t="s">
        <v>15</v>
      </c>
      <c r="C2275" t="s">
        <v>16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 t="shared" si="237"/>
        <v>ATENÇÃO</v>
      </c>
      <c r="M2275">
        <v>5</v>
      </c>
      <c r="N2275">
        <v>97.5</v>
      </c>
      <c r="O2275">
        <v>30.075187969924809</v>
      </c>
    </row>
    <row r="2276" spans="1:15" customFormat="1" hidden="1" x14ac:dyDescent="0.25">
      <c r="A2276" s="11">
        <v>46072</v>
      </c>
      <c r="B2276" t="s">
        <v>49</v>
      </c>
      <c r="C2276" t="s">
        <v>48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5</v>
      </c>
      <c r="L2276" s="3" t="str">
        <f t="shared" si="237"/>
        <v>BOM</v>
      </c>
      <c r="M2276">
        <v>25</v>
      </c>
      <c r="N2276">
        <v>100</v>
      </c>
      <c r="O2276">
        <v>29.71311475409836</v>
      </c>
    </row>
    <row r="2277" spans="1:15" customFormat="1" hidden="1" x14ac:dyDescent="0.25">
      <c r="A2277" s="11">
        <v>46072</v>
      </c>
      <c r="B2277" t="s">
        <v>50</v>
      </c>
      <c r="C2277" t="s">
        <v>48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18</v>
      </c>
      <c r="K2277" s="3">
        <f>I2277-J2277</f>
        <v>-7</v>
      </c>
      <c r="L2277" s="3" t="str">
        <f t="shared" si="237"/>
        <v>CRÍTICO</v>
      </c>
      <c r="M2277">
        <v>11</v>
      </c>
      <c r="N2277">
        <v>99.22</v>
      </c>
      <c r="O2277">
        <v>35.256410256410263</v>
      </c>
    </row>
    <row r="2278" spans="1:15" customFormat="1" hidden="1" x14ac:dyDescent="0.25">
      <c r="A2278" s="11">
        <v>46072</v>
      </c>
      <c r="B2278" t="s">
        <v>17</v>
      </c>
      <c r="C2278" t="s">
        <v>16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 t="shared" si="237"/>
        <v>BOM</v>
      </c>
      <c r="M2278">
        <v>0</v>
      </c>
      <c r="N2278">
        <v>0</v>
      </c>
      <c r="O2278">
        <v>0</v>
      </c>
    </row>
    <row r="2279" spans="1:15" customFormat="1" hidden="1" x14ac:dyDescent="0.25">
      <c r="A2279" s="11">
        <v>46072</v>
      </c>
      <c r="B2279" t="s">
        <v>60</v>
      </c>
      <c r="C2279" t="s">
        <v>23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3</v>
      </c>
      <c r="L2279" s="3" t="str">
        <f t="shared" si="237"/>
        <v>BOM</v>
      </c>
      <c r="M2279">
        <v>16</v>
      </c>
      <c r="N2279">
        <v>98.75</v>
      </c>
      <c r="O2279">
        <v>24.32432432432433</v>
      </c>
    </row>
    <row r="2280" spans="1:15" customFormat="1" hidden="1" x14ac:dyDescent="0.25">
      <c r="A2280" s="11">
        <v>46072</v>
      </c>
      <c r="B2280" t="s">
        <v>34</v>
      </c>
      <c r="C2280" t="s">
        <v>32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23</v>
      </c>
      <c r="K2280" s="3">
        <f>I2280-J2280</f>
        <v>17</v>
      </c>
      <c r="L2280" s="3" t="str">
        <f t="shared" si="237"/>
        <v>EXCELENTE</v>
      </c>
      <c r="M2280">
        <v>31</v>
      </c>
      <c r="N2280">
        <v>93.48</v>
      </c>
      <c r="O2280">
        <v>31.52804642166344</v>
      </c>
    </row>
    <row r="2281" spans="1:15" customFormat="1" hidden="1" x14ac:dyDescent="0.25">
      <c r="A2281" s="11">
        <v>46072</v>
      </c>
      <c r="B2281" t="s">
        <v>51</v>
      </c>
      <c r="C2281" t="s">
        <v>48</v>
      </c>
      <c r="D2281">
        <v>35</v>
      </c>
      <c r="E2281">
        <v>30</v>
      </c>
      <c r="F2281">
        <v>22.16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 t="shared" si="237"/>
        <v>BOM</v>
      </c>
      <c r="M2281">
        <v>27</v>
      </c>
      <c r="N2281">
        <v>99.16</v>
      </c>
      <c r="O2281">
        <v>26.13908872901678</v>
      </c>
    </row>
    <row r="2282" spans="1:15" customFormat="1" hidden="1" x14ac:dyDescent="0.25">
      <c r="A2282" s="11">
        <v>46072</v>
      </c>
      <c r="B2282" t="s">
        <v>61</v>
      </c>
      <c r="C2282" t="s">
        <v>23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15</v>
      </c>
      <c r="K2282" s="3">
        <f>I2282-J2282</f>
        <v>-2</v>
      </c>
      <c r="L2282" s="3" t="str">
        <f t="shared" si="237"/>
        <v>ATENÇÃO</v>
      </c>
      <c r="M2282">
        <v>13</v>
      </c>
      <c r="N2282">
        <v>100</v>
      </c>
      <c r="O2282">
        <v>31.089743589743591</v>
      </c>
    </row>
    <row r="2283" spans="1:15" customFormat="1" hidden="1" x14ac:dyDescent="0.25">
      <c r="A2283" s="11">
        <v>46072</v>
      </c>
      <c r="B2283" t="s">
        <v>35</v>
      </c>
      <c r="C2283" t="s">
        <v>32</v>
      </c>
      <c r="D2283">
        <v>23</v>
      </c>
      <c r="E2283">
        <v>23</v>
      </c>
      <c r="F2283">
        <v>35.42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 t="shared" si="237"/>
        <v>BOM</v>
      </c>
      <c r="M2283">
        <v>24</v>
      </c>
      <c r="N2283">
        <v>98.11</v>
      </c>
      <c r="O2283">
        <v>33.033707865168537</v>
      </c>
    </row>
    <row r="2284" spans="1:15" customFormat="1" hidden="1" x14ac:dyDescent="0.25">
      <c r="A2284" s="11">
        <v>46072</v>
      </c>
      <c r="B2284" t="s">
        <v>18</v>
      </c>
      <c r="C2284" t="s">
        <v>16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ref="I2284:I2292" si="238">E2284+G2284+H2284</f>
        <v>9</v>
      </c>
      <c r="J2284" s="3">
        <f t="shared" ref="J2284:J2292" si="239"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 t="shared" ref="K2284:K2292" si="240">I2284-J2284</f>
        <v>3</v>
      </c>
      <c r="L2284" s="3" t="str">
        <f t="shared" si="237"/>
        <v>BOM</v>
      </c>
      <c r="M2284">
        <v>4</v>
      </c>
      <c r="N2284">
        <v>78.95</v>
      </c>
      <c r="O2284">
        <v>38.983050847457633</v>
      </c>
    </row>
    <row r="2285" spans="1:15" customFormat="1" hidden="1" x14ac:dyDescent="0.25">
      <c r="A2285" s="11">
        <v>46072</v>
      </c>
      <c r="B2285" t="s">
        <v>52</v>
      </c>
      <c r="C2285" t="s">
        <v>48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238"/>
        <v>15</v>
      </c>
      <c r="J2285" s="3">
        <f t="shared" si="239"/>
        <v>18</v>
      </c>
      <c r="K2285" s="3">
        <f t="shared" si="240"/>
        <v>-3</v>
      </c>
      <c r="L2285" s="3" t="str">
        <f t="shared" si="237"/>
        <v>ATENÇÃO</v>
      </c>
      <c r="M2285">
        <v>13</v>
      </c>
      <c r="N2285">
        <v>98.45</v>
      </c>
      <c r="O2285">
        <v>29.281767955801101</v>
      </c>
    </row>
    <row r="2286" spans="1:15" customFormat="1" hidden="1" x14ac:dyDescent="0.25">
      <c r="A2286" s="11">
        <v>46072</v>
      </c>
      <c r="B2286" t="s">
        <v>36</v>
      </c>
      <c r="C2286" t="s">
        <v>32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238"/>
        <v>21</v>
      </c>
      <c r="J2286" s="3">
        <f t="shared" si="239"/>
        <v>23</v>
      </c>
      <c r="K2286" s="3">
        <f t="shared" si="240"/>
        <v>-2</v>
      </c>
      <c r="L2286" s="3" t="str">
        <f t="shared" si="237"/>
        <v>ATENÇÃO</v>
      </c>
      <c r="M2286">
        <v>20</v>
      </c>
      <c r="N2286">
        <v>97.84</v>
      </c>
      <c r="O2286">
        <v>26.282051282051281</v>
      </c>
    </row>
    <row r="2287" spans="1:15" customFormat="1" hidden="1" x14ac:dyDescent="0.25">
      <c r="A2287" s="11">
        <v>46072</v>
      </c>
      <c r="B2287" t="s">
        <v>53</v>
      </c>
      <c r="C2287" t="s">
        <v>48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238"/>
        <v>29</v>
      </c>
      <c r="J2287" s="3">
        <f t="shared" si="239"/>
        <v>18</v>
      </c>
      <c r="K2287" s="3">
        <f t="shared" si="240"/>
        <v>11</v>
      </c>
      <c r="L2287" s="3" t="str">
        <f t="shared" si="237"/>
        <v>EXCELENTE</v>
      </c>
      <c r="M2287">
        <v>26</v>
      </c>
      <c r="N2287">
        <v>98.5</v>
      </c>
      <c r="O2287">
        <v>23.97769516728625</v>
      </c>
    </row>
    <row r="2288" spans="1:15" customFormat="1" hidden="1" x14ac:dyDescent="0.25">
      <c r="A2288" s="11">
        <v>46106</v>
      </c>
      <c r="B2288" t="s">
        <v>22</v>
      </c>
      <c r="C2288" t="s">
        <v>23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238"/>
        <v>21</v>
      </c>
      <c r="J2288" s="3">
        <f t="shared" si="239"/>
        <v>16</v>
      </c>
      <c r="K2288" s="3">
        <f t="shared" si="240"/>
        <v>5</v>
      </c>
      <c r="L2288" s="3" t="str">
        <f t="shared" si="237"/>
        <v>BOM</v>
      </c>
      <c r="M2288">
        <v>18</v>
      </c>
      <c r="N2288">
        <v>99.05</v>
      </c>
      <c r="O2288">
        <v>26.621923937360179</v>
      </c>
    </row>
    <row r="2289" spans="1:15" customFormat="1" hidden="1" x14ac:dyDescent="0.25">
      <c r="A2289" s="11">
        <v>46072</v>
      </c>
      <c r="B2289" t="s">
        <v>54</v>
      </c>
      <c r="C2289" t="s">
        <v>48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238"/>
        <v>22</v>
      </c>
      <c r="J2289" s="3">
        <f t="shared" si="239"/>
        <v>18</v>
      </c>
      <c r="K2289" s="3">
        <f t="shared" si="240"/>
        <v>4</v>
      </c>
      <c r="L2289" s="3" t="str">
        <f t="shared" si="237"/>
        <v>BOM</v>
      </c>
      <c r="M2289">
        <v>22</v>
      </c>
      <c r="N2289">
        <v>98.53</v>
      </c>
      <c r="O2289">
        <v>31.578947368421051</v>
      </c>
    </row>
    <row r="2290" spans="1:15" customFormat="1" hidden="1" x14ac:dyDescent="0.25">
      <c r="A2290" s="11">
        <v>46072</v>
      </c>
      <c r="B2290" t="s">
        <v>37</v>
      </c>
      <c r="C2290" t="s">
        <v>32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238"/>
        <v>31</v>
      </c>
      <c r="J2290" s="3">
        <f t="shared" si="239"/>
        <v>23</v>
      </c>
      <c r="K2290" s="3">
        <f t="shared" si="240"/>
        <v>8</v>
      </c>
      <c r="L2290" s="3" t="str">
        <f t="shared" si="237"/>
        <v>EXCELENTE</v>
      </c>
      <c r="M2290">
        <v>29</v>
      </c>
      <c r="N2290">
        <v>100</v>
      </c>
      <c r="O2290">
        <v>25.72214580467676</v>
      </c>
    </row>
    <row r="2291" spans="1:15" customFormat="1" hidden="1" x14ac:dyDescent="0.25">
      <c r="A2291" s="11">
        <v>46072</v>
      </c>
      <c r="B2291" t="s">
        <v>38</v>
      </c>
      <c r="C2291" t="s">
        <v>32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238"/>
        <v>2</v>
      </c>
      <c r="J2291" s="3">
        <f t="shared" si="239"/>
        <v>23</v>
      </c>
      <c r="K2291" s="3">
        <f t="shared" si="240"/>
        <v>-21</v>
      </c>
      <c r="L2291" s="3" t="str">
        <f t="shared" si="237"/>
        <v>CRÍTICO</v>
      </c>
      <c r="M2291">
        <v>2</v>
      </c>
      <c r="N2291">
        <v>94.64</v>
      </c>
      <c r="O2291">
        <v>27.52941176470588</v>
      </c>
    </row>
    <row r="2292" spans="1:15" customFormat="1" hidden="1" x14ac:dyDescent="0.25">
      <c r="A2292" s="11">
        <v>46072</v>
      </c>
      <c r="B2292" t="s">
        <v>55</v>
      </c>
      <c r="C2292" t="s">
        <v>48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238"/>
        <v>14</v>
      </c>
      <c r="J2292" s="3">
        <f t="shared" si="239"/>
        <v>18</v>
      </c>
      <c r="K2292" s="3">
        <f t="shared" si="240"/>
        <v>-4</v>
      </c>
      <c r="L2292" s="3" t="str">
        <f t="shared" si="237"/>
        <v>ATENÇÃO</v>
      </c>
      <c r="M2292">
        <v>14</v>
      </c>
      <c r="N2292">
        <v>99.07</v>
      </c>
      <c r="O2292">
        <v>26.376811594202898</v>
      </c>
    </row>
    <row r="2293" spans="1:15" customFormat="1" hidden="1" x14ac:dyDescent="0.25">
      <c r="A2293" s="11">
        <v>46072</v>
      </c>
      <c r="B2293" t="s">
        <v>39</v>
      </c>
      <c r="C2293" t="s">
        <v>32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 t="shared" si="237"/>
        <v>BOM</v>
      </c>
      <c r="M2293">
        <v>0</v>
      </c>
      <c r="N2293">
        <v>100</v>
      </c>
      <c r="O2293">
        <v>0</v>
      </c>
    </row>
    <row r="2294" spans="1:15" customFormat="1" hidden="1" x14ac:dyDescent="0.25">
      <c r="A2294" s="11">
        <v>46072</v>
      </c>
      <c r="B2294" t="s">
        <v>25</v>
      </c>
      <c r="C2294" t="s">
        <v>26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13</v>
      </c>
      <c r="K2294" s="3">
        <f>I2294-J2294</f>
        <v>2</v>
      </c>
      <c r="L2294" s="3" t="str">
        <f t="shared" si="237"/>
        <v>BOM</v>
      </c>
      <c r="M2294">
        <v>13</v>
      </c>
      <c r="N2294">
        <v>98.48</v>
      </c>
      <c r="O2294">
        <v>27.853881278538811</v>
      </c>
    </row>
    <row r="2295" spans="1:15" customFormat="1" hidden="1" x14ac:dyDescent="0.25">
      <c r="A2295" s="11">
        <v>46072</v>
      </c>
      <c r="B2295" t="s">
        <v>40</v>
      </c>
      <c r="C2295" t="s">
        <v>32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23</v>
      </c>
      <c r="K2295" s="3">
        <f>I2295-J2295</f>
        <v>-6</v>
      </c>
      <c r="L2295" s="3" t="str">
        <f t="shared" si="237"/>
        <v>CRÍTICO</v>
      </c>
      <c r="M2295">
        <v>17</v>
      </c>
      <c r="N2295">
        <v>95.15</v>
      </c>
      <c r="O2295">
        <v>34.131736526946113</v>
      </c>
    </row>
    <row r="2296" spans="1:15" customFormat="1" hidden="1" x14ac:dyDescent="0.25">
      <c r="A2296" s="11">
        <v>46072</v>
      </c>
      <c r="B2296" t="s">
        <v>27</v>
      </c>
      <c r="C2296" t="s">
        <v>26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 t="shared" si="237"/>
        <v>BOM</v>
      </c>
      <c r="M2296">
        <v>0</v>
      </c>
      <c r="N2296">
        <v>0</v>
      </c>
      <c r="O2296">
        <v>0</v>
      </c>
    </row>
    <row r="2297" spans="1:15" customFormat="1" hidden="1" x14ac:dyDescent="0.25">
      <c r="A2297" s="11">
        <v>46072</v>
      </c>
      <c r="B2297" t="s">
        <v>41</v>
      </c>
      <c r="C2297" t="s">
        <v>32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23</v>
      </c>
      <c r="K2297" s="3">
        <f>I2297-J2297</f>
        <v>4</v>
      </c>
      <c r="L2297" s="3" t="str">
        <f t="shared" si="237"/>
        <v>BOM</v>
      </c>
      <c r="M2297">
        <v>21</v>
      </c>
      <c r="N2297">
        <v>99.26</v>
      </c>
      <c r="O2297">
        <v>30.84832904884319</v>
      </c>
    </row>
    <row r="2298" spans="1:15" customFormat="1" hidden="1" x14ac:dyDescent="0.25">
      <c r="A2298" s="11">
        <v>46072</v>
      </c>
      <c r="B2298" t="s">
        <v>56</v>
      </c>
      <c r="C2298" t="s">
        <v>48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18</v>
      </c>
      <c r="K2298" s="3">
        <f>I2298-J2298</f>
        <v>7</v>
      </c>
      <c r="L2298" s="3" t="str">
        <f t="shared" si="237"/>
        <v>EXCELENTE</v>
      </c>
      <c r="M2298">
        <v>20</v>
      </c>
      <c r="N2298">
        <v>97.48</v>
      </c>
      <c r="O2298">
        <v>27.764705882352938</v>
      </c>
    </row>
    <row r="2299" spans="1:15" customFormat="1" hidden="1" x14ac:dyDescent="0.25">
      <c r="A2299" s="11">
        <v>46072</v>
      </c>
      <c r="B2299" t="s">
        <v>57</v>
      </c>
      <c r="C2299" t="s">
        <v>48</v>
      </c>
      <c r="D2299">
        <v>23</v>
      </c>
      <c r="E2299">
        <v>23</v>
      </c>
      <c r="F2299">
        <v>20.56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37"/>
        <v>BOM</v>
      </c>
      <c r="M2299">
        <v>19</v>
      </c>
      <c r="N2299">
        <v>99.34</v>
      </c>
      <c r="O2299">
        <v>30.04291845493562</v>
      </c>
    </row>
    <row r="2300" spans="1:15" customFormat="1" hidden="1" x14ac:dyDescent="0.25">
      <c r="A2300" s="11">
        <v>46072</v>
      </c>
      <c r="B2300" t="s">
        <v>42</v>
      </c>
      <c r="C2300" t="s">
        <v>32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 t="shared" si="237"/>
        <v>BOM</v>
      </c>
      <c r="M2300">
        <v>0</v>
      </c>
      <c r="N2300">
        <v>96.3</v>
      </c>
      <c r="O2300">
        <v>24.29378531073446</v>
      </c>
    </row>
    <row r="2301" spans="1:15" customFormat="1" hidden="1" x14ac:dyDescent="0.25">
      <c r="A2301" s="11">
        <v>46072</v>
      </c>
      <c r="B2301" t="s">
        <v>62</v>
      </c>
      <c r="C2301" t="s">
        <v>23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15</v>
      </c>
      <c r="K2301" s="3">
        <f>I2301-J2301</f>
        <v>0</v>
      </c>
      <c r="L2301" s="3" t="str">
        <f t="shared" si="237"/>
        <v>BOM</v>
      </c>
      <c r="M2301">
        <v>15</v>
      </c>
      <c r="N2301">
        <v>100</v>
      </c>
      <c r="O2301">
        <v>26.543209876543209</v>
      </c>
    </row>
    <row r="2302" spans="1:15" customFormat="1" hidden="1" x14ac:dyDescent="0.25">
      <c r="A2302" s="11">
        <v>46072</v>
      </c>
      <c r="B2302" t="s">
        <v>19</v>
      </c>
      <c r="C2302" t="s">
        <v>16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 t="shared" si="237"/>
        <v>BOM</v>
      </c>
      <c r="M2302">
        <v>6</v>
      </c>
      <c r="N2302">
        <v>100</v>
      </c>
      <c r="O2302">
        <v>35.483870967741943</v>
      </c>
    </row>
    <row r="2303" spans="1:15" customFormat="1" hidden="1" x14ac:dyDescent="0.25">
      <c r="A2303" s="11">
        <v>46072</v>
      </c>
      <c r="B2303" t="s">
        <v>43</v>
      </c>
      <c r="C2303" t="s">
        <v>32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12</v>
      </c>
      <c r="L2303" s="3" t="str">
        <f t="shared" si="237"/>
        <v>EXCELENTE</v>
      </c>
      <c r="M2303">
        <v>33</v>
      </c>
      <c r="N2303">
        <v>99.27</v>
      </c>
      <c r="O2303">
        <v>31.163708086785011</v>
      </c>
    </row>
    <row r="2304" spans="1:15" customFormat="1" hidden="1" x14ac:dyDescent="0.25">
      <c r="A2304" s="11">
        <v>46072</v>
      </c>
      <c r="B2304" t="s">
        <v>44</v>
      </c>
      <c r="C2304" t="s">
        <v>32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23</v>
      </c>
      <c r="K2304" s="3">
        <f>I2304-J2304</f>
        <v>5</v>
      </c>
      <c r="L2304" s="3" t="str">
        <f t="shared" si="237"/>
        <v>BOM</v>
      </c>
      <c r="M2304">
        <v>25</v>
      </c>
      <c r="N2304">
        <v>94.16</v>
      </c>
      <c r="O2304">
        <v>27.038626609442058</v>
      </c>
    </row>
    <row r="2305" spans="1:15" customFormat="1" hidden="1" x14ac:dyDescent="0.25">
      <c r="A2305" s="11">
        <v>46072</v>
      </c>
      <c r="B2305" t="s">
        <v>20</v>
      </c>
      <c r="C2305" t="s">
        <v>16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 t="shared" si="237"/>
        <v>BOM</v>
      </c>
      <c r="M2305">
        <v>1</v>
      </c>
      <c r="N2305">
        <v>93.75</v>
      </c>
      <c r="O2305">
        <v>19.31818181818182</v>
      </c>
    </row>
    <row r="2306" spans="1:15" customFormat="1" hidden="1" x14ac:dyDescent="0.25">
      <c r="A2306" s="11">
        <v>46072</v>
      </c>
      <c r="B2306" t="s">
        <v>28</v>
      </c>
      <c r="C2306" t="s">
        <v>26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37"/>
        <v>BOM</v>
      </c>
      <c r="M2306">
        <v>0</v>
      </c>
      <c r="N2306">
        <v>0</v>
      </c>
      <c r="O2306">
        <v>0</v>
      </c>
    </row>
    <row r="2307" spans="1:15" customFormat="1" hidden="1" x14ac:dyDescent="0.25">
      <c r="A2307" s="11">
        <v>46072</v>
      </c>
      <c r="B2307" t="s">
        <v>58</v>
      </c>
      <c r="C2307" t="s">
        <v>48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37"/>
        <v>BOM</v>
      </c>
      <c r="M2307">
        <v>0</v>
      </c>
      <c r="N2307">
        <v>97.92</v>
      </c>
      <c r="O2307">
        <v>32.87671232876712</v>
      </c>
    </row>
    <row r="2308" spans="1:15" customFormat="1" hidden="1" x14ac:dyDescent="0.25">
      <c r="A2308" s="11">
        <v>46072</v>
      </c>
      <c r="B2308" t="s">
        <v>29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37"/>
        <v>BOM</v>
      </c>
      <c r="M2308">
        <v>0</v>
      </c>
      <c r="N2308">
        <v>0</v>
      </c>
      <c r="O2308">
        <v>0</v>
      </c>
    </row>
    <row r="2309" spans="1:15" customFormat="1" hidden="1" x14ac:dyDescent="0.25">
      <c r="A2309" s="11">
        <v>46072</v>
      </c>
      <c r="B2309" t="s">
        <v>30</v>
      </c>
      <c r="C2309" t="s">
        <v>26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37"/>
        <v>BOM</v>
      </c>
      <c r="M2309">
        <v>0</v>
      </c>
      <c r="N2309">
        <v>0</v>
      </c>
      <c r="O2309">
        <v>0</v>
      </c>
    </row>
    <row r="2310" spans="1:15" customFormat="1" hidden="1" x14ac:dyDescent="0.25">
      <c r="A2310" s="11">
        <v>46072</v>
      </c>
      <c r="B2310" t="s">
        <v>21</v>
      </c>
      <c r="C2310" t="s">
        <v>16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 t="shared" si="237"/>
        <v>BOM</v>
      </c>
      <c r="M2310">
        <v>0</v>
      </c>
      <c r="N2310">
        <v>0</v>
      </c>
      <c r="O2310">
        <v>0</v>
      </c>
    </row>
    <row r="2311" spans="1:15" customFormat="1" hidden="1" x14ac:dyDescent="0.25">
      <c r="A2311" s="11">
        <v>46072</v>
      </c>
      <c r="B2311" t="s">
        <v>63</v>
      </c>
      <c r="C2311" t="s">
        <v>23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15</v>
      </c>
      <c r="K2311" s="3">
        <f>I2311-J2311</f>
        <v>6</v>
      </c>
      <c r="L2311" s="3" t="str">
        <f t="shared" ref="L2311:L2374" si="241">IF(K2311&lt;-5,"CRÍTICO",IF(K2311&lt;0,"ATENÇÃO",IF(K2311&lt;=5,"BOM","EXCELENTE")))</f>
        <v>EXCELENTE</v>
      </c>
      <c r="M2311">
        <v>18</v>
      </c>
      <c r="N2311">
        <v>98.51</v>
      </c>
      <c r="O2311">
        <v>29.710144927536231</v>
      </c>
    </row>
    <row r="2312" spans="1:15" customFormat="1" hidden="1" x14ac:dyDescent="0.25">
      <c r="A2312" s="11">
        <v>46072</v>
      </c>
      <c r="B2312" t="s">
        <v>45</v>
      </c>
      <c r="C2312" t="s">
        <v>32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23</v>
      </c>
      <c r="K2312" s="3">
        <f>I2312-J2312</f>
        <v>3</v>
      </c>
      <c r="L2312" s="3" t="str">
        <f t="shared" si="241"/>
        <v>BOM</v>
      </c>
      <c r="M2312">
        <v>27</v>
      </c>
      <c r="N2312">
        <v>98.81</v>
      </c>
      <c r="O2312">
        <v>30.712979890310791</v>
      </c>
    </row>
    <row r="2313" spans="1:15" customFormat="1" hidden="1" x14ac:dyDescent="0.25">
      <c r="A2313" s="11">
        <v>46072</v>
      </c>
      <c r="B2313" t="s">
        <v>64</v>
      </c>
      <c r="C2313" t="s">
        <v>23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15</v>
      </c>
      <c r="K2313" s="3">
        <f>I2313-J2313</f>
        <v>-3</v>
      </c>
      <c r="L2313" s="3" t="str">
        <f t="shared" si="241"/>
        <v>ATENÇÃO</v>
      </c>
      <c r="M2313">
        <v>11</v>
      </c>
      <c r="N2313">
        <v>98.48</v>
      </c>
      <c r="O2313">
        <v>29.35323383084577</v>
      </c>
    </row>
    <row r="2314" spans="1:15" customFormat="1" hidden="1" x14ac:dyDescent="0.25">
      <c r="A2314" s="11">
        <v>46072</v>
      </c>
      <c r="B2314" t="s">
        <v>46</v>
      </c>
      <c r="C2314" t="s">
        <v>32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23</v>
      </c>
      <c r="K2314" s="3">
        <f>I2314-J2314</f>
        <v>10</v>
      </c>
      <c r="L2314" s="3" t="str">
        <f t="shared" si="241"/>
        <v>EXCELENTE</v>
      </c>
      <c r="M2314">
        <v>27</v>
      </c>
      <c r="N2314">
        <v>98.56</v>
      </c>
      <c r="O2314">
        <v>29.373650107991359</v>
      </c>
    </row>
    <row r="2315" spans="1:15" customFormat="1" hidden="1" x14ac:dyDescent="0.25">
      <c r="A2315" s="11">
        <v>46073</v>
      </c>
      <c r="B2315" t="s">
        <v>47</v>
      </c>
      <c r="C2315" t="s">
        <v>48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19</v>
      </c>
      <c r="K2315" s="3">
        <f>I2315-J2315</f>
        <v>-1</v>
      </c>
      <c r="L2315" s="3" t="str">
        <f t="shared" si="241"/>
        <v>ATENÇÃO</v>
      </c>
      <c r="M2315">
        <v>18</v>
      </c>
      <c r="N2315">
        <v>98.32</v>
      </c>
      <c r="O2315">
        <v>30.303030303030301</v>
      </c>
    </row>
    <row r="2316" spans="1:15" customFormat="1" hidden="1" x14ac:dyDescent="0.25">
      <c r="A2316" s="11">
        <v>46073</v>
      </c>
      <c r="B2316" t="s">
        <v>31</v>
      </c>
      <c r="C2316" t="s">
        <v>32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 t="shared" si="241"/>
        <v>BOM</v>
      </c>
      <c r="M2316">
        <v>25</v>
      </c>
      <c r="N2316">
        <v>98.68</v>
      </c>
      <c r="O2316">
        <v>26.219512195121951</v>
      </c>
    </row>
    <row r="2317" spans="1:15" customFormat="1" hidden="1" x14ac:dyDescent="0.25">
      <c r="A2317" s="11">
        <v>46073</v>
      </c>
      <c r="B2317" t="s">
        <v>59</v>
      </c>
      <c r="C2317" t="s">
        <v>23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15</v>
      </c>
      <c r="K2317" s="3">
        <f>I2317-J2317</f>
        <v>4</v>
      </c>
      <c r="L2317" s="3" t="str">
        <f t="shared" si="241"/>
        <v>BOM</v>
      </c>
      <c r="M2317">
        <v>18</v>
      </c>
      <c r="N2317">
        <v>100</v>
      </c>
      <c r="O2317">
        <v>31.74224343675418</v>
      </c>
    </row>
    <row r="2318" spans="1:15" customFormat="1" hidden="1" x14ac:dyDescent="0.25">
      <c r="A2318" s="11">
        <v>46073</v>
      </c>
      <c r="B2318" t="s">
        <v>33</v>
      </c>
      <c r="C2318" t="s">
        <v>32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23</v>
      </c>
      <c r="K2318" s="3">
        <f>I2318-J2318</f>
        <v>8</v>
      </c>
      <c r="L2318" s="3" t="str">
        <f t="shared" si="241"/>
        <v>EXCELENTE</v>
      </c>
      <c r="M2318">
        <v>28</v>
      </c>
      <c r="N2318">
        <v>98.25</v>
      </c>
      <c r="O2318">
        <v>25.83518930957684</v>
      </c>
    </row>
    <row r="2319" spans="1:15" customFormat="1" hidden="1" x14ac:dyDescent="0.25">
      <c r="A2319" s="11">
        <v>46073</v>
      </c>
      <c r="B2319" t="s">
        <v>15</v>
      </c>
      <c r="C2319" t="s">
        <v>16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7</v>
      </c>
      <c r="K2319" s="3">
        <f>I2319-J2319</f>
        <v>4</v>
      </c>
      <c r="L2319" s="3" t="str">
        <f t="shared" si="241"/>
        <v>BOM</v>
      </c>
      <c r="M2319">
        <v>9</v>
      </c>
      <c r="N2319">
        <v>97.5</v>
      </c>
      <c r="O2319">
        <v>30.075187969924809</v>
      </c>
    </row>
    <row r="2320" spans="1:15" customFormat="1" hidden="1" x14ac:dyDescent="0.25">
      <c r="A2320" s="11">
        <v>46073</v>
      </c>
      <c r="B2320" t="s">
        <v>49</v>
      </c>
      <c r="C2320" t="s">
        <v>48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10</v>
      </c>
      <c r="L2320" s="3" t="str">
        <f t="shared" si="241"/>
        <v>EXCELENTE</v>
      </c>
      <c r="M2320">
        <v>29</v>
      </c>
      <c r="N2320">
        <v>100</v>
      </c>
      <c r="O2320">
        <v>29.71311475409836</v>
      </c>
    </row>
    <row r="2321" spans="1:15" customFormat="1" hidden="1" x14ac:dyDescent="0.25">
      <c r="A2321" s="11">
        <v>46073</v>
      </c>
      <c r="B2321" t="s">
        <v>50</v>
      </c>
      <c r="C2321" t="s">
        <v>48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19</v>
      </c>
      <c r="K2321" s="3">
        <f>I2321-J2321</f>
        <v>-3</v>
      </c>
      <c r="L2321" s="3" t="str">
        <f t="shared" si="241"/>
        <v>ATENÇÃO</v>
      </c>
      <c r="M2321">
        <v>19</v>
      </c>
      <c r="N2321">
        <v>99.22</v>
      </c>
      <c r="O2321">
        <v>35.256410256410263</v>
      </c>
    </row>
    <row r="2322" spans="1:15" customFormat="1" hidden="1" x14ac:dyDescent="0.25">
      <c r="A2322" s="11">
        <v>46073</v>
      </c>
      <c r="B2322" t="s">
        <v>17</v>
      </c>
      <c r="C2322" t="s">
        <v>16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 t="shared" si="241"/>
        <v>BOM</v>
      </c>
      <c r="M2322">
        <v>0</v>
      </c>
      <c r="N2322">
        <v>0</v>
      </c>
      <c r="O2322">
        <v>0</v>
      </c>
    </row>
    <row r="2323" spans="1:15" customFormat="1" hidden="1" x14ac:dyDescent="0.25">
      <c r="A2323" s="11">
        <v>46073</v>
      </c>
      <c r="B2323" t="s">
        <v>60</v>
      </c>
      <c r="C2323" t="s">
        <v>23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3</v>
      </c>
      <c r="L2323" s="3" t="str">
        <f t="shared" si="241"/>
        <v>BOM</v>
      </c>
      <c r="M2323">
        <v>18</v>
      </c>
      <c r="N2323">
        <v>98.75</v>
      </c>
      <c r="O2323">
        <v>24.32432432432433</v>
      </c>
    </row>
    <row r="2324" spans="1:15" customFormat="1" hidden="1" x14ac:dyDescent="0.25">
      <c r="A2324" s="11">
        <v>46073</v>
      </c>
      <c r="B2324" t="s">
        <v>34</v>
      </c>
      <c r="C2324" t="s">
        <v>32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23</v>
      </c>
      <c r="K2324" s="3">
        <f>I2324-J2324</f>
        <v>11</v>
      </c>
      <c r="L2324" s="3" t="str">
        <f t="shared" si="241"/>
        <v>EXCELENTE</v>
      </c>
      <c r="M2324">
        <v>30</v>
      </c>
      <c r="N2324">
        <v>93.48</v>
      </c>
      <c r="O2324">
        <v>31.52804642166344</v>
      </c>
    </row>
    <row r="2325" spans="1:15" customFormat="1" hidden="1" x14ac:dyDescent="0.25">
      <c r="A2325" s="11">
        <v>46073</v>
      </c>
      <c r="B2325" t="s">
        <v>51</v>
      </c>
      <c r="C2325" t="s">
        <v>48</v>
      </c>
      <c r="D2325">
        <v>30</v>
      </c>
      <c r="E2325">
        <v>26</v>
      </c>
      <c r="F2325">
        <v>21.54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 t="shared" si="241"/>
        <v>BOM</v>
      </c>
      <c r="M2325">
        <v>24</v>
      </c>
      <c r="N2325">
        <v>99.16</v>
      </c>
      <c r="O2325">
        <v>26.13908872901678</v>
      </c>
    </row>
    <row r="2326" spans="1:15" customFormat="1" hidden="1" x14ac:dyDescent="0.25">
      <c r="A2326" s="11">
        <v>46073</v>
      </c>
      <c r="B2326" t="s">
        <v>61</v>
      </c>
      <c r="C2326" t="s">
        <v>23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15</v>
      </c>
      <c r="K2326" s="3">
        <f>I2326-J2326</f>
        <v>6</v>
      </c>
      <c r="L2326" s="3" t="str">
        <f t="shared" si="241"/>
        <v>EXCELENTE</v>
      </c>
      <c r="M2326">
        <v>12</v>
      </c>
      <c r="N2326">
        <v>100</v>
      </c>
      <c r="O2326">
        <v>31.089743589743591</v>
      </c>
    </row>
    <row r="2327" spans="1:15" customFormat="1" hidden="1" x14ac:dyDescent="0.25">
      <c r="A2327" s="11">
        <v>46073</v>
      </c>
      <c r="B2327" t="s">
        <v>35</v>
      </c>
      <c r="C2327" t="s">
        <v>32</v>
      </c>
      <c r="D2327">
        <v>16</v>
      </c>
      <c r="E2327">
        <v>16</v>
      </c>
      <c r="F2327">
        <v>45.29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 t="shared" si="241"/>
        <v>BOM</v>
      </c>
      <c r="M2327">
        <v>16</v>
      </c>
      <c r="N2327">
        <v>98.11</v>
      </c>
      <c r="O2327">
        <v>33.033707865168537</v>
      </c>
    </row>
    <row r="2328" spans="1:15" customFormat="1" hidden="1" x14ac:dyDescent="0.25">
      <c r="A2328" s="11">
        <v>46073</v>
      </c>
      <c r="B2328" t="s">
        <v>18</v>
      </c>
      <c r="C2328" t="s">
        <v>16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ref="I2328:I2336" si="242">E2328+G2328+H2328</f>
        <v>7</v>
      </c>
      <c r="J2328" s="3">
        <f t="shared" ref="J2328:J2336" si="243"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7</v>
      </c>
      <c r="K2328" s="3">
        <f t="shared" ref="K2328:K2336" si="244">I2328-J2328</f>
        <v>0</v>
      </c>
      <c r="L2328" s="3" t="str">
        <f t="shared" si="241"/>
        <v>BOM</v>
      </c>
      <c r="M2328">
        <v>0</v>
      </c>
      <c r="N2328">
        <v>78.95</v>
      </c>
      <c r="O2328">
        <v>38.983050847457633</v>
      </c>
    </row>
    <row r="2329" spans="1:15" customFormat="1" hidden="1" x14ac:dyDescent="0.25">
      <c r="A2329" s="11">
        <v>46073</v>
      </c>
      <c r="B2329" t="s">
        <v>52</v>
      </c>
      <c r="C2329" t="s">
        <v>48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242"/>
        <v>19</v>
      </c>
      <c r="J2329" s="3">
        <f t="shared" si="243"/>
        <v>19</v>
      </c>
      <c r="K2329" s="3">
        <f t="shared" si="244"/>
        <v>0</v>
      </c>
      <c r="L2329" s="3" t="str">
        <f t="shared" si="241"/>
        <v>BOM</v>
      </c>
      <c r="M2329">
        <v>17</v>
      </c>
      <c r="N2329">
        <v>98.45</v>
      </c>
      <c r="O2329">
        <v>29.281767955801101</v>
      </c>
    </row>
    <row r="2330" spans="1:15" customFormat="1" hidden="1" x14ac:dyDescent="0.25">
      <c r="A2330" s="11">
        <v>46073</v>
      </c>
      <c r="B2330" t="s">
        <v>36</v>
      </c>
      <c r="C2330" t="s">
        <v>32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242"/>
        <v>22</v>
      </c>
      <c r="J2330" s="3">
        <f t="shared" si="243"/>
        <v>23</v>
      </c>
      <c r="K2330" s="3">
        <f t="shared" si="244"/>
        <v>-1</v>
      </c>
      <c r="L2330" s="3" t="str">
        <f t="shared" si="241"/>
        <v>ATENÇÃO</v>
      </c>
      <c r="M2330">
        <v>22</v>
      </c>
      <c r="N2330">
        <v>97.84</v>
      </c>
      <c r="O2330">
        <v>26.282051282051281</v>
      </c>
    </row>
    <row r="2331" spans="1:15" customFormat="1" hidden="1" x14ac:dyDescent="0.25">
      <c r="A2331" s="11">
        <v>46073</v>
      </c>
      <c r="B2331" t="s">
        <v>53</v>
      </c>
      <c r="C2331" t="s">
        <v>48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242"/>
        <v>29</v>
      </c>
      <c r="J2331" s="3">
        <f t="shared" si="243"/>
        <v>19</v>
      </c>
      <c r="K2331" s="3">
        <f t="shared" si="244"/>
        <v>10</v>
      </c>
      <c r="L2331" s="3" t="str">
        <f t="shared" si="241"/>
        <v>EXCELENTE</v>
      </c>
      <c r="M2331">
        <v>29</v>
      </c>
      <c r="N2331">
        <v>98.5</v>
      </c>
      <c r="O2331">
        <v>23.97769516728625</v>
      </c>
    </row>
    <row r="2332" spans="1:15" customFormat="1" hidden="1" x14ac:dyDescent="0.25">
      <c r="A2332" s="11">
        <v>46107</v>
      </c>
      <c r="B2332" t="s">
        <v>22</v>
      </c>
      <c r="C2332" t="s">
        <v>23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242"/>
        <v>27</v>
      </c>
      <c r="J2332" s="3">
        <f t="shared" si="243"/>
        <v>18</v>
      </c>
      <c r="K2332" s="3">
        <f t="shared" si="244"/>
        <v>9</v>
      </c>
      <c r="L2332" s="3" t="str">
        <f t="shared" si="241"/>
        <v>EXCELENTE</v>
      </c>
      <c r="M2332">
        <v>25</v>
      </c>
      <c r="N2332">
        <v>99.05</v>
      </c>
      <c r="O2332">
        <v>26.621923937360179</v>
      </c>
    </row>
    <row r="2333" spans="1:15" customFormat="1" hidden="1" x14ac:dyDescent="0.25">
      <c r="A2333" s="11">
        <v>46073</v>
      </c>
      <c r="B2333" t="s">
        <v>54</v>
      </c>
      <c r="C2333" t="s">
        <v>48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242"/>
        <v>28</v>
      </c>
      <c r="J2333" s="3">
        <f t="shared" si="243"/>
        <v>19</v>
      </c>
      <c r="K2333" s="3">
        <f t="shared" si="244"/>
        <v>9</v>
      </c>
      <c r="L2333" s="3" t="str">
        <f t="shared" si="241"/>
        <v>EXCELENTE</v>
      </c>
      <c r="M2333">
        <v>22</v>
      </c>
      <c r="N2333">
        <v>98.53</v>
      </c>
      <c r="O2333">
        <v>31.578947368421051</v>
      </c>
    </row>
    <row r="2334" spans="1:15" customFormat="1" hidden="1" x14ac:dyDescent="0.25">
      <c r="A2334" s="11">
        <v>46073</v>
      </c>
      <c r="B2334" t="s">
        <v>37</v>
      </c>
      <c r="C2334" t="s">
        <v>32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242"/>
        <v>30</v>
      </c>
      <c r="J2334" s="3">
        <f t="shared" si="243"/>
        <v>23</v>
      </c>
      <c r="K2334" s="3">
        <f t="shared" si="244"/>
        <v>7</v>
      </c>
      <c r="L2334" s="3" t="str">
        <f t="shared" si="241"/>
        <v>EXCELENTE</v>
      </c>
      <c r="M2334">
        <v>30</v>
      </c>
      <c r="N2334">
        <v>100</v>
      </c>
      <c r="O2334">
        <v>25.72214580467676</v>
      </c>
    </row>
    <row r="2335" spans="1:15" customFormat="1" hidden="1" x14ac:dyDescent="0.25">
      <c r="A2335" s="11">
        <v>46073</v>
      </c>
      <c r="B2335" t="s">
        <v>38</v>
      </c>
      <c r="C2335" t="s">
        <v>32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242"/>
        <v>24</v>
      </c>
      <c r="J2335" s="3">
        <f t="shared" si="243"/>
        <v>23</v>
      </c>
      <c r="K2335" s="3">
        <f t="shared" si="244"/>
        <v>1</v>
      </c>
      <c r="L2335" s="3" t="str">
        <f t="shared" si="241"/>
        <v>BOM</v>
      </c>
      <c r="M2335">
        <v>23</v>
      </c>
      <c r="N2335">
        <v>94.64</v>
      </c>
      <c r="O2335">
        <v>27.52941176470588</v>
      </c>
    </row>
    <row r="2336" spans="1:15" customFormat="1" hidden="1" x14ac:dyDescent="0.25">
      <c r="A2336" s="11">
        <v>46073</v>
      </c>
      <c r="B2336" t="s">
        <v>55</v>
      </c>
      <c r="C2336" t="s">
        <v>48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242"/>
        <v>20</v>
      </c>
      <c r="J2336" s="3">
        <f t="shared" si="243"/>
        <v>19</v>
      </c>
      <c r="K2336" s="3">
        <f t="shared" si="244"/>
        <v>1</v>
      </c>
      <c r="L2336" s="3" t="str">
        <f t="shared" si="241"/>
        <v>BOM</v>
      </c>
      <c r="M2336">
        <v>15</v>
      </c>
      <c r="N2336">
        <v>99.07</v>
      </c>
      <c r="O2336">
        <v>26.376811594202898</v>
      </c>
    </row>
    <row r="2337" spans="1:15" customFormat="1" hidden="1" x14ac:dyDescent="0.25">
      <c r="A2337" s="11">
        <v>46073</v>
      </c>
      <c r="B2337" t="s">
        <v>39</v>
      </c>
      <c r="C2337" t="s">
        <v>32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 t="shared" si="241"/>
        <v>BOM</v>
      </c>
      <c r="M2337">
        <v>0</v>
      </c>
      <c r="N2337">
        <v>100</v>
      </c>
      <c r="O2337">
        <v>0</v>
      </c>
    </row>
    <row r="2338" spans="1:15" customFormat="1" hidden="1" x14ac:dyDescent="0.25">
      <c r="A2338" s="11">
        <v>46073</v>
      </c>
      <c r="B2338" t="s">
        <v>25</v>
      </c>
      <c r="C2338" t="s">
        <v>26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 t="shared" si="241"/>
        <v>BOM</v>
      </c>
      <c r="M2338">
        <v>17</v>
      </c>
      <c r="N2338">
        <v>98.48</v>
      </c>
      <c r="O2338">
        <v>27.853881278538811</v>
      </c>
    </row>
    <row r="2339" spans="1:15" customFormat="1" hidden="1" x14ac:dyDescent="0.25">
      <c r="A2339" s="11">
        <v>46073</v>
      </c>
      <c r="B2339" t="s">
        <v>40</v>
      </c>
      <c r="C2339" t="s">
        <v>32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23</v>
      </c>
      <c r="K2339" s="3">
        <f>I2339-J2339</f>
        <v>-4</v>
      </c>
      <c r="L2339" s="3" t="str">
        <f t="shared" si="241"/>
        <v>ATENÇÃO</v>
      </c>
      <c r="M2339">
        <v>18</v>
      </c>
      <c r="N2339">
        <v>95.15</v>
      </c>
      <c r="O2339">
        <v>34.131736526946113</v>
      </c>
    </row>
    <row r="2340" spans="1:15" customFormat="1" hidden="1" x14ac:dyDescent="0.25">
      <c r="A2340" s="11">
        <v>46073</v>
      </c>
      <c r="B2340" t="s">
        <v>27</v>
      </c>
      <c r="C2340" t="s">
        <v>26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 t="shared" si="241"/>
        <v>BOM</v>
      </c>
      <c r="M2340">
        <v>0</v>
      </c>
      <c r="N2340">
        <v>0</v>
      </c>
      <c r="O2340">
        <v>0</v>
      </c>
    </row>
    <row r="2341" spans="1:15" customFormat="1" hidden="1" x14ac:dyDescent="0.25">
      <c r="A2341" s="11">
        <v>46073</v>
      </c>
      <c r="B2341" t="s">
        <v>41</v>
      </c>
      <c r="C2341" t="s">
        <v>32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23</v>
      </c>
      <c r="K2341" s="3">
        <f>I2341-J2341</f>
        <v>5</v>
      </c>
      <c r="L2341" s="3" t="str">
        <f t="shared" si="241"/>
        <v>BOM</v>
      </c>
      <c r="M2341">
        <v>28</v>
      </c>
      <c r="N2341">
        <v>99.26</v>
      </c>
      <c r="O2341">
        <v>30.84832904884319</v>
      </c>
    </row>
    <row r="2342" spans="1:15" customFormat="1" hidden="1" x14ac:dyDescent="0.25">
      <c r="A2342" s="11">
        <v>46073</v>
      </c>
      <c r="B2342" t="s">
        <v>56</v>
      </c>
      <c r="C2342" t="s">
        <v>48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19</v>
      </c>
      <c r="K2342" s="3">
        <f>I2342-J2342</f>
        <v>8</v>
      </c>
      <c r="L2342" s="3" t="str">
        <f t="shared" si="241"/>
        <v>EXCELENTE</v>
      </c>
      <c r="M2342">
        <v>20</v>
      </c>
      <c r="N2342">
        <v>97.48</v>
      </c>
      <c r="O2342">
        <v>27.764705882352938</v>
      </c>
    </row>
    <row r="2343" spans="1:15" customFormat="1" hidden="1" x14ac:dyDescent="0.25">
      <c r="A2343" s="11">
        <v>46073</v>
      </c>
      <c r="B2343" t="s">
        <v>57</v>
      </c>
      <c r="C2343" t="s">
        <v>48</v>
      </c>
      <c r="D2343">
        <v>29</v>
      </c>
      <c r="E2343">
        <v>26</v>
      </c>
      <c r="F2343">
        <v>22.26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41"/>
        <v>BOM</v>
      </c>
      <c r="M2343">
        <v>25</v>
      </c>
      <c r="N2343">
        <v>99.34</v>
      </c>
      <c r="O2343">
        <v>30.04291845493562</v>
      </c>
    </row>
    <row r="2344" spans="1:15" customFormat="1" hidden="1" x14ac:dyDescent="0.25">
      <c r="A2344" s="11">
        <v>46073</v>
      </c>
      <c r="B2344" t="s">
        <v>42</v>
      </c>
      <c r="C2344" t="s">
        <v>32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 t="shared" si="241"/>
        <v>BOM</v>
      </c>
      <c r="M2344">
        <v>0</v>
      </c>
      <c r="N2344">
        <v>96.3</v>
      </c>
      <c r="O2344">
        <v>24.29378531073446</v>
      </c>
    </row>
    <row r="2345" spans="1:15" customFormat="1" hidden="1" x14ac:dyDescent="0.25">
      <c r="A2345" s="11">
        <v>46073</v>
      </c>
      <c r="B2345" t="s">
        <v>62</v>
      </c>
      <c r="C2345" t="s">
        <v>23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15</v>
      </c>
      <c r="K2345" s="3">
        <f>I2345-J2345</f>
        <v>-6</v>
      </c>
      <c r="L2345" s="3" t="str">
        <f t="shared" si="241"/>
        <v>CRÍTICO</v>
      </c>
      <c r="M2345">
        <v>8</v>
      </c>
      <c r="N2345">
        <v>100</v>
      </c>
      <c r="O2345">
        <v>26.543209876543209</v>
      </c>
    </row>
    <row r="2346" spans="1:15" customFormat="1" hidden="1" x14ac:dyDescent="0.25">
      <c r="A2346" s="11">
        <v>46073</v>
      </c>
      <c r="B2346" t="s">
        <v>19</v>
      </c>
      <c r="C2346" t="s">
        <v>16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-3</v>
      </c>
      <c r="L2346" s="3" t="str">
        <f t="shared" si="241"/>
        <v>ATENÇÃO</v>
      </c>
      <c r="M2346">
        <v>5</v>
      </c>
      <c r="N2346">
        <v>100</v>
      </c>
      <c r="O2346">
        <v>35.483870967741943</v>
      </c>
    </row>
    <row r="2347" spans="1:15" customFormat="1" hidden="1" x14ac:dyDescent="0.25">
      <c r="A2347" s="11">
        <v>46073</v>
      </c>
      <c r="B2347" t="s">
        <v>43</v>
      </c>
      <c r="C2347" t="s">
        <v>32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-1</v>
      </c>
      <c r="L2347" s="3" t="str">
        <f t="shared" si="241"/>
        <v>ATENÇÃO</v>
      </c>
      <c r="M2347">
        <v>21</v>
      </c>
      <c r="N2347">
        <v>99.27</v>
      </c>
      <c r="O2347">
        <v>31.163708086785011</v>
      </c>
    </row>
    <row r="2348" spans="1:15" customFormat="1" hidden="1" x14ac:dyDescent="0.25">
      <c r="A2348" s="11">
        <v>46073</v>
      </c>
      <c r="B2348" t="s">
        <v>44</v>
      </c>
      <c r="C2348" t="s">
        <v>32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23</v>
      </c>
      <c r="K2348" s="3">
        <f>I2348-J2348</f>
        <v>0</v>
      </c>
      <c r="L2348" s="3" t="str">
        <f t="shared" si="241"/>
        <v>BOM</v>
      </c>
      <c r="M2348">
        <v>21</v>
      </c>
      <c r="N2348">
        <v>94.16</v>
      </c>
      <c r="O2348">
        <v>27.038626609442058</v>
      </c>
    </row>
    <row r="2349" spans="1:15" customFormat="1" hidden="1" x14ac:dyDescent="0.25">
      <c r="A2349" s="11">
        <v>46073</v>
      </c>
      <c r="B2349" t="s">
        <v>20</v>
      </c>
      <c r="C2349" t="s">
        <v>16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7</v>
      </c>
      <c r="K2349" s="3">
        <f>I2349-J2349</f>
        <v>0</v>
      </c>
      <c r="L2349" s="3" t="str">
        <f t="shared" si="241"/>
        <v>BOM</v>
      </c>
      <c r="M2349">
        <v>6</v>
      </c>
      <c r="N2349">
        <v>93.75</v>
      </c>
      <c r="O2349">
        <v>19.31818181818182</v>
      </c>
    </row>
    <row r="2350" spans="1:15" customFormat="1" hidden="1" x14ac:dyDescent="0.25">
      <c r="A2350" s="11">
        <v>46073</v>
      </c>
      <c r="B2350" t="s">
        <v>28</v>
      </c>
      <c r="C2350" t="s">
        <v>26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41"/>
        <v>BOM</v>
      </c>
      <c r="M2350">
        <v>0</v>
      </c>
      <c r="N2350">
        <v>0</v>
      </c>
      <c r="O2350">
        <v>0</v>
      </c>
    </row>
    <row r="2351" spans="1:15" customFormat="1" hidden="1" x14ac:dyDescent="0.25">
      <c r="A2351" s="11">
        <v>46073</v>
      </c>
      <c r="B2351" t="s">
        <v>58</v>
      </c>
      <c r="C2351" t="s">
        <v>48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41"/>
        <v>BOM</v>
      </c>
      <c r="M2351">
        <v>0</v>
      </c>
      <c r="N2351">
        <v>97.92</v>
      </c>
      <c r="O2351">
        <v>32.87671232876712</v>
      </c>
    </row>
    <row r="2352" spans="1:15" customFormat="1" hidden="1" x14ac:dyDescent="0.25">
      <c r="A2352" s="11">
        <v>46073</v>
      </c>
      <c r="B2352" t="s">
        <v>29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41"/>
        <v>BOM</v>
      </c>
      <c r="M2352">
        <v>0</v>
      </c>
      <c r="N2352">
        <v>0</v>
      </c>
      <c r="O2352">
        <v>0</v>
      </c>
    </row>
    <row r="2353" spans="1:15" customFormat="1" hidden="1" x14ac:dyDescent="0.25">
      <c r="A2353" s="11">
        <v>46073</v>
      </c>
      <c r="B2353" t="s">
        <v>30</v>
      </c>
      <c r="C2353" t="s">
        <v>26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41"/>
        <v>BOM</v>
      </c>
      <c r="M2353">
        <v>0</v>
      </c>
      <c r="N2353">
        <v>0</v>
      </c>
      <c r="O2353">
        <v>0</v>
      </c>
    </row>
    <row r="2354" spans="1:15" customFormat="1" hidden="1" x14ac:dyDescent="0.25">
      <c r="A2354" s="11">
        <v>46073</v>
      </c>
      <c r="B2354" t="s">
        <v>21</v>
      </c>
      <c r="C2354" t="s">
        <v>16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 t="shared" si="241"/>
        <v>BOM</v>
      </c>
      <c r="M2354">
        <v>0</v>
      </c>
      <c r="N2354">
        <v>0</v>
      </c>
      <c r="O2354">
        <v>0</v>
      </c>
    </row>
    <row r="2355" spans="1:15" customFormat="1" hidden="1" x14ac:dyDescent="0.25">
      <c r="A2355" s="11">
        <v>46073</v>
      </c>
      <c r="B2355" t="s">
        <v>63</v>
      </c>
      <c r="C2355" t="s">
        <v>23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15</v>
      </c>
      <c r="K2355" s="3">
        <f>I2355-J2355</f>
        <v>4</v>
      </c>
      <c r="L2355" s="3" t="str">
        <f t="shared" si="241"/>
        <v>BOM</v>
      </c>
      <c r="M2355">
        <v>17</v>
      </c>
      <c r="N2355">
        <v>98.51</v>
      </c>
      <c r="O2355">
        <v>29.710144927536231</v>
      </c>
    </row>
    <row r="2356" spans="1:15" customFormat="1" hidden="1" x14ac:dyDescent="0.25">
      <c r="A2356" s="11">
        <v>46073</v>
      </c>
      <c r="B2356" t="s">
        <v>45</v>
      </c>
      <c r="C2356" t="s">
        <v>32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23</v>
      </c>
      <c r="K2356" s="3">
        <f>I2356-J2356</f>
        <v>9</v>
      </c>
      <c r="L2356" s="3" t="str">
        <f t="shared" si="241"/>
        <v>EXCELENTE</v>
      </c>
      <c r="M2356">
        <v>28</v>
      </c>
      <c r="N2356">
        <v>98.81</v>
      </c>
      <c r="O2356">
        <v>30.712979890310791</v>
      </c>
    </row>
    <row r="2357" spans="1:15" customFormat="1" hidden="1" x14ac:dyDescent="0.25">
      <c r="A2357" s="11">
        <v>46073</v>
      </c>
      <c r="B2357" t="s">
        <v>64</v>
      </c>
      <c r="C2357" t="s">
        <v>23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15</v>
      </c>
      <c r="K2357" s="3">
        <f>I2357-J2357</f>
        <v>-4</v>
      </c>
      <c r="L2357" s="3" t="str">
        <f t="shared" si="241"/>
        <v>ATENÇÃO</v>
      </c>
      <c r="M2357">
        <v>8</v>
      </c>
      <c r="N2357">
        <v>98.48</v>
      </c>
      <c r="O2357">
        <v>29.35323383084577</v>
      </c>
    </row>
    <row r="2358" spans="1:15" customFormat="1" hidden="1" x14ac:dyDescent="0.25">
      <c r="A2358" s="11">
        <v>46073</v>
      </c>
      <c r="B2358" t="s">
        <v>46</v>
      </c>
      <c r="C2358" t="s">
        <v>32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23</v>
      </c>
      <c r="K2358" s="3">
        <f>I2358-J2358</f>
        <v>-7</v>
      </c>
      <c r="L2358" s="3" t="str">
        <f t="shared" si="241"/>
        <v>CRÍTICO</v>
      </c>
      <c r="M2358">
        <v>12</v>
      </c>
      <c r="N2358">
        <v>98.56</v>
      </c>
      <c r="O2358">
        <v>29.373650107991359</v>
      </c>
    </row>
    <row r="2359" spans="1:15" customFormat="1" hidden="1" x14ac:dyDescent="0.25">
      <c r="A2359" s="11">
        <v>46076</v>
      </c>
      <c r="B2359" t="s">
        <v>47</v>
      </c>
      <c r="C2359" t="s">
        <v>48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18</v>
      </c>
      <c r="K2359" s="3">
        <f>I2359-J2359</f>
        <v>14</v>
      </c>
      <c r="L2359" s="3" t="str">
        <f t="shared" si="241"/>
        <v>EXCELENTE</v>
      </c>
      <c r="M2359">
        <v>29</v>
      </c>
      <c r="N2359">
        <v>98.32</v>
      </c>
      <c r="O2359">
        <v>30.303030303030301</v>
      </c>
    </row>
    <row r="2360" spans="1:15" customFormat="1" hidden="1" x14ac:dyDescent="0.25">
      <c r="A2360" s="11">
        <v>46076</v>
      </c>
      <c r="B2360" t="s">
        <v>31</v>
      </c>
      <c r="C2360" t="s">
        <v>32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 t="shared" si="241"/>
        <v>BOM</v>
      </c>
      <c r="M2360">
        <v>28</v>
      </c>
      <c r="N2360">
        <v>98.68</v>
      </c>
      <c r="O2360">
        <v>26.219512195121951</v>
      </c>
    </row>
    <row r="2361" spans="1:15" customFormat="1" hidden="1" x14ac:dyDescent="0.25">
      <c r="A2361" s="11">
        <v>46076</v>
      </c>
      <c r="B2361" t="s">
        <v>59</v>
      </c>
      <c r="C2361" t="s">
        <v>23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15</v>
      </c>
      <c r="K2361" s="3">
        <f>I2361-J2361</f>
        <v>12</v>
      </c>
      <c r="L2361" s="3" t="str">
        <f t="shared" si="241"/>
        <v>EXCELENTE</v>
      </c>
      <c r="M2361">
        <v>23</v>
      </c>
      <c r="N2361">
        <v>100</v>
      </c>
      <c r="O2361">
        <v>31.74224343675418</v>
      </c>
    </row>
    <row r="2362" spans="1:15" customFormat="1" hidden="1" x14ac:dyDescent="0.25">
      <c r="A2362" s="11">
        <v>46076</v>
      </c>
      <c r="B2362" t="s">
        <v>33</v>
      </c>
      <c r="C2362" t="s">
        <v>32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22</v>
      </c>
      <c r="K2362" s="3">
        <f>I2362-J2362</f>
        <v>0</v>
      </c>
      <c r="L2362" s="3" t="str">
        <f t="shared" si="241"/>
        <v>BOM</v>
      </c>
      <c r="M2362">
        <v>17</v>
      </c>
      <c r="N2362">
        <v>98.25</v>
      </c>
      <c r="O2362">
        <v>25.83518930957684</v>
      </c>
    </row>
    <row r="2363" spans="1:15" customFormat="1" hidden="1" x14ac:dyDescent="0.25">
      <c r="A2363" s="11">
        <v>46076</v>
      </c>
      <c r="B2363" t="s">
        <v>15</v>
      </c>
      <c r="C2363" t="s">
        <v>16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 t="shared" si="241"/>
        <v>BOM</v>
      </c>
      <c r="M2363">
        <v>7</v>
      </c>
      <c r="N2363">
        <v>97.5</v>
      </c>
      <c r="O2363">
        <v>30.075187969924809</v>
      </c>
    </row>
    <row r="2364" spans="1:15" customFormat="1" hidden="1" x14ac:dyDescent="0.25">
      <c r="A2364" s="11">
        <v>46076</v>
      </c>
      <c r="B2364" t="s">
        <v>49</v>
      </c>
      <c r="C2364" t="s">
        <v>48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9</v>
      </c>
      <c r="L2364" s="3" t="str">
        <f t="shared" si="241"/>
        <v>EXCELENTE</v>
      </c>
      <c r="M2364">
        <v>27</v>
      </c>
      <c r="N2364">
        <v>100</v>
      </c>
      <c r="O2364">
        <v>29.71311475409836</v>
      </c>
    </row>
    <row r="2365" spans="1:15" customFormat="1" hidden="1" x14ac:dyDescent="0.25">
      <c r="A2365" s="11">
        <v>46076</v>
      </c>
      <c r="B2365" t="s">
        <v>50</v>
      </c>
      <c r="C2365" t="s">
        <v>48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18</v>
      </c>
      <c r="K2365" s="3">
        <f>I2365-J2365</f>
        <v>-4</v>
      </c>
      <c r="L2365" s="3" t="str">
        <f t="shared" si="241"/>
        <v>ATENÇÃO</v>
      </c>
      <c r="M2365">
        <v>18</v>
      </c>
      <c r="N2365">
        <v>99.22</v>
      </c>
      <c r="O2365">
        <v>35.256410256410263</v>
      </c>
    </row>
    <row r="2366" spans="1:15" customFormat="1" hidden="1" x14ac:dyDescent="0.25">
      <c r="A2366" s="11">
        <v>46076</v>
      </c>
      <c r="B2366" t="s">
        <v>17</v>
      </c>
      <c r="C2366" t="s">
        <v>16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41"/>
        <v>BOM</v>
      </c>
      <c r="M2366">
        <v>0</v>
      </c>
      <c r="N2366">
        <v>0</v>
      </c>
      <c r="O2366">
        <v>0</v>
      </c>
    </row>
    <row r="2367" spans="1:15" customFormat="1" hidden="1" x14ac:dyDescent="0.25">
      <c r="A2367" s="11">
        <v>46076</v>
      </c>
      <c r="B2367" t="s">
        <v>60</v>
      </c>
      <c r="C2367" t="s">
        <v>23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41"/>
        <v>BOM</v>
      </c>
      <c r="M2367">
        <v>0</v>
      </c>
      <c r="N2367">
        <v>98.75</v>
      </c>
      <c r="O2367">
        <v>24.32432432432433</v>
      </c>
    </row>
    <row r="2368" spans="1:15" customFormat="1" hidden="1" x14ac:dyDescent="0.25">
      <c r="A2368" s="11">
        <v>46076</v>
      </c>
      <c r="B2368" t="s">
        <v>34</v>
      </c>
      <c r="C2368" t="s">
        <v>32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41"/>
        <v>BOM</v>
      </c>
      <c r="M2368">
        <v>0</v>
      </c>
      <c r="N2368">
        <v>93.48</v>
      </c>
      <c r="O2368">
        <v>31.52804642166344</v>
      </c>
    </row>
    <row r="2369" spans="1:15" customFormat="1" hidden="1" x14ac:dyDescent="0.25">
      <c r="A2369" s="11">
        <v>46076</v>
      </c>
      <c r="B2369" t="s">
        <v>51</v>
      </c>
      <c r="C2369" t="s">
        <v>48</v>
      </c>
      <c r="D2369">
        <v>31</v>
      </c>
      <c r="E2369">
        <v>26</v>
      </c>
      <c r="F2369">
        <v>26.55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 t="shared" si="241"/>
        <v>BOM</v>
      </c>
      <c r="M2369">
        <v>19</v>
      </c>
      <c r="N2369">
        <v>99.16</v>
      </c>
      <c r="O2369">
        <v>26.13908872901678</v>
      </c>
    </row>
    <row r="2370" spans="1:15" customFormat="1" hidden="1" x14ac:dyDescent="0.25">
      <c r="A2370" s="11">
        <v>46076</v>
      </c>
      <c r="B2370" t="s">
        <v>61</v>
      </c>
      <c r="C2370" t="s">
        <v>23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15</v>
      </c>
      <c r="K2370" s="3">
        <f>I2370-J2370</f>
        <v>4</v>
      </c>
      <c r="L2370" s="3" t="str">
        <f t="shared" si="241"/>
        <v>BOM</v>
      </c>
      <c r="M2370">
        <v>9</v>
      </c>
      <c r="N2370">
        <v>100</v>
      </c>
      <c r="O2370">
        <v>31.089743589743591</v>
      </c>
    </row>
    <row r="2371" spans="1:15" customFormat="1" hidden="1" x14ac:dyDescent="0.25">
      <c r="A2371" s="11">
        <v>46076</v>
      </c>
      <c r="B2371" t="s">
        <v>35</v>
      </c>
      <c r="C2371" t="s">
        <v>32</v>
      </c>
      <c r="D2371">
        <v>20</v>
      </c>
      <c r="E2371">
        <v>19</v>
      </c>
      <c r="F2371">
        <v>37.39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 t="shared" si="241"/>
        <v>BOM</v>
      </c>
      <c r="M2371">
        <v>18</v>
      </c>
      <c r="N2371">
        <v>98.11</v>
      </c>
      <c r="O2371">
        <v>33.033707865168537</v>
      </c>
    </row>
    <row r="2372" spans="1:15" customFormat="1" hidden="1" x14ac:dyDescent="0.25">
      <c r="A2372" s="11">
        <v>46076</v>
      </c>
      <c r="B2372" t="s">
        <v>18</v>
      </c>
      <c r="C2372" t="s">
        <v>16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ref="I2372:I2380" si="245">E2372+G2372+H2372</f>
        <v>8</v>
      </c>
      <c r="J2372" s="3">
        <f t="shared" ref="J2372:J2380" si="246"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 t="shared" ref="K2372:K2380" si="247">I2372-J2372</f>
        <v>2</v>
      </c>
      <c r="L2372" s="3" t="str">
        <f t="shared" si="241"/>
        <v>BOM</v>
      </c>
      <c r="M2372">
        <v>5</v>
      </c>
      <c r="N2372">
        <v>78.95</v>
      </c>
      <c r="O2372">
        <v>38.983050847457633</v>
      </c>
    </row>
    <row r="2373" spans="1:15" customFormat="1" hidden="1" x14ac:dyDescent="0.25">
      <c r="A2373" s="11">
        <v>46076</v>
      </c>
      <c r="B2373" t="s">
        <v>52</v>
      </c>
      <c r="C2373" t="s">
        <v>48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245"/>
        <v>20</v>
      </c>
      <c r="J2373" s="3">
        <f t="shared" si="246"/>
        <v>18</v>
      </c>
      <c r="K2373" s="3">
        <f t="shared" si="247"/>
        <v>2</v>
      </c>
      <c r="L2373" s="3" t="str">
        <f t="shared" si="241"/>
        <v>BOM</v>
      </c>
      <c r="M2373">
        <v>16</v>
      </c>
      <c r="N2373">
        <v>98.45</v>
      </c>
      <c r="O2373">
        <v>29.281767955801101</v>
      </c>
    </row>
    <row r="2374" spans="1:15" customFormat="1" hidden="1" x14ac:dyDescent="0.25">
      <c r="A2374" s="11">
        <v>46076</v>
      </c>
      <c r="B2374" t="s">
        <v>36</v>
      </c>
      <c r="C2374" t="s">
        <v>32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245"/>
        <v>30</v>
      </c>
      <c r="J2374" s="3">
        <f t="shared" si="246"/>
        <v>22</v>
      </c>
      <c r="K2374" s="3">
        <f t="shared" si="247"/>
        <v>8</v>
      </c>
      <c r="L2374" s="3" t="str">
        <f t="shared" si="241"/>
        <v>EXCELENTE</v>
      </c>
      <c r="M2374">
        <v>29</v>
      </c>
      <c r="N2374">
        <v>97.84</v>
      </c>
      <c r="O2374">
        <v>26.282051282051281</v>
      </c>
    </row>
    <row r="2375" spans="1:15" customFormat="1" hidden="1" x14ac:dyDescent="0.25">
      <c r="A2375" s="11">
        <v>46076</v>
      </c>
      <c r="B2375" t="s">
        <v>53</v>
      </c>
      <c r="C2375" t="s">
        <v>48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245"/>
        <v>25</v>
      </c>
      <c r="J2375" s="3">
        <f t="shared" si="246"/>
        <v>18</v>
      </c>
      <c r="K2375" s="3">
        <f t="shared" si="247"/>
        <v>7</v>
      </c>
      <c r="L2375" s="3" t="str">
        <f t="shared" ref="L2375:L2438" si="248">IF(K2375&lt;-5,"CRÍTICO",IF(K2375&lt;0,"ATENÇÃO",IF(K2375&lt;=5,"BOM","EXCELENTE")))</f>
        <v>EXCELENTE</v>
      </c>
      <c r="M2375">
        <v>18</v>
      </c>
      <c r="N2375">
        <v>98.5</v>
      </c>
      <c r="O2375">
        <v>23.97769516728625</v>
      </c>
    </row>
    <row r="2376" spans="1:15" customFormat="1" hidden="1" x14ac:dyDescent="0.25">
      <c r="A2376" s="11">
        <v>46108</v>
      </c>
      <c r="B2376" t="s">
        <v>22</v>
      </c>
      <c r="C2376" t="s">
        <v>23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245"/>
        <v>28</v>
      </c>
      <c r="J2376" s="3">
        <f t="shared" si="246"/>
        <v>17</v>
      </c>
      <c r="K2376" s="3">
        <f t="shared" si="247"/>
        <v>11</v>
      </c>
      <c r="L2376" s="3" t="str">
        <f t="shared" si="248"/>
        <v>EXCELENTE</v>
      </c>
      <c r="M2376">
        <v>28</v>
      </c>
      <c r="N2376">
        <v>99.05</v>
      </c>
      <c r="O2376">
        <v>26.621923937360179</v>
      </c>
    </row>
    <row r="2377" spans="1:15" customFormat="1" hidden="1" x14ac:dyDescent="0.25">
      <c r="A2377" s="11">
        <v>46076</v>
      </c>
      <c r="B2377" t="s">
        <v>54</v>
      </c>
      <c r="C2377" t="s">
        <v>48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245"/>
        <v>33</v>
      </c>
      <c r="J2377" s="3">
        <f t="shared" si="246"/>
        <v>18</v>
      </c>
      <c r="K2377" s="3">
        <f t="shared" si="247"/>
        <v>15</v>
      </c>
      <c r="L2377" s="3" t="str">
        <f t="shared" si="248"/>
        <v>EXCELENTE</v>
      </c>
      <c r="M2377">
        <v>28</v>
      </c>
      <c r="N2377">
        <v>98.53</v>
      </c>
      <c r="O2377">
        <v>31.578947368421051</v>
      </c>
    </row>
    <row r="2378" spans="1:15" customFormat="1" hidden="1" x14ac:dyDescent="0.25">
      <c r="A2378" s="11">
        <v>46076</v>
      </c>
      <c r="B2378" t="s">
        <v>37</v>
      </c>
      <c r="C2378" t="s">
        <v>32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245"/>
        <v>36</v>
      </c>
      <c r="J2378" s="3">
        <f t="shared" si="246"/>
        <v>22</v>
      </c>
      <c r="K2378" s="3">
        <f t="shared" si="247"/>
        <v>14</v>
      </c>
      <c r="L2378" s="3" t="str">
        <f t="shared" si="248"/>
        <v>EXCELENTE</v>
      </c>
      <c r="M2378">
        <v>33</v>
      </c>
      <c r="N2378">
        <v>100</v>
      </c>
      <c r="O2378">
        <v>25.72214580467676</v>
      </c>
    </row>
    <row r="2379" spans="1:15" customFormat="1" hidden="1" x14ac:dyDescent="0.25">
      <c r="A2379" s="11">
        <v>46076</v>
      </c>
      <c r="B2379" t="s">
        <v>38</v>
      </c>
      <c r="C2379" t="s">
        <v>32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245"/>
        <v>20</v>
      </c>
      <c r="J2379" s="3">
        <f t="shared" si="246"/>
        <v>22</v>
      </c>
      <c r="K2379" s="3">
        <f t="shared" si="247"/>
        <v>-2</v>
      </c>
      <c r="L2379" s="3" t="str">
        <f t="shared" si="248"/>
        <v>ATENÇÃO</v>
      </c>
      <c r="M2379">
        <v>16</v>
      </c>
      <c r="N2379">
        <v>94.64</v>
      </c>
      <c r="O2379">
        <v>27.52941176470588</v>
      </c>
    </row>
    <row r="2380" spans="1:15" customFormat="1" hidden="1" x14ac:dyDescent="0.25">
      <c r="A2380" s="11">
        <v>46076</v>
      </c>
      <c r="B2380" t="s">
        <v>55</v>
      </c>
      <c r="C2380" t="s">
        <v>48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245"/>
        <v>28</v>
      </c>
      <c r="J2380" s="3">
        <f t="shared" si="246"/>
        <v>18</v>
      </c>
      <c r="K2380" s="3">
        <f t="shared" si="247"/>
        <v>10</v>
      </c>
      <c r="L2380" s="3" t="str">
        <f t="shared" si="248"/>
        <v>EXCELENTE</v>
      </c>
      <c r="M2380">
        <v>23</v>
      </c>
      <c r="N2380">
        <v>99.07</v>
      </c>
      <c r="O2380">
        <v>26.376811594202898</v>
      </c>
    </row>
    <row r="2381" spans="1:15" customFormat="1" hidden="1" x14ac:dyDescent="0.25">
      <c r="A2381" s="11">
        <v>46076</v>
      </c>
      <c r="B2381" t="s">
        <v>39</v>
      </c>
      <c r="C2381" t="s">
        <v>32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 t="shared" si="248"/>
        <v>BOM</v>
      </c>
      <c r="M2381">
        <v>0</v>
      </c>
      <c r="N2381">
        <v>100</v>
      </c>
      <c r="O2381">
        <v>0</v>
      </c>
    </row>
    <row r="2382" spans="1:15" customFormat="1" hidden="1" x14ac:dyDescent="0.25">
      <c r="A2382" s="11">
        <v>46076</v>
      </c>
      <c r="B2382" t="s">
        <v>25</v>
      </c>
      <c r="C2382" t="s">
        <v>26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13</v>
      </c>
      <c r="K2382" s="3">
        <f>I2382-J2382</f>
        <v>-2</v>
      </c>
      <c r="L2382" s="3" t="str">
        <f t="shared" si="248"/>
        <v>ATENÇÃO</v>
      </c>
      <c r="M2382">
        <v>9</v>
      </c>
      <c r="N2382">
        <v>98.48</v>
      </c>
      <c r="O2382">
        <v>27.853881278538811</v>
      </c>
    </row>
    <row r="2383" spans="1:15" customFormat="1" hidden="1" x14ac:dyDescent="0.25">
      <c r="A2383" s="11">
        <v>46076</v>
      </c>
      <c r="B2383" t="s">
        <v>40</v>
      </c>
      <c r="C2383" t="s">
        <v>32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22</v>
      </c>
      <c r="K2383" s="3">
        <f>I2383-J2383</f>
        <v>-4</v>
      </c>
      <c r="L2383" s="3" t="str">
        <f t="shared" si="248"/>
        <v>ATENÇÃO</v>
      </c>
      <c r="M2383">
        <v>18</v>
      </c>
      <c r="N2383">
        <v>95.15</v>
      </c>
      <c r="O2383">
        <v>34.131736526946113</v>
      </c>
    </row>
    <row r="2384" spans="1:15" customFormat="1" hidden="1" x14ac:dyDescent="0.25">
      <c r="A2384" s="11">
        <v>46076</v>
      </c>
      <c r="B2384" t="s">
        <v>27</v>
      </c>
      <c r="C2384" t="s">
        <v>26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 t="shared" si="248"/>
        <v>BOM</v>
      </c>
      <c r="M2384">
        <v>0</v>
      </c>
      <c r="N2384">
        <v>0</v>
      </c>
      <c r="O2384">
        <v>0</v>
      </c>
    </row>
    <row r="2385" spans="1:15" customFormat="1" hidden="1" x14ac:dyDescent="0.25">
      <c r="A2385" s="11">
        <v>46076</v>
      </c>
      <c r="B2385" t="s">
        <v>41</v>
      </c>
      <c r="C2385" t="s">
        <v>32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22</v>
      </c>
      <c r="K2385" s="3">
        <f>I2385-J2385</f>
        <v>-3</v>
      </c>
      <c r="L2385" s="3" t="str">
        <f t="shared" si="248"/>
        <v>ATENÇÃO</v>
      </c>
      <c r="M2385">
        <v>17</v>
      </c>
      <c r="N2385">
        <v>99.26</v>
      </c>
      <c r="O2385">
        <v>30.84832904884319</v>
      </c>
    </row>
    <row r="2386" spans="1:15" customFormat="1" hidden="1" x14ac:dyDescent="0.25">
      <c r="A2386" s="11">
        <v>46076</v>
      </c>
      <c r="B2386" t="s">
        <v>56</v>
      </c>
      <c r="C2386" t="s">
        <v>48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18</v>
      </c>
      <c r="K2386" s="3">
        <f>I2386-J2386</f>
        <v>9</v>
      </c>
      <c r="L2386" s="3" t="str">
        <f t="shared" si="248"/>
        <v>EXCELENTE</v>
      </c>
      <c r="M2386">
        <v>30</v>
      </c>
      <c r="N2386">
        <v>97.48</v>
      </c>
      <c r="O2386">
        <v>27.764705882352938</v>
      </c>
    </row>
    <row r="2387" spans="1:15" customFormat="1" hidden="1" x14ac:dyDescent="0.25">
      <c r="A2387" s="11">
        <v>46076</v>
      </c>
      <c r="B2387" t="s">
        <v>57</v>
      </c>
      <c r="C2387" t="s">
        <v>48</v>
      </c>
      <c r="D2387">
        <v>26</v>
      </c>
      <c r="E2387">
        <v>25</v>
      </c>
      <c r="F2387">
        <v>25.15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48"/>
        <v>BOM</v>
      </c>
      <c r="M2387">
        <v>13</v>
      </c>
      <c r="N2387">
        <v>99.34</v>
      </c>
      <c r="O2387">
        <v>30.04291845493562</v>
      </c>
    </row>
    <row r="2388" spans="1:15" customFormat="1" hidden="1" x14ac:dyDescent="0.25">
      <c r="A2388" s="11">
        <v>46076</v>
      </c>
      <c r="B2388" t="s">
        <v>42</v>
      </c>
      <c r="C2388" t="s">
        <v>32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 t="shared" si="248"/>
        <v>BOM</v>
      </c>
      <c r="M2388">
        <v>0</v>
      </c>
      <c r="N2388">
        <v>96.3</v>
      </c>
      <c r="O2388">
        <v>24.29378531073446</v>
      </c>
    </row>
    <row r="2389" spans="1:15" customFormat="1" hidden="1" x14ac:dyDescent="0.25">
      <c r="A2389" s="11">
        <v>46076</v>
      </c>
      <c r="B2389" t="s">
        <v>62</v>
      </c>
      <c r="C2389" t="s">
        <v>23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15</v>
      </c>
      <c r="K2389" s="3">
        <f>I2389-J2389</f>
        <v>-6</v>
      </c>
      <c r="L2389" s="3" t="str">
        <f t="shared" si="248"/>
        <v>CRÍTICO</v>
      </c>
      <c r="M2389">
        <v>10</v>
      </c>
      <c r="N2389">
        <v>100</v>
      </c>
      <c r="O2389">
        <v>26.543209876543209</v>
      </c>
    </row>
    <row r="2390" spans="1:15" customFormat="1" hidden="1" x14ac:dyDescent="0.25">
      <c r="A2390" s="11">
        <v>46076</v>
      </c>
      <c r="B2390" t="s">
        <v>19</v>
      </c>
      <c r="C2390" t="s">
        <v>16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 t="shared" si="248"/>
        <v>BOM</v>
      </c>
      <c r="M2390">
        <v>6</v>
      </c>
      <c r="N2390">
        <v>100</v>
      </c>
      <c r="O2390">
        <v>35.483870967741943</v>
      </c>
    </row>
    <row r="2391" spans="1:15" customFormat="1" hidden="1" x14ac:dyDescent="0.25">
      <c r="A2391" s="11">
        <v>46076</v>
      </c>
      <c r="B2391" t="s">
        <v>43</v>
      </c>
      <c r="C2391" t="s">
        <v>32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1</v>
      </c>
      <c r="L2391" s="3" t="str">
        <f t="shared" si="248"/>
        <v>BOM</v>
      </c>
      <c r="M2391">
        <v>22</v>
      </c>
      <c r="N2391">
        <v>99.27</v>
      </c>
      <c r="O2391">
        <v>31.163708086785011</v>
      </c>
    </row>
    <row r="2392" spans="1:15" customFormat="1" hidden="1" x14ac:dyDescent="0.25">
      <c r="A2392" s="11">
        <v>46076</v>
      </c>
      <c r="B2392" t="s">
        <v>44</v>
      </c>
      <c r="C2392" t="s">
        <v>32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22</v>
      </c>
      <c r="K2392" s="3">
        <f>I2392-J2392</f>
        <v>7</v>
      </c>
      <c r="L2392" s="3" t="str">
        <f t="shared" si="248"/>
        <v>EXCELENTE</v>
      </c>
      <c r="M2392">
        <v>26</v>
      </c>
      <c r="N2392">
        <v>94.16</v>
      </c>
      <c r="O2392">
        <v>27.038626609442058</v>
      </c>
    </row>
    <row r="2393" spans="1:15" customFormat="1" hidden="1" x14ac:dyDescent="0.25">
      <c r="A2393" s="11">
        <v>46076</v>
      </c>
      <c r="B2393" t="s">
        <v>20</v>
      </c>
      <c r="C2393" t="s">
        <v>16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 t="shared" si="248"/>
        <v>BOM</v>
      </c>
      <c r="M2393">
        <v>4</v>
      </c>
      <c r="N2393">
        <v>93.75</v>
      </c>
      <c r="O2393">
        <v>19.31818181818182</v>
      </c>
    </row>
    <row r="2394" spans="1:15" customFormat="1" hidden="1" x14ac:dyDescent="0.25">
      <c r="A2394" s="11">
        <v>46076</v>
      </c>
      <c r="B2394" t="s">
        <v>28</v>
      </c>
      <c r="C2394" t="s">
        <v>26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48"/>
        <v>BOM</v>
      </c>
      <c r="M2394">
        <v>0</v>
      </c>
      <c r="N2394">
        <v>0</v>
      </c>
      <c r="O2394">
        <v>0</v>
      </c>
    </row>
    <row r="2395" spans="1:15" customFormat="1" hidden="1" x14ac:dyDescent="0.25">
      <c r="A2395" s="11">
        <v>46076</v>
      </c>
      <c r="B2395" t="s">
        <v>58</v>
      </c>
      <c r="C2395" t="s">
        <v>48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48"/>
        <v>BOM</v>
      </c>
      <c r="M2395">
        <v>0</v>
      </c>
      <c r="N2395">
        <v>97.92</v>
      </c>
      <c r="O2395">
        <v>32.87671232876712</v>
      </c>
    </row>
    <row r="2396" spans="1:15" customFormat="1" hidden="1" x14ac:dyDescent="0.25">
      <c r="A2396" s="11">
        <v>46076</v>
      </c>
      <c r="B2396" t="s">
        <v>29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48"/>
        <v>BOM</v>
      </c>
      <c r="M2396">
        <v>0</v>
      </c>
      <c r="N2396">
        <v>0</v>
      </c>
      <c r="O2396">
        <v>0</v>
      </c>
    </row>
    <row r="2397" spans="1:15" customFormat="1" hidden="1" x14ac:dyDescent="0.25">
      <c r="A2397" s="11">
        <v>46076</v>
      </c>
      <c r="B2397" t="s">
        <v>30</v>
      </c>
      <c r="C2397" t="s">
        <v>26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48"/>
        <v>BOM</v>
      </c>
      <c r="M2397">
        <v>0</v>
      </c>
      <c r="N2397">
        <v>0</v>
      </c>
      <c r="O2397">
        <v>0</v>
      </c>
    </row>
    <row r="2398" spans="1:15" customFormat="1" hidden="1" x14ac:dyDescent="0.25">
      <c r="A2398" s="11">
        <v>46076</v>
      </c>
      <c r="B2398" t="s">
        <v>21</v>
      </c>
      <c r="C2398" t="s">
        <v>16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48"/>
        <v>BOM</v>
      </c>
      <c r="M2398">
        <v>0</v>
      </c>
      <c r="N2398">
        <v>0</v>
      </c>
      <c r="O2398">
        <v>0</v>
      </c>
    </row>
    <row r="2399" spans="1:15" customFormat="1" hidden="1" x14ac:dyDescent="0.25">
      <c r="A2399" s="11">
        <v>46076</v>
      </c>
      <c r="B2399" t="s">
        <v>63</v>
      </c>
      <c r="C2399" t="s">
        <v>23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 t="shared" si="248"/>
        <v>BOM</v>
      </c>
      <c r="M2399">
        <v>0</v>
      </c>
      <c r="N2399">
        <v>98.51</v>
      </c>
      <c r="O2399">
        <v>29.710144927536231</v>
      </c>
    </row>
    <row r="2400" spans="1:15" customFormat="1" hidden="1" x14ac:dyDescent="0.25">
      <c r="A2400" s="11">
        <v>46076</v>
      </c>
      <c r="B2400" t="s">
        <v>45</v>
      </c>
      <c r="C2400" t="s">
        <v>32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22</v>
      </c>
      <c r="K2400" s="3">
        <f>I2400-J2400</f>
        <v>6</v>
      </c>
      <c r="L2400" s="3" t="str">
        <f t="shared" si="248"/>
        <v>EXCELENTE</v>
      </c>
      <c r="M2400">
        <v>22</v>
      </c>
      <c r="N2400">
        <v>98.81</v>
      </c>
      <c r="O2400">
        <v>30.712979890310791</v>
      </c>
    </row>
    <row r="2401" spans="1:15" customFormat="1" hidden="1" x14ac:dyDescent="0.25">
      <c r="A2401" s="11">
        <v>46076</v>
      </c>
      <c r="B2401" t="s">
        <v>64</v>
      </c>
      <c r="C2401" t="s">
        <v>23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15</v>
      </c>
      <c r="K2401" s="3">
        <f>I2401-J2401</f>
        <v>-4</v>
      </c>
      <c r="L2401" s="3" t="str">
        <f t="shared" si="248"/>
        <v>ATENÇÃO</v>
      </c>
      <c r="M2401">
        <v>8</v>
      </c>
      <c r="N2401">
        <v>98.48</v>
      </c>
      <c r="O2401">
        <v>29.35323383084577</v>
      </c>
    </row>
    <row r="2402" spans="1:15" customFormat="1" hidden="1" x14ac:dyDescent="0.25">
      <c r="A2402" s="11">
        <v>46076</v>
      </c>
      <c r="B2402" t="s">
        <v>46</v>
      </c>
      <c r="C2402" t="s">
        <v>32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22</v>
      </c>
      <c r="K2402" s="3">
        <f>I2402-J2402</f>
        <v>6</v>
      </c>
      <c r="L2402" s="3" t="str">
        <f t="shared" si="248"/>
        <v>EXCELENTE</v>
      </c>
      <c r="M2402">
        <v>25</v>
      </c>
      <c r="N2402">
        <v>98.56</v>
      </c>
      <c r="O2402">
        <v>29.373650107991359</v>
      </c>
    </row>
    <row r="2403" spans="1:15" customFormat="1" hidden="1" x14ac:dyDescent="0.25">
      <c r="A2403" s="11">
        <v>46077</v>
      </c>
      <c r="B2403" t="s">
        <v>47</v>
      </c>
      <c r="C2403" t="s">
        <v>48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16</v>
      </c>
      <c r="K2403" s="3">
        <f>I2403-J2403</f>
        <v>3</v>
      </c>
      <c r="L2403" s="3" t="str">
        <f t="shared" si="248"/>
        <v>BOM</v>
      </c>
      <c r="M2403">
        <v>12</v>
      </c>
      <c r="N2403">
        <v>98.32</v>
      </c>
      <c r="O2403">
        <v>30.303030303030301</v>
      </c>
    </row>
    <row r="2404" spans="1:15" customFormat="1" hidden="1" x14ac:dyDescent="0.25">
      <c r="A2404" s="11">
        <v>46077</v>
      </c>
      <c r="B2404" t="s">
        <v>31</v>
      </c>
      <c r="C2404" t="s">
        <v>32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 t="shared" si="248"/>
        <v>BOM</v>
      </c>
      <c r="M2404">
        <v>25</v>
      </c>
      <c r="N2404">
        <v>98.68</v>
      </c>
      <c r="O2404">
        <v>26.219512195121951</v>
      </c>
    </row>
    <row r="2405" spans="1:15" customFormat="1" hidden="1" x14ac:dyDescent="0.25">
      <c r="A2405" s="11">
        <v>46077</v>
      </c>
      <c r="B2405" t="s">
        <v>59</v>
      </c>
      <c r="C2405" t="s">
        <v>23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13</v>
      </c>
      <c r="K2405" s="3">
        <f>I2405-J2405</f>
        <v>4</v>
      </c>
      <c r="L2405" s="3" t="str">
        <f t="shared" si="248"/>
        <v>BOM</v>
      </c>
      <c r="M2405">
        <v>17</v>
      </c>
      <c r="N2405">
        <v>100</v>
      </c>
      <c r="O2405">
        <v>31.74224343675418</v>
      </c>
    </row>
    <row r="2406" spans="1:15" customFormat="1" hidden="1" x14ac:dyDescent="0.25">
      <c r="A2406" s="11">
        <v>46077</v>
      </c>
      <c r="B2406" t="s">
        <v>33</v>
      </c>
      <c r="C2406" t="s">
        <v>32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20</v>
      </c>
      <c r="K2406" s="3">
        <f>I2406-J2406</f>
        <v>-3</v>
      </c>
      <c r="L2406" s="3" t="str">
        <f t="shared" si="248"/>
        <v>ATENÇÃO</v>
      </c>
      <c r="M2406">
        <v>16</v>
      </c>
      <c r="N2406">
        <v>98.25</v>
      </c>
      <c r="O2406">
        <v>25.83518930957684</v>
      </c>
    </row>
    <row r="2407" spans="1:15" customFormat="1" hidden="1" x14ac:dyDescent="0.25">
      <c r="A2407" s="11">
        <v>46077</v>
      </c>
      <c r="B2407" t="s">
        <v>15</v>
      </c>
      <c r="C2407" t="s">
        <v>16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6</v>
      </c>
      <c r="K2407" s="3">
        <f>I2407-J2407</f>
        <v>9</v>
      </c>
      <c r="L2407" s="3" t="str">
        <f t="shared" si="248"/>
        <v>EXCELENTE</v>
      </c>
      <c r="M2407">
        <v>13</v>
      </c>
      <c r="N2407">
        <v>97.5</v>
      </c>
      <c r="O2407">
        <v>30.075187969924809</v>
      </c>
    </row>
    <row r="2408" spans="1:15" customFormat="1" hidden="1" x14ac:dyDescent="0.25">
      <c r="A2408" s="11">
        <v>46077</v>
      </c>
      <c r="B2408" t="s">
        <v>49</v>
      </c>
      <c r="C2408" t="s">
        <v>48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1</v>
      </c>
      <c r="L2408" s="3" t="str">
        <f t="shared" si="248"/>
        <v>BOM</v>
      </c>
      <c r="M2408">
        <v>16</v>
      </c>
      <c r="N2408">
        <v>100</v>
      </c>
      <c r="O2408">
        <v>29.71311475409836</v>
      </c>
    </row>
    <row r="2409" spans="1:15" customFormat="1" hidden="1" x14ac:dyDescent="0.25">
      <c r="A2409" s="11">
        <v>46077</v>
      </c>
      <c r="B2409" t="s">
        <v>50</v>
      </c>
      <c r="C2409" t="s">
        <v>48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16</v>
      </c>
      <c r="K2409" s="3">
        <f>I2409-J2409</f>
        <v>-11</v>
      </c>
      <c r="L2409" s="3" t="str">
        <f t="shared" si="248"/>
        <v>CRÍTICO</v>
      </c>
      <c r="M2409">
        <v>5</v>
      </c>
      <c r="N2409">
        <v>99.22</v>
      </c>
      <c r="O2409">
        <v>35.256410256410263</v>
      </c>
    </row>
    <row r="2410" spans="1:15" customFormat="1" hidden="1" x14ac:dyDescent="0.25">
      <c r="A2410" s="11">
        <v>46077</v>
      </c>
      <c r="B2410" t="s">
        <v>17</v>
      </c>
      <c r="C2410" t="s">
        <v>16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 t="shared" si="248"/>
        <v>BOM</v>
      </c>
      <c r="M2410">
        <v>0</v>
      </c>
      <c r="N2410">
        <v>0</v>
      </c>
      <c r="O2410">
        <v>0</v>
      </c>
    </row>
    <row r="2411" spans="1:15" customFormat="1" hidden="1" x14ac:dyDescent="0.25">
      <c r="A2411" s="11">
        <v>46077</v>
      </c>
      <c r="B2411" t="s">
        <v>60</v>
      </c>
      <c r="C2411" t="s">
        <v>23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10</v>
      </c>
      <c r="L2411" s="3" t="str">
        <f t="shared" si="248"/>
        <v>EXCELENTE</v>
      </c>
      <c r="M2411">
        <v>23</v>
      </c>
      <c r="N2411">
        <v>98.75</v>
      </c>
      <c r="O2411">
        <v>24.32432432432433</v>
      </c>
    </row>
    <row r="2412" spans="1:15" customFormat="1" hidden="1" x14ac:dyDescent="0.25">
      <c r="A2412" s="11">
        <v>46077</v>
      </c>
      <c r="B2412" t="s">
        <v>34</v>
      </c>
      <c r="C2412" t="s">
        <v>32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48"/>
        <v>BOM</v>
      </c>
      <c r="M2412">
        <v>0</v>
      </c>
      <c r="N2412">
        <v>93.48</v>
      </c>
      <c r="O2412">
        <v>31.52804642166344</v>
      </c>
    </row>
    <row r="2413" spans="1:15" customFormat="1" hidden="1" x14ac:dyDescent="0.25">
      <c r="A2413" s="11">
        <v>46077</v>
      </c>
      <c r="B2413" t="s">
        <v>51</v>
      </c>
      <c r="C2413" t="s">
        <v>48</v>
      </c>
      <c r="D2413">
        <v>35</v>
      </c>
      <c r="E2413">
        <v>30</v>
      </c>
      <c r="F2413">
        <v>20.47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 t="shared" si="248"/>
        <v>BOM</v>
      </c>
      <c r="M2413">
        <v>25</v>
      </c>
      <c r="N2413">
        <v>99.16</v>
      </c>
      <c r="O2413">
        <v>26.13908872901678</v>
      </c>
    </row>
    <row r="2414" spans="1:15" customFormat="1" hidden="1" x14ac:dyDescent="0.25">
      <c r="A2414" s="11">
        <v>46077</v>
      </c>
      <c r="B2414" t="s">
        <v>61</v>
      </c>
      <c r="C2414" t="s">
        <v>23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13</v>
      </c>
      <c r="K2414" s="3">
        <f>I2414-J2414</f>
        <v>4</v>
      </c>
      <c r="L2414" s="3" t="str">
        <f t="shared" si="248"/>
        <v>BOM</v>
      </c>
      <c r="M2414">
        <v>11</v>
      </c>
      <c r="N2414">
        <v>100</v>
      </c>
      <c r="O2414">
        <v>31.089743589743591</v>
      </c>
    </row>
    <row r="2415" spans="1:15" customFormat="1" hidden="1" x14ac:dyDescent="0.25">
      <c r="A2415" s="11">
        <v>46077</v>
      </c>
      <c r="B2415" t="s">
        <v>35</v>
      </c>
      <c r="C2415" t="s">
        <v>32</v>
      </c>
      <c r="D2415">
        <v>16</v>
      </c>
      <c r="E2415">
        <v>16</v>
      </c>
      <c r="F2415">
        <v>50.52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 t="shared" si="248"/>
        <v>BOM</v>
      </c>
      <c r="M2415">
        <v>14</v>
      </c>
      <c r="N2415">
        <v>98.11</v>
      </c>
      <c r="O2415">
        <v>33.033707865168537</v>
      </c>
    </row>
    <row r="2416" spans="1:15" customFormat="1" hidden="1" x14ac:dyDescent="0.25">
      <c r="A2416" s="11">
        <v>46077</v>
      </c>
      <c r="B2416" t="s">
        <v>18</v>
      </c>
      <c r="C2416" t="s">
        <v>16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ref="I2416:I2424" si="249">E2416+G2416+H2416</f>
        <v>8</v>
      </c>
      <c r="J2416" s="3">
        <f t="shared" ref="J2416:J2424" si="250"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6</v>
      </c>
      <c r="K2416" s="3">
        <f t="shared" ref="K2416:K2424" si="251">I2416-J2416</f>
        <v>2</v>
      </c>
      <c r="L2416" s="3" t="str">
        <f t="shared" si="248"/>
        <v>BOM</v>
      </c>
      <c r="M2416">
        <v>5</v>
      </c>
      <c r="N2416">
        <v>78.95</v>
      </c>
      <c r="O2416">
        <v>38.983050847457633</v>
      </c>
    </row>
    <row r="2417" spans="1:15" customFormat="1" hidden="1" x14ac:dyDescent="0.25">
      <c r="A2417" s="11">
        <v>46077</v>
      </c>
      <c r="B2417" t="s">
        <v>52</v>
      </c>
      <c r="C2417" t="s">
        <v>48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249"/>
        <v>12</v>
      </c>
      <c r="J2417" s="3">
        <f t="shared" si="250"/>
        <v>16</v>
      </c>
      <c r="K2417" s="3">
        <f t="shared" si="251"/>
        <v>-4</v>
      </c>
      <c r="L2417" s="3" t="str">
        <f t="shared" si="248"/>
        <v>ATENÇÃO</v>
      </c>
      <c r="M2417">
        <v>13</v>
      </c>
      <c r="N2417">
        <v>98.45</v>
      </c>
      <c r="O2417">
        <v>29.281767955801101</v>
      </c>
    </row>
    <row r="2418" spans="1:15" customFormat="1" hidden="1" x14ac:dyDescent="0.25">
      <c r="A2418" s="11">
        <v>46077</v>
      </c>
      <c r="B2418" t="s">
        <v>36</v>
      </c>
      <c r="C2418" t="s">
        <v>32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249"/>
        <v>26</v>
      </c>
      <c r="J2418" s="3">
        <f t="shared" si="250"/>
        <v>20</v>
      </c>
      <c r="K2418" s="3">
        <f t="shared" si="251"/>
        <v>6</v>
      </c>
      <c r="L2418" s="3" t="str">
        <f t="shared" si="248"/>
        <v>EXCELENTE</v>
      </c>
      <c r="M2418">
        <v>26</v>
      </c>
      <c r="N2418">
        <v>97.84</v>
      </c>
      <c r="O2418">
        <v>26.282051282051281</v>
      </c>
    </row>
    <row r="2419" spans="1:15" customFormat="1" hidden="1" x14ac:dyDescent="0.25">
      <c r="A2419" s="11">
        <v>46077</v>
      </c>
      <c r="B2419" t="s">
        <v>53</v>
      </c>
      <c r="C2419" t="s">
        <v>48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249"/>
        <v>30</v>
      </c>
      <c r="J2419" s="3">
        <f t="shared" si="250"/>
        <v>16</v>
      </c>
      <c r="K2419" s="3">
        <f t="shared" si="251"/>
        <v>14</v>
      </c>
      <c r="L2419" s="3" t="str">
        <f t="shared" si="248"/>
        <v>EXCELENTE</v>
      </c>
      <c r="M2419">
        <v>30</v>
      </c>
      <c r="N2419">
        <v>98.5</v>
      </c>
      <c r="O2419">
        <v>23.97769516728625</v>
      </c>
    </row>
    <row r="2420" spans="1:15" customFormat="1" hidden="1" x14ac:dyDescent="0.25">
      <c r="A2420" s="11">
        <v>46111</v>
      </c>
      <c r="B2420" t="s">
        <v>22</v>
      </c>
      <c r="C2420" t="s">
        <v>23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249"/>
        <v>25</v>
      </c>
      <c r="J2420" s="3">
        <f t="shared" si="250"/>
        <v>18</v>
      </c>
      <c r="K2420" s="3">
        <f t="shared" si="251"/>
        <v>7</v>
      </c>
      <c r="L2420" s="3" t="str">
        <f t="shared" si="248"/>
        <v>EXCELENTE</v>
      </c>
      <c r="M2420">
        <v>23</v>
      </c>
      <c r="N2420">
        <v>99.05</v>
      </c>
      <c r="O2420">
        <v>26.621923937360179</v>
      </c>
    </row>
    <row r="2421" spans="1:15" customFormat="1" hidden="1" x14ac:dyDescent="0.25">
      <c r="A2421" s="11">
        <v>46077</v>
      </c>
      <c r="B2421" t="s">
        <v>54</v>
      </c>
      <c r="C2421" t="s">
        <v>48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249"/>
        <v>19</v>
      </c>
      <c r="J2421" s="3">
        <f t="shared" si="250"/>
        <v>16</v>
      </c>
      <c r="K2421" s="3">
        <f t="shared" si="251"/>
        <v>3</v>
      </c>
      <c r="L2421" s="3" t="str">
        <f t="shared" si="248"/>
        <v>BOM</v>
      </c>
      <c r="M2421">
        <v>18</v>
      </c>
      <c r="N2421">
        <v>98.53</v>
      </c>
      <c r="O2421">
        <v>31.578947368421051</v>
      </c>
    </row>
    <row r="2422" spans="1:15" customFormat="1" hidden="1" x14ac:dyDescent="0.25">
      <c r="A2422" s="11">
        <v>46077</v>
      </c>
      <c r="B2422" t="s">
        <v>37</v>
      </c>
      <c r="C2422" t="s">
        <v>32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249"/>
        <v>35</v>
      </c>
      <c r="J2422" s="3">
        <f t="shared" si="250"/>
        <v>20</v>
      </c>
      <c r="K2422" s="3">
        <f t="shared" si="251"/>
        <v>15</v>
      </c>
      <c r="L2422" s="3" t="str">
        <f t="shared" si="248"/>
        <v>EXCELENTE</v>
      </c>
      <c r="M2422">
        <v>35</v>
      </c>
      <c r="N2422">
        <v>100</v>
      </c>
      <c r="O2422">
        <v>25.72214580467676</v>
      </c>
    </row>
    <row r="2423" spans="1:15" customFormat="1" hidden="1" x14ac:dyDescent="0.25">
      <c r="A2423" s="11">
        <v>46077</v>
      </c>
      <c r="B2423" t="s">
        <v>38</v>
      </c>
      <c r="C2423" t="s">
        <v>32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249"/>
        <v>24</v>
      </c>
      <c r="J2423" s="3">
        <f t="shared" si="250"/>
        <v>20</v>
      </c>
      <c r="K2423" s="3">
        <f t="shared" si="251"/>
        <v>4</v>
      </c>
      <c r="L2423" s="3" t="str">
        <f t="shared" si="248"/>
        <v>BOM</v>
      </c>
      <c r="M2423">
        <v>23</v>
      </c>
      <c r="N2423">
        <v>94.64</v>
      </c>
      <c r="O2423">
        <v>27.52941176470588</v>
      </c>
    </row>
    <row r="2424" spans="1:15" customFormat="1" hidden="1" x14ac:dyDescent="0.25">
      <c r="A2424" s="11">
        <v>46077</v>
      </c>
      <c r="B2424" t="s">
        <v>55</v>
      </c>
      <c r="C2424" t="s">
        <v>48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249"/>
        <v>8</v>
      </c>
      <c r="J2424" s="3">
        <f t="shared" si="250"/>
        <v>16</v>
      </c>
      <c r="K2424" s="3">
        <f t="shared" si="251"/>
        <v>-8</v>
      </c>
      <c r="L2424" s="3" t="str">
        <f t="shared" si="248"/>
        <v>CRÍTICO</v>
      </c>
      <c r="M2424">
        <v>3</v>
      </c>
      <c r="N2424">
        <v>99.07</v>
      </c>
      <c r="O2424">
        <v>26.376811594202898</v>
      </c>
    </row>
    <row r="2425" spans="1:15" customFormat="1" hidden="1" x14ac:dyDescent="0.25">
      <c r="A2425" s="11">
        <v>46077</v>
      </c>
      <c r="B2425" t="s">
        <v>39</v>
      </c>
      <c r="C2425" t="s">
        <v>32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 t="shared" si="248"/>
        <v>BOM</v>
      </c>
      <c r="M2425">
        <v>0</v>
      </c>
      <c r="N2425">
        <v>100</v>
      </c>
      <c r="O2425">
        <v>0</v>
      </c>
    </row>
    <row r="2426" spans="1:15" customFormat="1" hidden="1" x14ac:dyDescent="0.25">
      <c r="A2426" s="11">
        <v>46077</v>
      </c>
      <c r="B2426" t="s">
        <v>25</v>
      </c>
      <c r="C2426" t="s">
        <v>26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12</v>
      </c>
      <c r="K2426" s="3">
        <f>I2426-J2426</f>
        <v>3</v>
      </c>
      <c r="L2426" s="3" t="str">
        <f t="shared" si="248"/>
        <v>BOM</v>
      </c>
      <c r="M2426">
        <v>14</v>
      </c>
      <c r="N2426">
        <v>98.48</v>
      </c>
      <c r="O2426">
        <v>27.853881278538811</v>
      </c>
    </row>
    <row r="2427" spans="1:15" customFormat="1" hidden="1" x14ac:dyDescent="0.25">
      <c r="A2427" s="11">
        <v>46077</v>
      </c>
      <c r="B2427" t="s">
        <v>40</v>
      </c>
      <c r="C2427" t="s">
        <v>32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20</v>
      </c>
      <c r="K2427" s="3">
        <f>I2427-J2427</f>
        <v>-17</v>
      </c>
      <c r="L2427" s="3" t="str">
        <f t="shared" si="248"/>
        <v>CRÍTICO</v>
      </c>
      <c r="M2427">
        <v>52</v>
      </c>
      <c r="N2427">
        <v>95.15</v>
      </c>
      <c r="O2427">
        <v>34.131736526946113</v>
      </c>
    </row>
    <row r="2428" spans="1:15" customFormat="1" hidden="1" x14ac:dyDescent="0.25">
      <c r="A2428" s="11">
        <v>46077</v>
      </c>
      <c r="B2428" t="s">
        <v>27</v>
      </c>
      <c r="C2428" t="s">
        <v>26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 t="shared" si="248"/>
        <v>BOM</v>
      </c>
      <c r="M2428">
        <v>0</v>
      </c>
      <c r="N2428">
        <v>0</v>
      </c>
      <c r="O2428">
        <v>0</v>
      </c>
    </row>
    <row r="2429" spans="1:15" customFormat="1" hidden="1" x14ac:dyDescent="0.25">
      <c r="A2429" s="11">
        <v>46077</v>
      </c>
      <c r="B2429" t="s">
        <v>41</v>
      </c>
      <c r="C2429" t="s">
        <v>32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0</v>
      </c>
      <c r="L2429" s="3" t="str">
        <f t="shared" si="248"/>
        <v>BOM</v>
      </c>
      <c r="M2429">
        <v>15</v>
      </c>
      <c r="N2429">
        <v>99.26</v>
      </c>
      <c r="O2429">
        <v>30.84832904884319</v>
      </c>
    </row>
    <row r="2430" spans="1:15" customFormat="1" hidden="1" x14ac:dyDescent="0.25">
      <c r="A2430" s="11">
        <v>46077</v>
      </c>
      <c r="B2430" t="s">
        <v>56</v>
      </c>
      <c r="C2430" t="s">
        <v>48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16</v>
      </c>
      <c r="K2430" s="3">
        <f>I2430-J2430</f>
        <v>11</v>
      </c>
      <c r="L2430" s="3" t="str">
        <f t="shared" si="248"/>
        <v>EXCELENTE</v>
      </c>
      <c r="M2430">
        <v>13</v>
      </c>
      <c r="N2430">
        <v>97.48</v>
      </c>
      <c r="O2430">
        <v>27.764705882352938</v>
      </c>
    </row>
    <row r="2431" spans="1:15" customFormat="1" hidden="1" x14ac:dyDescent="0.25">
      <c r="A2431" s="11">
        <v>46077</v>
      </c>
      <c r="B2431" t="s">
        <v>57</v>
      </c>
      <c r="C2431" t="s">
        <v>48</v>
      </c>
      <c r="D2431">
        <v>19</v>
      </c>
      <c r="E2431">
        <v>19</v>
      </c>
      <c r="F2431">
        <v>38.590000000000003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 t="shared" si="248"/>
        <v>BOM</v>
      </c>
      <c r="M2431">
        <v>18</v>
      </c>
      <c r="N2431">
        <v>99.34</v>
      </c>
      <c r="O2431">
        <v>30.04291845493562</v>
      </c>
    </row>
    <row r="2432" spans="1:15" customFormat="1" hidden="1" x14ac:dyDescent="0.25">
      <c r="A2432" s="11">
        <v>46077</v>
      </c>
      <c r="B2432" t="s">
        <v>42</v>
      </c>
      <c r="C2432" t="s">
        <v>32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ref="I2432:I2437" si="252">E2432+G2432+H2432</f>
        <v>37</v>
      </c>
      <c r="J2432" s="3">
        <f t="shared" ref="J2432:J2437" si="253"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 t="shared" ref="K2432:K2437" si="254">I2432-J2432</f>
        <v>17</v>
      </c>
      <c r="L2432" s="3" t="str">
        <f t="shared" si="248"/>
        <v>EXCELENTE</v>
      </c>
      <c r="M2432">
        <v>24</v>
      </c>
      <c r="N2432">
        <v>96.3</v>
      </c>
      <c r="O2432">
        <v>24.29378531073446</v>
      </c>
    </row>
    <row r="2433" spans="1:15" customFormat="1" hidden="1" x14ac:dyDescent="0.25">
      <c r="A2433" s="11">
        <v>46077</v>
      </c>
      <c r="B2433" t="s">
        <v>62</v>
      </c>
      <c r="C2433" t="s">
        <v>23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252"/>
        <v>15</v>
      </c>
      <c r="J2433" s="3">
        <f t="shared" si="253"/>
        <v>13</v>
      </c>
      <c r="K2433" s="3">
        <f t="shared" si="254"/>
        <v>2</v>
      </c>
      <c r="L2433" s="3" t="str">
        <f t="shared" si="248"/>
        <v>BOM</v>
      </c>
      <c r="M2433">
        <v>13</v>
      </c>
      <c r="N2433">
        <v>100</v>
      </c>
      <c r="O2433">
        <v>26.543209876543209</v>
      </c>
    </row>
    <row r="2434" spans="1:15" customFormat="1" hidden="1" x14ac:dyDescent="0.25">
      <c r="A2434" s="11">
        <v>46077</v>
      </c>
      <c r="B2434" t="s">
        <v>19</v>
      </c>
      <c r="C2434" t="s">
        <v>16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252"/>
        <v>5</v>
      </c>
      <c r="J2434" s="3">
        <f t="shared" si="253"/>
        <v>6</v>
      </c>
      <c r="K2434" s="3">
        <f t="shared" si="254"/>
        <v>-1</v>
      </c>
      <c r="L2434" s="3" t="str">
        <f t="shared" si="248"/>
        <v>ATENÇÃO</v>
      </c>
      <c r="M2434">
        <v>3</v>
      </c>
      <c r="N2434">
        <v>100</v>
      </c>
      <c r="O2434">
        <v>35.483870967741943</v>
      </c>
    </row>
    <row r="2435" spans="1:15" customFormat="1" hidden="1" x14ac:dyDescent="0.25">
      <c r="A2435" s="11">
        <v>46077</v>
      </c>
      <c r="B2435" t="s">
        <v>43</v>
      </c>
      <c r="C2435" t="s">
        <v>32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252"/>
        <v>22</v>
      </c>
      <c r="J2435" s="3">
        <f t="shared" si="253"/>
        <v>20</v>
      </c>
      <c r="K2435" s="3">
        <f t="shared" si="254"/>
        <v>2</v>
      </c>
      <c r="L2435" s="3" t="str">
        <f t="shared" si="248"/>
        <v>BOM</v>
      </c>
      <c r="M2435">
        <v>24</v>
      </c>
      <c r="N2435">
        <v>99.27</v>
      </c>
      <c r="O2435">
        <v>31.163708086785011</v>
      </c>
    </row>
    <row r="2436" spans="1:15" customFormat="1" hidden="1" x14ac:dyDescent="0.25">
      <c r="A2436" s="11">
        <v>46077</v>
      </c>
      <c r="B2436" t="s">
        <v>44</v>
      </c>
      <c r="C2436" t="s">
        <v>32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252"/>
        <v>33</v>
      </c>
      <c r="J2436" s="3">
        <f t="shared" si="253"/>
        <v>20</v>
      </c>
      <c r="K2436" s="3">
        <f t="shared" si="254"/>
        <v>13</v>
      </c>
      <c r="L2436" s="3" t="str">
        <f t="shared" si="248"/>
        <v>EXCELENTE</v>
      </c>
      <c r="M2436">
        <v>28</v>
      </c>
      <c r="N2436">
        <v>94.16</v>
      </c>
      <c r="O2436">
        <v>27.038626609442058</v>
      </c>
    </row>
    <row r="2437" spans="1:15" customFormat="1" hidden="1" x14ac:dyDescent="0.25">
      <c r="A2437" s="11">
        <v>46077</v>
      </c>
      <c r="B2437" t="s">
        <v>20</v>
      </c>
      <c r="C2437" t="s">
        <v>16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252"/>
        <v>14</v>
      </c>
      <c r="J2437" s="3">
        <f t="shared" si="253"/>
        <v>6</v>
      </c>
      <c r="K2437" s="3">
        <f t="shared" si="254"/>
        <v>8</v>
      </c>
      <c r="L2437" s="3" t="str">
        <f t="shared" si="248"/>
        <v>EXCELENTE</v>
      </c>
      <c r="M2437">
        <v>5</v>
      </c>
      <c r="N2437">
        <v>93.75</v>
      </c>
      <c r="O2437">
        <v>19.31818181818182</v>
      </c>
    </row>
    <row r="2438" spans="1:15" customFormat="1" hidden="1" x14ac:dyDescent="0.25">
      <c r="A2438" s="11">
        <v>46077</v>
      </c>
      <c r="B2438" t="s">
        <v>28</v>
      </c>
      <c r="C2438" t="s">
        <v>26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si="248"/>
        <v>BOM</v>
      </c>
      <c r="M2438">
        <v>0</v>
      </c>
      <c r="N2438">
        <v>0</v>
      </c>
      <c r="O2438">
        <v>0</v>
      </c>
    </row>
    <row r="2439" spans="1:15" customFormat="1" hidden="1" x14ac:dyDescent="0.25">
      <c r="A2439" s="11">
        <v>46077</v>
      </c>
      <c r="B2439" t="s">
        <v>58</v>
      </c>
      <c r="C2439" t="s">
        <v>48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ref="L2439:L2502" si="255">IF(K2439&lt;-5,"CRÍTICO",IF(K2439&lt;0,"ATENÇÃO",IF(K2439&lt;=5,"BOM","EXCELENTE")))</f>
        <v>BOM</v>
      </c>
      <c r="M2439">
        <v>0</v>
      </c>
      <c r="N2439">
        <v>97.92</v>
      </c>
      <c r="O2439">
        <v>32.87671232876712</v>
      </c>
    </row>
    <row r="2440" spans="1:15" customFormat="1" hidden="1" x14ac:dyDescent="0.25">
      <c r="A2440" s="11">
        <v>46077</v>
      </c>
      <c r="B2440" t="s">
        <v>29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55"/>
        <v>BOM</v>
      </c>
      <c r="M2440">
        <v>0</v>
      </c>
      <c r="N2440">
        <v>0</v>
      </c>
      <c r="O2440">
        <v>0</v>
      </c>
    </row>
    <row r="2441" spans="1:15" customFormat="1" hidden="1" x14ac:dyDescent="0.25">
      <c r="A2441" s="11">
        <v>46077</v>
      </c>
      <c r="B2441" t="s">
        <v>30</v>
      </c>
      <c r="C2441" t="s">
        <v>26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55"/>
        <v>BOM</v>
      </c>
      <c r="M2441">
        <v>0</v>
      </c>
      <c r="N2441">
        <v>0</v>
      </c>
      <c r="O2441">
        <v>0</v>
      </c>
    </row>
    <row r="2442" spans="1:15" customFormat="1" hidden="1" x14ac:dyDescent="0.25">
      <c r="A2442" s="11">
        <v>46077</v>
      </c>
      <c r="B2442" t="s">
        <v>21</v>
      </c>
      <c r="C2442" t="s">
        <v>16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55"/>
        <v>BOM</v>
      </c>
      <c r="M2442">
        <v>0</v>
      </c>
      <c r="N2442">
        <v>0</v>
      </c>
      <c r="O2442">
        <v>0</v>
      </c>
    </row>
    <row r="2443" spans="1:15" customFormat="1" hidden="1" x14ac:dyDescent="0.25">
      <c r="A2443" s="11">
        <v>46077</v>
      </c>
      <c r="B2443" t="s">
        <v>63</v>
      </c>
      <c r="C2443" t="s">
        <v>23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 t="shared" si="255"/>
        <v>BOM</v>
      </c>
      <c r="M2443">
        <v>0</v>
      </c>
      <c r="N2443">
        <v>98.51</v>
      </c>
      <c r="O2443">
        <v>29.710144927536231</v>
      </c>
    </row>
    <row r="2444" spans="1:15" customFormat="1" hidden="1" x14ac:dyDescent="0.25">
      <c r="A2444" s="11">
        <v>46077</v>
      </c>
      <c r="B2444" t="s">
        <v>45</v>
      </c>
      <c r="C2444" t="s">
        <v>32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20</v>
      </c>
      <c r="K2444" s="3">
        <f>I2444-J2444</f>
        <v>12</v>
      </c>
      <c r="L2444" s="3" t="str">
        <f t="shared" si="255"/>
        <v>EXCELENTE</v>
      </c>
      <c r="M2444">
        <v>27</v>
      </c>
      <c r="N2444">
        <v>98.81</v>
      </c>
      <c r="O2444">
        <v>30.712979890310791</v>
      </c>
    </row>
    <row r="2445" spans="1:15" customFormat="1" hidden="1" x14ac:dyDescent="0.25">
      <c r="A2445" s="11">
        <v>46077</v>
      </c>
      <c r="B2445" t="s">
        <v>64</v>
      </c>
      <c r="C2445" t="s">
        <v>23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13</v>
      </c>
      <c r="K2445" s="3">
        <f>I2445-J2445</f>
        <v>-6</v>
      </c>
      <c r="L2445" s="3" t="str">
        <f t="shared" si="255"/>
        <v>CRÍTICO</v>
      </c>
      <c r="M2445">
        <v>7</v>
      </c>
      <c r="N2445">
        <v>98.48</v>
      </c>
      <c r="O2445">
        <v>29.35323383084577</v>
      </c>
    </row>
    <row r="2446" spans="1:15" customFormat="1" hidden="1" x14ac:dyDescent="0.25">
      <c r="A2446" s="11">
        <v>46077</v>
      </c>
      <c r="B2446" t="s">
        <v>46</v>
      </c>
      <c r="C2446" t="s">
        <v>32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20</v>
      </c>
      <c r="K2446" s="3">
        <f>I2446-J2446</f>
        <v>0</v>
      </c>
      <c r="L2446" s="3" t="str">
        <f t="shared" si="255"/>
        <v>BOM</v>
      </c>
      <c r="M2446">
        <v>19</v>
      </c>
      <c r="N2446">
        <v>98.56</v>
      </c>
      <c r="O2446">
        <v>29.373650107991359</v>
      </c>
    </row>
    <row r="2447" spans="1:15" customFormat="1" hidden="1" x14ac:dyDescent="0.25">
      <c r="A2447" s="11">
        <v>46078</v>
      </c>
      <c r="B2447" t="s">
        <v>47</v>
      </c>
      <c r="C2447" t="s">
        <v>48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16</v>
      </c>
      <c r="K2447" s="3">
        <f>I2447-J2447</f>
        <v>-10</v>
      </c>
      <c r="L2447" s="3" t="str">
        <f t="shared" si="255"/>
        <v>CRÍTICO</v>
      </c>
      <c r="M2447">
        <v>6</v>
      </c>
      <c r="N2447">
        <v>98.32</v>
      </c>
      <c r="O2447">
        <v>30.303030303030301</v>
      </c>
    </row>
    <row r="2448" spans="1:15" customFormat="1" hidden="1" x14ac:dyDescent="0.25">
      <c r="A2448" s="11">
        <v>46078</v>
      </c>
      <c r="B2448" t="s">
        <v>31</v>
      </c>
      <c r="C2448" t="s">
        <v>32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 t="shared" si="255"/>
        <v>BOM</v>
      </c>
      <c r="M2448">
        <v>24</v>
      </c>
      <c r="N2448">
        <v>98.68</v>
      </c>
      <c r="O2448">
        <v>26.219512195121951</v>
      </c>
    </row>
    <row r="2449" spans="1:15" customFormat="1" hidden="1" x14ac:dyDescent="0.25">
      <c r="A2449" s="11">
        <v>46078</v>
      </c>
      <c r="B2449" t="s">
        <v>59</v>
      </c>
      <c r="C2449" t="s">
        <v>23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13</v>
      </c>
      <c r="K2449" s="3">
        <f>I2449-J2449</f>
        <v>14</v>
      </c>
      <c r="L2449" s="3" t="str">
        <f t="shared" si="255"/>
        <v>EXCELENTE</v>
      </c>
      <c r="M2449">
        <v>25</v>
      </c>
      <c r="N2449">
        <v>100</v>
      </c>
      <c r="O2449">
        <v>31.74224343675418</v>
      </c>
    </row>
    <row r="2450" spans="1:15" customFormat="1" hidden="1" x14ac:dyDescent="0.25">
      <c r="A2450" s="11">
        <v>46078</v>
      </c>
      <c r="B2450" t="s">
        <v>33</v>
      </c>
      <c r="C2450" t="s">
        <v>32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20</v>
      </c>
      <c r="K2450" s="3">
        <f>I2450-J2450</f>
        <v>-3</v>
      </c>
      <c r="L2450" s="3" t="str">
        <f t="shared" si="255"/>
        <v>ATENÇÃO</v>
      </c>
      <c r="M2450">
        <v>13</v>
      </c>
      <c r="N2450">
        <v>98.25</v>
      </c>
      <c r="O2450">
        <v>25.83518930957684</v>
      </c>
    </row>
    <row r="2451" spans="1:15" customFormat="1" hidden="1" x14ac:dyDescent="0.25">
      <c r="A2451" s="11">
        <v>46078</v>
      </c>
      <c r="B2451" t="s">
        <v>15</v>
      </c>
      <c r="C2451" t="s">
        <v>16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6</v>
      </c>
      <c r="K2451" s="3">
        <f>I2451-J2451</f>
        <v>6</v>
      </c>
      <c r="L2451" s="3" t="str">
        <f t="shared" si="255"/>
        <v>EXCELENTE</v>
      </c>
      <c r="M2451">
        <v>11</v>
      </c>
      <c r="N2451">
        <v>97.5</v>
      </c>
      <c r="O2451">
        <v>30.075187969924809</v>
      </c>
    </row>
    <row r="2452" spans="1:15" customFormat="1" hidden="1" x14ac:dyDescent="0.25">
      <c r="A2452" s="11">
        <v>46078</v>
      </c>
      <c r="B2452" t="s">
        <v>49</v>
      </c>
      <c r="C2452" t="s">
        <v>48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13</v>
      </c>
      <c r="L2452" s="3" t="str">
        <f t="shared" si="255"/>
        <v>EXCELENTE</v>
      </c>
      <c r="M2452">
        <v>29</v>
      </c>
      <c r="N2452">
        <v>100</v>
      </c>
      <c r="O2452">
        <v>29.71311475409836</v>
      </c>
    </row>
    <row r="2453" spans="1:15" customFormat="1" hidden="1" x14ac:dyDescent="0.25">
      <c r="A2453" s="11">
        <v>46078</v>
      </c>
      <c r="B2453" t="s">
        <v>50</v>
      </c>
      <c r="C2453" t="s">
        <v>48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16</v>
      </c>
      <c r="K2453" s="3">
        <f>I2453-J2453</f>
        <v>-6</v>
      </c>
      <c r="L2453" s="3" t="str">
        <f t="shared" si="255"/>
        <v>CRÍTICO</v>
      </c>
      <c r="M2453">
        <v>9</v>
      </c>
      <c r="N2453">
        <v>99.22</v>
      </c>
      <c r="O2453">
        <v>35.256410256410263</v>
      </c>
    </row>
    <row r="2454" spans="1:15" customFormat="1" hidden="1" x14ac:dyDescent="0.25">
      <c r="A2454" s="11">
        <v>46078</v>
      </c>
      <c r="B2454" t="s">
        <v>17</v>
      </c>
      <c r="C2454" t="s">
        <v>16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 t="shared" si="255"/>
        <v>BOM</v>
      </c>
      <c r="M2454">
        <v>0</v>
      </c>
      <c r="N2454">
        <v>0</v>
      </c>
      <c r="O2454">
        <v>0</v>
      </c>
    </row>
    <row r="2455" spans="1:15" customFormat="1" hidden="1" x14ac:dyDescent="0.25">
      <c r="A2455" s="11">
        <v>46078</v>
      </c>
      <c r="B2455" t="s">
        <v>60</v>
      </c>
      <c r="C2455" t="s">
        <v>23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 t="shared" si="255"/>
        <v>BOM</v>
      </c>
      <c r="M2455">
        <v>14</v>
      </c>
      <c r="N2455">
        <v>98.75</v>
      </c>
      <c r="O2455">
        <v>24.32432432432433</v>
      </c>
    </row>
    <row r="2456" spans="1:15" customFormat="1" hidden="1" x14ac:dyDescent="0.25">
      <c r="A2456" s="11">
        <v>46078</v>
      </c>
      <c r="B2456" t="s">
        <v>34</v>
      </c>
      <c r="C2456" t="s">
        <v>32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20</v>
      </c>
      <c r="K2456" s="3">
        <f>I2456-J2456</f>
        <v>1</v>
      </c>
      <c r="L2456" s="3" t="str">
        <f t="shared" si="255"/>
        <v>BOM</v>
      </c>
      <c r="M2456">
        <v>21</v>
      </c>
      <c r="N2456">
        <v>93.48</v>
      </c>
      <c r="O2456">
        <v>31.52804642166344</v>
      </c>
    </row>
    <row r="2457" spans="1:15" customFormat="1" hidden="1" x14ac:dyDescent="0.25">
      <c r="A2457" s="11">
        <v>46078</v>
      </c>
      <c r="B2457" t="s">
        <v>51</v>
      </c>
      <c r="C2457" t="s">
        <v>48</v>
      </c>
      <c r="D2457">
        <v>22</v>
      </c>
      <c r="E2457">
        <v>20</v>
      </c>
      <c r="F2457">
        <v>35.270000000000003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 t="shared" si="255"/>
        <v>BOM</v>
      </c>
      <c r="M2457">
        <v>13</v>
      </c>
      <c r="N2457">
        <v>99.16</v>
      </c>
      <c r="O2457">
        <v>26.13908872901678</v>
      </c>
    </row>
    <row r="2458" spans="1:15" customFormat="1" hidden="1" x14ac:dyDescent="0.25">
      <c r="A2458" s="11">
        <v>46078</v>
      </c>
      <c r="B2458" t="s">
        <v>61</v>
      </c>
      <c r="C2458" t="s">
        <v>23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13</v>
      </c>
      <c r="K2458" s="3">
        <f>I2458-J2458</f>
        <v>1</v>
      </c>
      <c r="L2458" s="3" t="str">
        <f t="shared" si="255"/>
        <v>BOM</v>
      </c>
      <c r="M2458">
        <v>11</v>
      </c>
      <c r="N2458">
        <v>100</v>
      </c>
      <c r="O2458">
        <v>31.089743589743591</v>
      </c>
    </row>
    <row r="2459" spans="1:15" customFormat="1" hidden="1" x14ac:dyDescent="0.25">
      <c r="A2459" s="11">
        <v>46078</v>
      </c>
      <c r="B2459" t="s">
        <v>35</v>
      </c>
      <c r="C2459" t="s">
        <v>32</v>
      </c>
      <c r="D2459">
        <v>15</v>
      </c>
      <c r="E2459">
        <v>15</v>
      </c>
      <c r="F2459">
        <v>54.14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 t="shared" si="255"/>
        <v>BOM</v>
      </c>
      <c r="M2459">
        <v>15</v>
      </c>
      <c r="N2459">
        <v>98.11</v>
      </c>
      <c r="O2459">
        <v>33.033707865168537</v>
      </c>
    </row>
    <row r="2460" spans="1:15" customFormat="1" hidden="1" x14ac:dyDescent="0.25">
      <c r="A2460" s="11">
        <v>46078</v>
      </c>
      <c r="B2460" t="s">
        <v>18</v>
      </c>
      <c r="C2460" t="s">
        <v>16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ref="I2460:I2467" si="256">E2460+G2460+H2460</f>
        <v>10</v>
      </c>
      <c r="J2460" s="3">
        <f t="shared" ref="J2460:J2467" si="257"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6</v>
      </c>
      <c r="K2460" s="3">
        <f t="shared" ref="K2460:K2467" si="258">I2460-J2460</f>
        <v>4</v>
      </c>
      <c r="L2460" s="3" t="str">
        <f t="shared" si="255"/>
        <v>BOM</v>
      </c>
      <c r="M2460">
        <v>5</v>
      </c>
      <c r="N2460">
        <v>78.95</v>
      </c>
      <c r="O2460">
        <v>38.983050847457633</v>
      </c>
    </row>
    <row r="2461" spans="1:15" customFormat="1" hidden="1" x14ac:dyDescent="0.25">
      <c r="A2461" s="11">
        <v>46078</v>
      </c>
      <c r="B2461" t="s">
        <v>52</v>
      </c>
      <c r="C2461" t="s">
        <v>48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256"/>
        <v>17</v>
      </c>
      <c r="J2461" s="3">
        <f t="shared" si="257"/>
        <v>16</v>
      </c>
      <c r="K2461" s="3">
        <f t="shared" si="258"/>
        <v>1</v>
      </c>
      <c r="L2461" s="3" t="str">
        <f t="shared" si="255"/>
        <v>BOM</v>
      </c>
      <c r="M2461">
        <v>16</v>
      </c>
      <c r="N2461">
        <v>98.45</v>
      </c>
      <c r="O2461">
        <v>29.281767955801101</v>
      </c>
    </row>
    <row r="2462" spans="1:15" customFormat="1" hidden="1" x14ac:dyDescent="0.25">
      <c r="A2462" s="11">
        <v>46078</v>
      </c>
      <c r="B2462" t="s">
        <v>36</v>
      </c>
      <c r="C2462" t="s">
        <v>32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256"/>
        <v>18</v>
      </c>
      <c r="J2462" s="3">
        <f t="shared" si="257"/>
        <v>20</v>
      </c>
      <c r="K2462" s="3">
        <f t="shared" si="258"/>
        <v>-2</v>
      </c>
      <c r="L2462" s="3" t="str">
        <f t="shared" si="255"/>
        <v>ATENÇÃO</v>
      </c>
      <c r="M2462">
        <v>19</v>
      </c>
      <c r="N2462">
        <v>97.84</v>
      </c>
      <c r="O2462">
        <v>26.282051282051281</v>
      </c>
    </row>
    <row r="2463" spans="1:15" customFormat="1" hidden="1" x14ac:dyDescent="0.25">
      <c r="A2463" s="11">
        <v>46078</v>
      </c>
      <c r="B2463" t="s">
        <v>53</v>
      </c>
      <c r="C2463" t="s">
        <v>48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256"/>
        <v>21</v>
      </c>
      <c r="J2463" s="3">
        <f t="shared" si="257"/>
        <v>16</v>
      </c>
      <c r="K2463" s="3">
        <f t="shared" si="258"/>
        <v>5</v>
      </c>
      <c r="L2463" s="3" t="str">
        <f t="shared" si="255"/>
        <v>BOM</v>
      </c>
      <c r="M2463">
        <v>20</v>
      </c>
      <c r="N2463">
        <v>98.5</v>
      </c>
      <c r="O2463">
        <v>23.97769516728625</v>
      </c>
    </row>
    <row r="2464" spans="1:15" customFormat="1" hidden="1" x14ac:dyDescent="0.25">
      <c r="A2464" s="11">
        <v>46112</v>
      </c>
      <c r="B2464" t="s">
        <v>22</v>
      </c>
      <c r="C2464" t="s">
        <v>23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256"/>
        <v>27</v>
      </c>
      <c r="J2464" s="3">
        <f t="shared" si="257"/>
        <v>20</v>
      </c>
      <c r="K2464" s="3">
        <f t="shared" si="258"/>
        <v>7</v>
      </c>
      <c r="L2464" s="3" t="str">
        <f t="shared" si="255"/>
        <v>EXCELENTE</v>
      </c>
      <c r="M2464">
        <v>22</v>
      </c>
      <c r="N2464">
        <v>99.05</v>
      </c>
      <c r="O2464">
        <v>26.621923937360179</v>
      </c>
    </row>
    <row r="2465" spans="1:15" customFormat="1" hidden="1" x14ac:dyDescent="0.25">
      <c r="A2465" s="11">
        <v>46078</v>
      </c>
      <c r="B2465" t="s">
        <v>54</v>
      </c>
      <c r="C2465" t="s">
        <v>48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256"/>
        <v>19</v>
      </c>
      <c r="J2465" s="3">
        <f t="shared" si="257"/>
        <v>16</v>
      </c>
      <c r="K2465" s="3">
        <f t="shared" si="258"/>
        <v>3</v>
      </c>
      <c r="L2465" s="3" t="str">
        <f t="shared" si="255"/>
        <v>BOM</v>
      </c>
      <c r="M2465">
        <v>18</v>
      </c>
      <c r="N2465">
        <v>98.53</v>
      </c>
      <c r="O2465">
        <v>31.578947368421051</v>
      </c>
    </row>
    <row r="2466" spans="1:15" customFormat="1" hidden="1" x14ac:dyDescent="0.25">
      <c r="A2466" s="11">
        <v>46078</v>
      </c>
      <c r="B2466" t="s">
        <v>37</v>
      </c>
      <c r="C2466" t="s">
        <v>32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256"/>
        <v>35</v>
      </c>
      <c r="J2466" s="3">
        <f t="shared" si="257"/>
        <v>20</v>
      </c>
      <c r="K2466" s="3">
        <f t="shared" si="258"/>
        <v>15</v>
      </c>
      <c r="L2466" s="3" t="str">
        <f t="shared" si="255"/>
        <v>EXCELENTE</v>
      </c>
      <c r="M2466">
        <v>32</v>
      </c>
      <c r="N2466">
        <v>100</v>
      </c>
      <c r="O2466">
        <v>25.72214580467676</v>
      </c>
    </row>
    <row r="2467" spans="1:15" customFormat="1" hidden="1" x14ac:dyDescent="0.25">
      <c r="A2467" s="11">
        <v>46078</v>
      </c>
      <c r="B2467" t="s">
        <v>38</v>
      </c>
      <c r="C2467" t="s">
        <v>32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si="256"/>
        <v>17</v>
      </c>
      <c r="J2467" s="3">
        <f t="shared" si="257"/>
        <v>20</v>
      </c>
      <c r="K2467" s="3">
        <f t="shared" si="258"/>
        <v>-3</v>
      </c>
      <c r="L2467" s="3" t="str">
        <f t="shared" si="255"/>
        <v>ATENÇÃO</v>
      </c>
      <c r="M2467">
        <v>14</v>
      </c>
      <c r="N2467">
        <v>94.64</v>
      </c>
      <c r="O2467">
        <v>27.52941176470588</v>
      </c>
    </row>
    <row r="2468" spans="1:15" customFormat="1" hidden="1" x14ac:dyDescent="0.25">
      <c r="A2468" s="11">
        <v>46078</v>
      </c>
      <c r="B2468" t="s">
        <v>55</v>
      </c>
      <c r="C2468" t="s">
        <v>48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55"/>
        <v>BOM</v>
      </c>
      <c r="M2468">
        <v>0</v>
      </c>
      <c r="N2468">
        <v>99.07</v>
      </c>
      <c r="O2468">
        <v>26.376811594202898</v>
      </c>
    </row>
    <row r="2469" spans="1:15" customFormat="1" hidden="1" x14ac:dyDescent="0.25">
      <c r="A2469" s="11">
        <v>46078</v>
      </c>
      <c r="B2469" t="s">
        <v>39</v>
      </c>
      <c r="C2469" t="s">
        <v>32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 t="shared" si="255"/>
        <v>BOM</v>
      </c>
      <c r="M2469">
        <v>0</v>
      </c>
      <c r="N2469">
        <v>100</v>
      </c>
      <c r="O2469">
        <v>0</v>
      </c>
    </row>
    <row r="2470" spans="1:15" customFormat="1" hidden="1" x14ac:dyDescent="0.25">
      <c r="A2470" s="11">
        <v>46078</v>
      </c>
      <c r="B2470" t="s">
        <v>25</v>
      </c>
      <c r="C2470" t="s">
        <v>26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 t="shared" si="255"/>
        <v>ATENÇÃO</v>
      </c>
      <c r="M2470">
        <v>8</v>
      </c>
      <c r="N2470">
        <v>98.48</v>
      </c>
      <c r="O2470">
        <v>27.853881278538811</v>
      </c>
    </row>
    <row r="2471" spans="1:15" customFormat="1" hidden="1" x14ac:dyDescent="0.25">
      <c r="A2471" s="11">
        <v>46078</v>
      </c>
      <c r="B2471" t="s">
        <v>40</v>
      </c>
      <c r="C2471" t="s">
        <v>32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55"/>
        <v>BOM</v>
      </c>
      <c r="M2471">
        <v>30</v>
      </c>
      <c r="N2471">
        <v>95.15</v>
      </c>
      <c r="O2471">
        <v>34.131736526946113</v>
      </c>
    </row>
    <row r="2472" spans="1:15" customFormat="1" hidden="1" x14ac:dyDescent="0.25">
      <c r="A2472" s="11">
        <v>46078</v>
      </c>
      <c r="B2472" t="s">
        <v>27</v>
      </c>
      <c r="C2472" t="s">
        <v>26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 t="shared" si="255"/>
        <v>BOM</v>
      </c>
      <c r="M2472">
        <v>0</v>
      </c>
      <c r="N2472">
        <v>0</v>
      </c>
      <c r="O2472">
        <v>0</v>
      </c>
    </row>
    <row r="2473" spans="1:15" customFormat="1" hidden="1" x14ac:dyDescent="0.25">
      <c r="A2473" s="11">
        <v>46078</v>
      </c>
      <c r="B2473" t="s">
        <v>41</v>
      </c>
      <c r="C2473" t="s">
        <v>32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-3</v>
      </c>
      <c r="L2473" s="3" t="str">
        <f t="shared" si="255"/>
        <v>ATENÇÃO</v>
      </c>
      <c r="M2473">
        <v>16</v>
      </c>
      <c r="N2473">
        <v>99.26</v>
      </c>
      <c r="O2473">
        <v>30.84832904884319</v>
      </c>
    </row>
    <row r="2474" spans="1:15" customFormat="1" hidden="1" x14ac:dyDescent="0.25">
      <c r="A2474" s="11">
        <v>46078</v>
      </c>
      <c r="B2474" t="s">
        <v>56</v>
      </c>
      <c r="C2474" t="s">
        <v>48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16</v>
      </c>
      <c r="K2474" s="3">
        <f>I2474-J2474</f>
        <v>11</v>
      </c>
      <c r="L2474" s="3" t="str">
        <f t="shared" si="255"/>
        <v>EXCELENTE</v>
      </c>
      <c r="M2474">
        <v>26</v>
      </c>
      <c r="N2474">
        <v>97.48</v>
      </c>
      <c r="O2474">
        <v>27.764705882352938</v>
      </c>
    </row>
    <row r="2475" spans="1:15" customFormat="1" hidden="1" x14ac:dyDescent="0.25">
      <c r="A2475" s="11">
        <v>46078</v>
      </c>
      <c r="B2475" t="s">
        <v>57</v>
      </c>
      <c r="C2475" t="s">
        <v>48</v>
      </c>
      <c r="D2475">
        <v>16</v>
      </c>
      <c r="E2475">
        <v>16</v>
      </c>
      <c r="F2475">
        <v>43.46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 t="shared" si="255"/>
        <v>BOM</v>
      </c>
      <c r="M2475">
        <v>15</v>
      </c>
      <c r="N2475">
        <v>99.34</v>
      </c>
      <c r="O2475">
        <v>30.04291845493562</v>
      </c>
    </row>
    <row r="2476" spans="1:15" customFormat="1" hidden="1" x14ac:dyDescent="0.25">
      <c r="A2476" s="11">
        <v>46078</v>
      </c>
      <c r="B2476" t="s">
        <v>42</v>
      </c>
      <c r="C2476" t="s">
        <v>32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ref="I2476:I2481" si="259">E2476+G2476+H2476</f>
        <v>44</v>
      </c>
      <c r="J2476" s="3">
        <f t="shared" ref="J2476:J2481" si="260"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 t="shared" ref="K2476:K2481" si="261">I2476-J2476</f>
        <v>24</v>
      </c>
      <c r="L2476" s="3" t="str">
        <f t="shared" si="255"/>
        <v>EXCELENTE</v>
      </c>
      <c r="M2476">
        <v>25</v>
      </c>
      <c r="N2476">
        <v>96.3</v>
      </c>
      <c r="O2476">
        <v>24.29378531073446</v>
      </c>
    </row>
    <row r="2477" spans="1:15" customFormat="1" hidden="1" x14ac:dyDescent="0.25">
      <c r="A2477" s="11">
        <v>46078</v>
      </c>
      <c r="B2477" t="s">
        <v>62</v>
      </c>
      <c r="C2477" t="s">
        <v>23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259"/>
        <v>15</v>
      </c>
      <c r="J2477" s="3">
        <f t="shared" si="260"/>
        <v>13</v>
      </c>
      <c r="K2477" s="3">
        <f t="shared" si="261"/>
        <v>2</v>
      </c>
      <c r="L2477" s="3" t="str">
        <f t="shared" si="255"/>
        <v>BOM</v>
      </c>
      <c r="M2477">
        <v>16</v>
      </c>
      <c r="N2477">
        <v>100</v>
      </c>
      <c r="O2477">
        <v>26.543209876543209</v>
      </c>
    </row>
    <row r="2478" spans="1:15" customFormat="1" hidden="1" x14ac:dyDescent="0.25">
      <c r="A2478" s="11">
        <v>46078</v>
      </c>
      <c r="B2478" t="s">
        <v>19</v>
      </c>
      <c r="C2478" t="s">
        <v>16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259"/>
        <v>7</v>
      </c>
      <c r="J2478" s="3">
        <f t="shared" si="260"/>
        <v>6</v>
      </c>
      <c r="K2478" s="3">
        <f t="shared" si="261"/>
        <v>1</v>
      </c>
      <c r="L2478" s="3" t="str">
        <f t="shared" si="255"/>
        <v>BOM</v>
      </c>
      <c r="M2478">
        <v>6</v>
      </c>
      <c r="N2478">
        <v>100</v>
      </c>
      <c r="O2478">
        <v>35.483870967741943</v>
      </c>
    </row>
    <row r="2479" spans="1:15" customFormat="1" hidden="1" x14ac:dyDescent="0.25">
      <c r="A2479" s="11">
        <v>46078</v>
      </c>
      <c r="B2479" t="s">
        <v>43</v>
      </c>
      <c r="C2479" t="s">
        <v>32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259"/>
        <v>23</v>
      </c>
      <c r="J2479" s="3">
        <f t="shared" si="260"/>
        <v>20</v>
      </c>
      <c r="K2479" s="3">
        <f t="shared" si="261"/>
        <v>3</v>
      </c>
      <c r="L2479" s="3" t="str">
        <f t="shared" si="255"/>
        <v>BOM</v>
      </c>
      <c r="M2479">
        <v>22</v>
      </c>
      <c r="N2479">
        <v>99.27</v>
      </c>
      <c r="O2479">
        <v>31.163708086785011</v>
      </c>
    </row>
    <row r="2480" spans="1:15" customFormat="1" hidden="1" x14ac:dyDescent="0.25">
      <c r="A2480" s="11">
        <v>46078</v>
      </c>
      <c r="B2480" t="s">
        <v>44</v>
      </c>
      <c r="C2480" t="s">
        <v>32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259"/>
        <v>18</v>
      </c>
      <c r="J2480" s="3">
        <f t="shared" si="260"/>
        <v>20</v>
      </c>
      <c r="K2480" s="3">
        <f t="shared" si="261"/>
        <v>-2</v>
      </c>
      <c r="L2480" s="3" t="str">
        <f t="shared" si="255"/>
        <v>ATENÇÃO</v>
      </c>
      <c r="M2480">
        <v>15</v>
      </c>
      <c r="N2480">
        <v>94.16</v>
      </c>
      <c r="O2480">
        <v>27.038626609442058</v>
      </c>
    </row>
    <row r="2481" spans="1:15" customFormat="1" hidden="1" x14ac:dyDescent="0.25">
      <c r="A2481" s="11">
        <v>46078</v>
      </c>
      <c r="B2481" t="s">
        <v>20</v>
      </c>
      <c r="C2481" t="s">
        <v>16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259"/>
        <v>13</v>
      </c>
      <c r="J2481" s="3">
        <f t="shared" si="260"/>
        <v>6</v>
      </c>
      <c r="K2481" s="3">
        <f t="shared" si="261"/>
        <v>7</v>
      </c>
      <c r="L2481" s="3" t="str">
        <f t="shared" si="255"/>
        <v>EXCELENTE</v>
      </c>
      <c r="M2481">
        <v>4</v>
      </c>
      <c r="N2481">
        <v>93.75</v>
      </c>
      <c r="O2481">
        <v>19.31818181818182</v>
      </c>
    </row>
    <row r="2482" spans="1:15" customFormat="1" hidden="1" x14ac:dyDescent="0.25">
      <c r="A2482" s="11">
        <v>46078</v>
      </c>
      <c r="B2482" t="s">
        <v>28</v>
      </c>
      <c r="C2482" t="s">
        <v>26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55"/>
        <v>BOM</v>
      </c>
      <c r="M2482">
        <v>0</v>
      </c>
      <c r="N2482">
        <v>0</v>
      </c>
      <c r="O2482">
        <v>0</v>
      </c>
    </row>
    <row r="2483" spans="1:15" customFormat="1" hidden="1" x14ac:dyDescent="0.25">
      <c r="A2483" s="11">
        <v>46078</v>
      </c>
      <c r="B2483" t="s">
        <v>58</v>
      </c>
      <c r="C2483" t="s">
        <v>48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55"/>
        <v>BOM</v>
      </c>
      <c r="M2483">
        <v>0</v>
      </c>
      <c r="N2483">
        <v>97.92</v>
      </c>
      <c r="O2483">
        <v>32.87671232876712</v>
      </c>
    </row>
    <row r="2484" spans="1:15" customFormat="1" hidden="1" x14ac:dyDescent="0.25">
      <c r="A2484" s="11">
        <v>46078</v>
      </c>
      <c r="B2484" t="s">
        <v>29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55"/>
        <v>BOM</v>
      </c>
      <c r="M2484">
        <v>0</v>
      </c>
      <c r="N2484">
        <v>0</v>
      </c>
      <c r="O2484">
        <v>0</v>
      </c>
    </row>
    <row r="2485" spans="1:15" customFormat="1" hidden="1" x14ac:dyDescent="0.25">
      <c r="A2485" s="11">
        <v>46078</v>
      </c>
      <c r="B2485" t="s">
        <v>30</v>
      </c>
      <c r="C2485" t="s">
        <v>26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55"/>
        <v>BOM</v>
      </c>
      <c r="M2485">
        <v>0</v>
      </c>
      <c r="N2485">
        <v>0</v>
      </c>
      <c r="O2485">
        <v>0</v>
      </c>
    </row>
    <row r="2486" spans="1:15" customFormat="1" hidden="1" x14ac:dyDescent="0.25">
      <c r="A2486" s="11">
        <v>46078</v>
      </c>
      <c r="B2486" t="s">
        <v>21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 t="shared" si="255"/>
        <v>BOM</v>
      </c>
      <c r="M2486">
        <v>0</v>
      </c>
      <c r="N2486">
        <v>0</v>
      </c>
      <c r="O2486">
        <v>0</v>
      </c>
    </row>
    <row r="2487" spans="1:15" customFormat="1" hidden="1" x14ac:dyDescent="0.25">
      <c r="A2487" s="11">
        <v>46078</v>
      </c>
      <c r="B2487" t="s">
        <v>63</v>
      </c>
      <c r="C2487" t="s">
        <v>23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13</v>
      </c>
      <c r="K2487" s="3">
        <f>I2487-J2487</f>
        <v>8</v>
      </c>
      <c r="L2487" s="3" t="str">
        <f t="shared" si="255"/>
        <v>EXCELENTE</v>
      </c>
      <c r="M2487">
        <v>17</v>
      </c>
      <c r="N2487">
        <v>98.51</v>
      </c>
      <c r="O2487">
        <v>29.710144927536231</v>
      </c>
    </row>
    <row r="2488" spans="1:15" customFormat="1" hidden="1" x14ac:dyDescent="0.25">
      <c r="A2488" s="11">
        <v>46078</v>
      </c>
      <c r="B2488" t="s">
        <v>45</v>
      </c>
      <c r="C2488" t="s">
        <v>32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20</v>
      </c>
      <c r="K2488" s="3">
        <f>I2488-J2488</f>
        <v>13</v>
      </c>
      <c r="L2488" s="3" t="str">
        <f t="shared" si="255"/>
        <v>EXCELENTE</v>
      </c>
      <c r="M2488">
        <v>25</v>
      </c>
      <c r="N2488">
        <v>98.81</v>
      </c>
      <c r="O2488">
        <v>30.712979890310791</v>
      </c>
    </row>
    <row r="2489" spans="1:15" customFormat="1" hidden="1" x14ac:dyDescent="0.25">
      <c r="A2489" s="11">
        <v>46078</v>
      </c>
      <c r="B2489" t="s">
        <v>64</v>
      </c>
      <c r="C2489" t="s">
        <v>23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13</v>
      </c>
      <c r="K2489" s="3">
        <f>I2489-J2489</f>
        <v>-8</v>
      </c>
      <c r="L2489" s="3" t="str">
        <f t="shared" si="255"/>
        <v>CRÍTICO</v>
      </c>
      <c r="M2489">
        <v>10</v>
      </c>
      <c r="N2489">
        <v>98.48</v>
      </c>
      <c r="O2489">
        <v>29.35323383084577</v>
      </c>
    </row>
    <row r="2490" spans="1:15" customFormat="1" hidden="1" x14ac:dyDescent="0.25">
      <c r="A2490" s="11">
        <v>46078</v>
      </c>
      <c r="B2490" t="s">
        <v>46</v>
      </c>
      <c r="C2490" t="s">
        <v>32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20</v>
      </c>
      <c r="K2490" s="3">
        <f>I2490-J2490</f>
        <v>6</v>
      </c>
      <c r="L2490" s="3" t="str">
        <f t="shared" si="255"/>
        <v>EXCELENTE</v>
      </c>
      <c r="M2490">
        <v>21</v>
      </c>
      <c r="N2490">
        <v>98.56</v>
      </c>
      <c r="O2490">
        <v>29.373650107991359</v>
      </c>
    </row>
    <row r="2491" spans="1:15" customFormat="1" hidden="1" x14ac:dyDescent="0.25">
      <c r="A2491" s="11">
        <v>46079</v>
      </c>
      <c r="B2491" t="s">
        <v>47</v>
      </c>
      <c r="C2491" t="s">
        <v>48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16</v>
      </c>
      <c r="K2491" s="3">
        <f>I2491-J2491</f>
        <v>3</v>
      </c>
      <c r="L2491" s="3" t="str">
        <f t="shared" si="255"/>
        <v>BOM</v>
      </c>
      <c r="M2491">
        <v>18</v>
      </c>
      <c r="N2491">
        <v>98.32</v>
      </c>
      <c r="O2491">
        <v>30.303030303030301</v>
      </c>
    </row>
    <row r="2492" spans="1:15" customFormat="1" hidden="1" x14ac:dyDescent="0.25">
      <c r="A2492" s="11">
        <v>46079</v>
      </c>
      <c r="B2492" t="s">
        <v>31</v>
      </c>
      <c r="C2492" t="s">
        <v>32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 t="shared" si="255"/>
        <v>BOM</v>
      </c>
      <c r="M2492">
        <v>22</v>
      </c>
      <c r="N2492">
        <v>98.68</v>
      </c>
      <c r="O2492">
        <v>26.219512195121951</v>
      </c>
    </row>
    <row r="2493" spans="1:15" customFormat="1" hidden="1" x14ac:dyDescent="0.25">
      <c r="A2493" s="11">
        <v>46079</v>
      </c>
      <c r="B2493" t="s">
        <v>59</v>
      </c>
      <c r="C2493" t="s">
        <v>23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 t="shared" si="255"/>
        <v>EXCELENTE</v>
      </c>
      <c r="M2493">
        <v>25</v>
      </c>
      <c r="N2493">
        <v>100</v>
      </c>
      <c r="O2493">
        <v>31.74224343675418</v>
      </c>
    </row>
    <row r="2494" spans="1:15" customFormat="1" hidden="1" x14ac:dyDescent="0.25">
      <c r="A2494" s="11">
        <v>46079</v>
      </c>
      <c r="B2494" t="s">
        <v>33</v>
      </c>
      <c r="C2494" t="s">
        <v>32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20</v>
      </c>
      <c r="K2494" s="3">
        <f>I2494-J2494</f>
        <v>0</v>
      </c>
      <c r="L2494" s="3" t="str">
        <f t="shared" si="255"/>
        <v>BOM</v>
      </c>
      <c r="M2494">
        <v>22</v>
      </c>
      <c r="N2494">
        <v>98.25</v>
      </c>
      <c r="O2494">
        <v>25.83518930957684</v>
      </c>
    </row>
    <row r="2495" spans="1:15" customFormat="1" hidden="1" x14ac:dyDescent="0.25">
      <c r="A2495" s="11">
        <v>46079</v>
      </c>
      <c r="B2495" t="s">
        <v>15</v>
      </c>
      <c r="C2495" t="s">
        <v>16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6</v>
      </c>
      <c r="K2495" s="3">
        <f>I2495-J2495</f>
        <v>3</v>
      </c>
      <c r="L2495" s="3" t="str">
        <f t="shared" si="255"/>
        <v>BOM</v>
      </c>
      <c r="M2495">
        <v>11</v>
      </c>
      <c r="N2495">
        <v>97.5</v>
      </c>
      <c r="O2495">
        <v>30.075187969924809</v>
      </c>
    </row>
    <row r="2496" spans="1:15" customFormat="1" hidden="1" x14ac:dyDescent="0.25">
      <c r="A2496" s="11">
        <v>46079</v>
      </c>
      <c r="B2496" t="s">
        <v>49</v>
      </c>
      <c r="C2496" t="s">
        <v>48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10</v>
      </c>
      <c r="L2496" s="3" t="str">
        <f t="shared" si="255"/>
        <v>EXCELENTE</v>
      </c>
      <c r="M2496">
        <v>23</v>
      </c>
      <c r="N2496">
        <v>100</v>
      </c>
      <c r="O2496">
        <v>29.71311475409836</v>
      </c>
    </row>
    <row r="2497" spans="1:15" customFormat="1" hidden="1" x14ac:dyDescent="0.25">
      <c r="A2497" s="11">
        <v>46079</v>
      </c>
      <c r="B2497" t="s">
        <v>50</v>
      </c>
      <c r="C2497" t="s">
        <v>48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16</v>
      </c>
      <c r="K2497" s="3">
        <f>I2497-J2497</f>
        <v>-5</v>
      </c>
      <c r="L2497" s="3" t="str">
        <f t="shared" si="255"/>
        <v>ATENÇÃO</v>
      </c>
      <c r="M2497">
        <v>10</v>
      </c>
      <c r="N2497">
        <v>99.22</v>
      </c>
      <c r="O2497">
        <v>35.256410256410263</v>
      </c>
    </row>
    <row r="2498" spans="1:15" customFormat="1" hidden="1" x14ac:dyDescent="0.25">
      <c r="A2498" s="11">
        <v>46079</v>
      </c>
      <c r="B2498" t="s">
        <v>17</v>
      </c>
      <c r="C2498" t="s">
        <v>16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 t="shared" si="255"/>
        <v>BOM</v>
      </c>
      <c r="M2498">
        <v>0</v>
      </c>
      <c r="N2498">
        <v>0</v>
      </c>
      <c r="O2498">
        <v>0</v>
      </c>
    </row>
    <row r="2499" spans="1:15" customFormat="1" hidden="1" x14ac:dyDescent="0.25">
      <c r="A2499" s="11">
        <v>46079</v>
      </c>
      <c r="B2499" t="s">
        <v>60</v>
      </c>
      <c r="C2499" t="s">
        <v>23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 t="shared" si="255"/>
        <v>BOM</v>
      </c>
      <c r="M2499">
        <v>13</v>
      </c>
      <c r="N2499">
        <v>98.75</v>
      </c>
      <c r="O2499">
        <v>24.32432432432433</v>
      </c>
    </row>
    <row r="2500" spans="1:15" customFormat="1" hidden="1" x14ac:dyDescent="0.25">
      <c r="A2500" s="11">
        <v>46079</v>
      </c>
      <c r="B2500" t="s">
        <v>34</v>
      </c>
      <c r="C2500" t="s">
        <v>32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20</v>
      </c>
      <c r="K2500" s="3">
        <f>I2500-J2500</f>
        <v>1</v>
      </c>
      <c r="L2500" s="3" t="str">
        <f t="shared" si="255"/>
        <v>BOM</v>
      </c>
      <c r="M2500">
        <v>20</v>
      </c>
      <c r="N2500">
        <v>93.48</v>
      </c>
      <c r="O2500">
        <v>31.52804642166344</v>
      </c>
    </row>
    <row r="2501" spans="1:15" customFormat="1" hidden="1" x14ac:dyDescent="0.25">
      <c r="A2501" s="11">
        <v>46079</v>
      </c>
      <c r="B2501" t="s">
        <v>51</v>
      </c>
      <c r="C2501" t="s">
        <v>48</v>
      </c>
      <c r="D2501">
        <v>19</v>
      </c>
      <c r="E2501">
        <v>17</v>
      </c>
      <c r="F2501">
        <v>33.270000000000003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 t="shared" si="255"/>
        <v>BOM</v>
      </c>
      <c r="M2501">
        <v>14</v>
      </c>
      <c r="N2501">
        <v>99.16</v>
      </c>
      <c r="O2501">
        <v>26.13908872901678</v>
      </c>
    </row>
    <row r="2502" spans="1:15" customFormat="1" hidden="1" x14ac:dyDescent="0.25">
      <c r="A2502" s="11">
        <v>46079</v>
      </c>
      <c r="B2502" t="s">
        <v>61</v>
      </c>
      <c r="C2502" t="s">
        <v>23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 t="shared" si="255"/>
        <v>BOM</v>
      </c>
      <c r="M2502">
        <v>8</v>
      </c>
      <c r="N2502">
        <v>100</v>
      </c>
      <c r="O2502">
        <v>31.089743589743591</v>
      </c>
    </row>
    <row r="2503" spans="1:15" customFormat="1" hidden="1" x14ac:dyDescent="0.25">
      <c r="A2503" s="11">
        <v>46079</v>
      </c>
      <c r="B2503" t="s">
        <v>35</v>
      </c>
      <c r="C2503" t="s">
        <v>32</v>
      </c>
      <c r="D2503">
        <v>18</v>
      </c>
      <c r="E2503">
        <v>17</v>
      </c>
      <c r="F2503">
        <v>40.32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 t="shared" ref="L2503:L2566" si="262">IF(K2503&lt;-5,"CRÍTICO",IF(K2503&lt;0,"ATENÇÃO",IF(K2503&lt;=5,"BOM","EXCELENTE")))</f>
        <v>BOM</v>
      </c>
      <c r="M2503">
        <v>18</v>
      </c>
      <c r="N2503">
        <v>98.11</v>
      </c>
      <c r="O2503">
        <v>33.033707865168537</v>
      </c>
    </row>
    <row r="2504" spans="1:15" customFormat="1" hidden="1" x14ac:dyDescent="0.25">
      <c r="A2504" s="11">
        <v>46079</v>
      </c>
      <c r="B2504" t="s">
        <v>18</v>
      </c>
      <c r="C2504" t="s">
        <v>16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ref="I2504:I2512" si="263">E2504+G2504+H2504</f>
        <v>8</v>
      </c>
      <c r="J2504" s="3">
        <f t="shared" ref="J2504:J2512" si="264"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6</v>
      </c>
      <c r="K2504" s="3">
        <f t="shared" ref="K2504:K2512" si="265">I2504-J2504</f>
        <v>2</v>
      </c>
      <c r="L2504" s="3" t="str">
        <f t="shared" si="262"/>
        <v>BOM</v>
      </c>
      <c r="M2504">
        <v>4</v>
      </c>
      <c r="N2504">
        <v>78.95</v>
      </c>
      <c r="O2504">
        <v>38.983050847457633</v>
      </c>
    </row>
    <row r="2505" spans="1:15" customFormat="1" hidden="1" x14ac:dyDescent="0.25">
      <c r="A2505" s="11">
        <v>46079</v>
      </c>
      <c r="B2505" t="s">
        <v>52</v>
      </c>
      <c r="C2505" t="s">
        <v>48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263"/>
        <v>22</v>
      </c>
      <c r="J2505" s="3">
        <f t="shared" si="264"/>
        <v>16</v>
      </c>
      <c r="K2505" s="3">
        <f t="shared" si="265"/>
        <v>6</v>
      </c>
      <c r="L2505" s="3" t="str">
        <f t="shared" si="262"/>
        <v>EXCELENTE</v>
      </c>
      <c r="M2505">
        <v>20</v>
      </c>
      <c r="N2505">
        <v>98.45</v>
      </c>
      <c r="O2505">
        <v>29.281767955801101</v>
      </c>
    </row>
    <row r="2506" spans="1:15" customFormat="1" hidden="1" x14ac:dyDescent="0.25">
      <c r="A2506" s="11">
        <v>46079</v>
      </c>
      <c r="B2506" t="s">
        <v>36</v>
      </c>
      <c r="C2506" t="s">
        <v>32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263"/>
        <v>21</v>
      </c>
      <c r="J2506" s="3">
        <f t="shared" si="264"/>
        <v>20</v>
      </c>
      <c r="K2506" s="3">
        <f t="shared" si="265"/>
        <v>1</v>
      </c>
      <c r="L2506" s="3" t="str">
        <f t="shared" si="262"/>
        <v>BOM</v>
      </c>
      <c r="M2506">
        <v>20</v>
      </c>
      <c r="N2506">
        <v>97.84</v>
      </c>
      <c r="O2506">
        <v>26.282051282051281</v>
      </c>
    </row>
    <row r="2507" spans="1:15" customFormat="1" hidden="1" x14ac:dyDescent="0.25">
      <c r="A2507" s="11">
        <v>46079</v>
      </c>
      <c r="B2507" t="s">
        <v>53</v>
      </c>
      <c r="C2507" t="s">
        <v>48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263"/>
        <v>22</v>
      </c>
      <c r="J2507" s="3">
        <f t="shared" si="264"/>
        <v>16</v>
      </c>
      <c r="K2507" s="3">
        <f t="shared" si="265"/>
        <v>6</v>
      </c>
      <c r="L2507" s="3" t="str">
        <f t="shared" si="262"/>
        <v>EXCELENTE</v>
      </c>
      <c r="M2507">
        <v>19</v>
      </c>
      <c r="N2507">
        <v>98.5</v>
      </c>
      <c r="O2507">
        <v>23.97769516728625</v>
      </c>
    </row>
    <row r="2508" spans="1:15" customFormat="1" hidden="1" x14ac:dyDescent="0.25">
      <c r="A2508" s="11">
        <v>46113</v>
      </c>
      <c r="B2508" t="s">
        <v>22</v>
      </c>
      <c r="C2508" t="s">
        <v>23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 t="shared" si="263"/>
        <v>25</v>
      </c>
      <c r="J2508" s="3">
        <f t="shared" si="264"/>
        <v>21</v>
      </c>
      <c r="K2508" s="3">
        <f t="shared" si="265"/>
        <v>4</v>
      </c>
      <c r="L2508" s="3" t="str">
        <f>IF(K2508&lt;-5,"CRÍTICO",IF(K2508&lt;0,"ATENÇÃO",IF(K2508&lt;=5,"OPORTUNO","MUITO BOM")))</f>
        <v>OPORTUNO</v>
      </c>
      <c r="M2508">
        <v>23</v>
      </c>
      <c r="N2508">
        <v>99.28</v>
      </c>
      <c r="O2508">
        <v>27.689243027888441</v>
      </c>
    </row>
    <row r="2509" spans="1:15" customFormat="1" hidden="1" x14ac:dyDescent="0.25">
      <c r="A2509" s="11">
        <v>46079</v>
      </c>
      <c r="B2509" t="s">
        <v>54</v>
      </c>
      <c r="C2509" t="s">
        <v>48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si="263"/>
        <v>26</v>
      </c>
      <c r="J2509" s="3">
        <f t="shared" si="264"/>
        <v>16</v>
      </c>
      <c r="K2509" s="3">
        <f t="shared" si="265"/>
        <v>10</v>
      </c>
      <c r="L2509" s="3" t="str">
        <f t="shared" ref="L2509:L2551" si="266">IF(K2509&lt;-5,"CRÍTICO",IF(K2509&lt;0,"ATENÇÃO",IF(K2509&lt;=5,"BOM","EXCELENTE")))</f>
        <v>EXCELENTE</v>
      </c>
      <c r="M2509">
        <v>23</v>
      </c>
      <c r="N2509">
        <v>98.53</v>
      </c>
      <c r="O2509">
        <v>31.578947368421051</v>
      </c>
    </row>
    <row r="2510" spans="1:15" customFormat="1" hidden="1" x14ac:dyDescent="0.25">
      <c r="A2510" s="11">
        <v>46079</v>
      </c>
      <c r="B2510" t="s">
        <v>37</v>
      </c>
      <c r="C2510" t="s">
        <v>32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263"/>
        <v>43</v>
      </c>
      <c r="J2510" s="3">
        <f t="shared" si="264"/>
        <v>20</v>
      </c>
      <c r="K2510" s="3">
        <f t="shared" si="265"/>
        <v>23</v>
      </c>
      <c r="L2510" s="3" t="str">
        <f t="shared" si="266"/>
        <v>EXCELENTE</v>
      </c>
      <c r="M2510">
        <v>44</v>
      </c>
      <c r="N2510">
        <v>100</v>
      </c>
      <c r="O2510">
        <v>25.72214580467676</v>
      </c>
    </row>
    <row r="2511" spans="1:15" customFormat="1" hidden="1" x14ac:dyDescent="0.25">
      <c r="A2511" s="11">
        <v>46079</v>
      </c>
      <c r="B2511" t="s">
        <v>38</v>
      </c>
      <c r="C2511" t="s">
        <v>32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263"/>
        <v>18</v>
      </c>
      <c r="J2511" s="3">
        <f t="shared" si="264"/>
        <v>20</v>
      </c>
      <c r="K2511" s="3">
        <f t="shared" si="265"/>
        <v>-2</v>
      </c>
      <c r="L2511" s="3" t="str">
        <f t="shared" si="266"/>
        <v>ATENÇÃO</v>
      </c>
      <c r="M2511">
        <v>15</v>
      </c>
      <c r="N2511">
        <v>94.64</v>
      </c>
      <c r="O2511">
        <v>27.52941176470588</v>
      </c>
    </row>
    <row r="2512" spans="1:15" customFormat="1" hidden="1" x14ac:dyDescent="0.25">
      <c r="A2512" s="11">
        <v>46079</v>
      </c>
      <c r="B2512" t="s">
        <v>55</v>
      </c>
      <c r="C2512" t="s">
        <v>48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263"/>
        <v>12</v>
      </c>
      <c r="J2512" s="3">
        <f t="shared" si="264"/>
        <v>16</v>
      </c>
      <c r="K2512" s="3">
        <f t="shared" si="265"/>
        <v>-4</v>
      </c>
      <c r="L2512" s="3" t="str">
        <f t="shared" si="266"/>
        <v>ATENÇÃO</v>
      </c>
      <c r="M2512">
        <v>11</v>
      </c>
      <c r="N2512">
        <v>99.07</v>
      </c>
      <c r="O2512">
        <v>26.376811594202898</v>
      </c>
    </row>
    <row r="2513" spans="1:15" customFormat="1" hidden="1" x14ac:dyDescent="0.25">
      <c r="A2513" s="11">
        <v>46079</v>
      </c>
      <c r="B2513" t="s">
        <v>39</v>
      </c>
      <c r="C2513" t="s">
        <v>32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 t="shared" si="266"/>
        <v>BOM</v>
      </c>
      <c r="M2513">
        <v>0</v>
      </c>
      <c r="N2513">
        <v>100</v>
      </c>
      <c r="O2513">
        <v>0</v>
      </c>
    </row>
    <row r="2514" spans="1:15" customFormat="1" hidden="1" x14ac:dyDescent="0.25">
      <c r="A2514" s="11">
        <v>46079</v>
      </c>
      <c r="B2514" t="s">
        <v>25</v>
      </c>
      <c r="C2514" t="s">
        <v>26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12</v>
      </c>
      <c r="K2514" s="3">
        <f>I2514-J2514</f>
        <v>5</v>
      </c>
      <c r="L2514" s="3" t="str">
        <f t="shared" si="266"/>
        <v>BOM</v>
      </c>
      <c r="M2514">
        <v>19</v>
      </c>
      <c r="N2514">
        <v>98.48</v>
      </c>
      <c r="O2514">
        <v>27.853881278538811</v>
      </c>
    </row>
    <row r="2515" spans="1:15" customFormat="1" hidden="1" x14ac:dyDescent="0.25">
      <c r="A2515" s="11">
        <v>46079</v>
      </c>
      <c r="B2515" t="s">
        <v>40</v>
      </c>
      <c r="C2515" t="s">
        <v>32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66"/>
        <v>BOM</v>
      </c>
      <c r="M2515">
        <v>6</v>
      </c>
      <c r="N2515">
        <v>95.15</v>
      </c>
      <c r="O2515">
        <v>34.131736526946113</v>
      </c>
    </row>
    <row r="2516" spans="1:15" customFormat="1" hidden="1" x14ac:dyDescent="0.25">
      <c r="A2516" s="11">
        <v>46079</v>
      </c>
      <c r="B2516" t="s">
        <v>27</v>
      </c>
      <c r="C2516" t="s">
        <v>26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 t="shared" si="266"/>
        <v>BOM</v>
      </c>
      <c r="M2516">
        <v>0</v>
      </c>
      <c r="N2516">
        <v>0</v>
      </c>
      <c r="O2516">
        <v>0</v>
      </c>
    </row>
    <row r="2517" spans="1:15" customFormat="1" hidden="1" x14ac:dyDescent="0.25">
      <c r="A2517" s="11">
        <v>46079</v>
      </c>
      <c r="B2517" t="s">
        <v>41</v>
      </c>
      <c r="C2517" t="s">
        <v>32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4</v>
      </c>
      <c r="L2517" s="3" t="str">
        <f t="shared" si="266"/>
        <v>BOM</v>
      </c>
      <c r="M2517">
        <v>23</v>
      </c>
      <c r="N2517">
        <v>99.26</v>
      </c>
      <c r="O2517">
        <v>30.84832904884319</v>
      </c>
    </row>
    <row r="2518" spans="1:15" customFormat="1" hidden="1" x14ac:dyDescent="0.25">
      <c r="A2518" s="11">
        <v>46079</v>
      </c>
      <c r="B2518" t="s">
        <v>56</v>
      </c>
      <c r="C2518" t="s">
        <v>48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16</v>
      </c>
      <c r="K2518" s="3">
        <f>I2518-J2518</f>
        <v>6</v>
      </c>
      <c r="L2518" s="3" t="str">
        <f t="shared" si="266"/>
        <v>EXCELENTE</v>
      </c>
      <c r="M2518">
        <v>19</v>
      </c>
      <c r="N2518">
        <v>97.48</v>
      </c>
      <c r="O2518">
        <v>27.764705882352938</v>
      </c>
    </row>
    <row r="2519" spans="1:15" customFormat="1" hidden="1" x14ac:dyDescent="0.25">
      <c r="A2519" s="11">
        <v>46079</v>
      </c>
      <c r="B2519" t="s">
        <v>57</v>
      </c>
      <c r="C2519" t="s">
        <v>48</v>
      </c>
      <c r="D2519">
        <v>20</v>
      </c>
      <c r="E2519">
        <v>19</v>
      </c>
      <c r="F2519">
        <v>30.22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 t="shared" si="266"/>
        <v>BOM</v>
      </c>
      <c r="M2519">
        <v>22</v>
      </c>
      <c r="N2519">
        <v>99.34</v>
      </c>
      <c r="O2519">
        <v>30.04291845493562</v>
      </c>
    </row>
    <row r="2520" spans="1:15" customFormat="1" hidden="1" x14ac:dyDescent="0.25">
      <c r="A2520" s="11">
        <v>46079</v>
      </c>
      <c r="B2520" t="s">
        <v>42</v>
      </c>
      <c r="C2520" t="s">
        <v>32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ref="I2520:I2525" si="267">E2520+G2520+H2520</f>
        <v>35</v>
      </c>
      <c r="J2520" s="3">
        <f t="shared" ref="J2520:J2525" si="268"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 t="shared" ref="K2520:K2525" si="269">I2520-J2520</f>
        <v>15</v>
      </c>
      <c r="L2520" s="3" t="str">
        <f t="shared" si="266"/>
        <v>EXCELENTE</v>
      </c>
      <c r="M2520">
        <v>18</v>
      </c>
      <c r="N2520">
        <v>96.3</v>
      </c>
      <c r="O2520">
        <v>24.29378531073446</v>
      </c>
    </row>
    <row r="2521" spans="1:15" customFormat="1" hidden="1" x14ac:dyDescent="0.25">
      <c r="A2521" s="11">
        <v>46079</v>
      </c>
      <c r="B2521" t="s">
        <v>62</v>
      </c>
      <c r="C2521" t="s">
        <v>23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267"/>
        <v>14</v>
      </c>
      <c r="J2521" s="3">
        <f t="shared" si="268"/>
        <v>13</v>
      </c>
      <c r="K2521" s="3">
        <f t="shared" si="269"/>
        <v>1</v>
      </c>
      <c r="L2521" s="3" t="str">
        <f t="shared" si="266"/>
        <v>BOM</v>
      </c>
      <c r="M2521">
        <v>12</v>
      </c>
      <c r="N2521">
        <v>100</v>
      </c>
      <c r="O2521">
        <v>26.543209876543209</v>
      </c>
    </row>
    <row r="2522" spans="1:15" customFormat="1" hidden="1" x14ac:dyDescent="0.25">
      <c r="A2522" s="11">
        <v>46079</v>
      </c>
      <c r="B2522" t="s">
        <v>19</v>
      </c>
      <c r="C2522" t="s">
        <v>16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267"/>
        <v>2</v>
      </c>
      <c r="J2522" s="3">
        <f t="shared" si="268"/>
        <v>6</v>
      </c>
      <c r="K2522" s="3">
        <f t="shared" si="269"/>
        <v>-4</v>
      </c>
      <c r="L2522" s="3" t="str">
        <f t="shared" si="266"/>
        <v>ATENÇÃO</v>
      </c>
      <c r="M2522">
        <v>2</v>
      </c>
      <c r="N2522">
        <v>100</v>
      </c>
      <c r="O2522">
        <v>35.483870967741943</v>
      </c>
    </row>
    <row r="2523" spans="1:15" customFormat="1" hidden="1" x14ac:dyDescent="0.25">
      <c r="A2523" s="11">
        <v>46079</v>
      </c>
      <c r="B2523" t="s">
        <v>43</v>
      </c>
      <c r="C2523" t="s">
        <v>32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267"/>
        <v>26</v>
      </c>
      <c r="J2523" s="3">
        <f t="shared" si="268"/>
        <v>20</v>
      </c>
      <c r="K2523" s="3">
        <f t="shared" si="269"/>
        <v>6</v>
      </c>
      <c r="L2523" s="3" t="str">
        <f t="shared" si="266"/>
        <v>EXCELENTE</v>
      </c>
      <c r="M2523">
        <v>25</v>
      </c>
      <c r="N2523">
        <v>99.27</v>
      </c>
      <c r="O2523">
        <v>31.163708086785011</v>
      </c>
    </row>
    <row r="2524" spans="1:15" customFormat="1" hidden="1" x14ac:dyDescent="0.25">
      <c r="A2524" s="11">
        <v>46079</v>
      </c>
      <c r="B2524" t="s">
        <v>44</v>
      </c>
      <c r="C2524" t="s">
        <v>32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267"/>
        <v>28</v>
      </c>
      <c r="J2524" s="3">
        <f t="shared" si="268"/>
        <v>20</v>
      </c>
      <c r="K2524" s="3">
        <f t="shared" si="269"/>
        <v>8</v>
      </c>
      <c r="L2524" s="3" t="str">
        <f t="shared" si="266"/>
        <v>EXCELENTE</v>
      </c>
      <c r="M2524">
        <v>26</v>
      </c>
      <c r="N2524">
        <v>94.16</v>
      </c>
      <c r="O2524">
        <v>27.038626609442058</v>
      </c>
    </row>
    <row r="2525" spans="1:15" customFormat="1" hidden="1" x14ac:dyDescent="0.25">
      <c r="A2525" s="11">
        <v>46079</v>
      </c>
      <c r="B2525" t="s">
        <v>20</v>
      </c>
      <c r="C2525" t="s">
        <v>16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267"/>
        <v>7</v>
      </c>
      <c r="J2525" s="3">
        <f t="shared" si="268"/>
        <v>6</v>
      </c>
      <c r="K2525" s="3">
        <f t="shared" si="269"/>
        <v>1</v>
      </c>
      <c r="L2525" s="3" t="str">
        <f t="shared" si="266"/>
        <v>BOM</v>
      </c>
      <c r="M2525">
        <v>3</v>
      </c>
      <c r="N2525">
        <v>93.75</v>
      </c>
      <c r="O2525">
        <v>19.31818181818182</v>
      </c>
    </row>
    <row r="2526" spans="1:15" customFormat="1" hidden="1" x14ac:dyDescent="0.25">
      <c r="A2526" s="11">
        <v>46079</v>
      </c>
      <c r="B2526" t="s">
        <v>28</v>
      </c>
      <c r="C2526" t="s">
        <v>26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66"/>
        <v>BOM</v>
      </c>
      <c r="M2526">
        <v>0</v>
      </c>
      <c r="N2526">
        <v>0</v>
      </c>
      <c r="O2526">
        <v>0</v>
      </c>
    </row>
    <row r="2527" spans="1:15" customFormat="1" hidden="1" x14ac:dyDescent="0.25">
      <c r="A2527" s="11">
        <v>46079</v>
      </c>
      <c r="B2527" t="s">
        <v>58</v>
      </c>
      <c r="C2527" t="s">
        <v>48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66"/>
        <v>BOM</v>
      </c>
      <c r="M2527">
        <v>0</v>
      </c>
      <c r="N2527">
        <v>97.92</v>
      </c>
      <c r="O2527">
        <v>32.87671232876712</v>
      </c>
    </row>
    <row r="2528" spans="1:15" customFormat="1" hidden="1" x14ac:dyDescent="0.25">
      <c r="A2528" s="11">
        <v>46079</v>
      </c>
      <c r="B2528" t="s">
        <v>29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66"/>
        <v>BOM</v>
      </c>
      <c r="M2528">
        <v>0</v>
      </c>
      <c r="N2528">
        <v>0</v>
      </c>
      <c r="O2528">
        <v>0</v>
      </c>
    </row>
    <row r="2529" spans="1:15" customFormat="1" hidden="1" x14ac:dyDescent="0.25">
      <c r="A2529" s="11">
        <v>46079</v>
      </c>
      <c r="B2529" t="s">
        <v>30</v>
      </c>
      <c r="C2529" t="s">
        <v>26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66"/>
        <v>BOM</v>
      </c>
      <c r="M2529">
        <v>0</v>
      </c>
      <c r="N2529">
        <v>0</v>
      </c>
      <c r="O2529">
        <v>0</v>
      </c>
    </row>
    <row r="2530" spans="1:15" customFormat="1" hidden="1" x14ac:dyDescent="0.25">
      <c r="A2530" s="11">
        <v>46079</v>
      </c>
      <c r="B2530" t="s">
        <v>21</v>
      </c>
      <c r="C2530" t="s">
        <v>16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 t="shared" si="266"/>
        <v>BOM</v>
      </c>
      <c r="M2530">
        <v>0</v>
      </c>
      <c r="N2530">
        <v>0</v>
      </c>
      <c r="O2530">
        <v>0</v>
      </c>
    </row>
    <row r="2531" spans="1:15" customFormat="1" hidden="1" x14ac:dyDescent="0.25">
      <c r="A2531" s="11">
        <v>46079</v>
      </c>
      <c r="B2531" t="s">
        <v>63</v>
      </c>
      <c r="C2531" t="s">
        <v>23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 t="shared" si="266"/>
        <v>BOM</v>
      </c>
      <c r="M2531">
        <v>15</v>
      </c>
      <c r="N2531">
        <v>98.51</v>
      </c>
      <c r="O2531">
        <v>29.710144927536231</v>
      </c>
    </row>
    <row r="2532" spans="1:15" customFormat="1" hidden="1" x14ac:dyDescent="0.25">
      <c r="A2532" s="11">
        <v>46079</v>
      </c>
      <c r="B2532" t="s">
        <v>45</v>
      </c>
      <c r="C2532" t="s">
        <v>32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20</v>
      </c>
      <c r="K2532" s="3">
        <f>I2532-J2532</f>
        <v>9</v>
      </c>
      <c r="L2532" s="3" t="str">
        <f t="shared" si="266"/>
        <v>EXCELENTE</v>
      </c>
      <c r="M2532">
        <v>29</v>
      </c>
      <c r="N2532">
        <v>98.81</v>
      </c>
      <c r="O2532">
        <v>30.712979890310791</v>
      </c>
    </row>
    <row r="2533" spans="1:15" customFormat="1" hidden="1" x14ac:dyDescent="0.25">
      <c r="A2533" s="11">
        <v>46079</v>
      </c>
      <c r="B2533" t="s">
        <v>64</v>
      </c>
      <c r="C2533" t="s">
        <v>23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 t="shared" si="266"/>
        <v>ATENÇÃO</v>
      </c>
      <c r="M2533">
        <v>11</v>
      </c>
      <c r="N2533">
        <v>98.48</v>
      </c>
      <c r="O2533">
        <v>29.35323383084577</v>
      </c>
    </row>
    <row r="2534" spans="1:15" customFormat="1" hidden="1" x14ac:dyDescent="0.25">
      <c r="A2534" s="11">
        <v>46079</v>
      </c>
      <c r="B2534" t="s">
        <v>46</v>
      </c>
      <c r="C2534" t="s">
        <v>32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20</v>
      </c>
      <c r="K2534" s="3">
        <f>I2534-J2534</f>
        <v>0</v>
      </c>
      <c r="L2534" s="3" t="str">
        <f t="shared" si="266"/>
        <v>BOM</v>
      </c>
      <c r="M2534">
        <v>16</v>
      </c>
      <c r="N2534">
        <v>98.56</v>
      </c>
      <c r="O2534">
        <v>29.373650107991359</v>
      </c>
    </row>
    <row r="2535" spans="1:15" customFormat="1" hidden="1" x14ac:dyDescent="0.25">
      <c r="A2535" s="11">
        <v>46080</v>
      </c>
      <c r="B2535" t="s">
        <v>47</v>
      </c>
      <c r="C2535" t="s">
        <v>48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15</v>
      </c>
      <c r="K2535" s="3">
        <f>I2535-J2535</f>
        <v>11</v>
      </c>
      <c r="L2535" s="3" t="str">
        <f t="shared" si="266"/>
        <v>EXCELENTE</v>
      </c>
      <c r="M2535">
        <v>21</v>
      </c>
      <c r="N2535">
        <v>98.32</v>
      </c>
      <c r="O2535">
        <v>30.303030303030301</v>
      </c>
    </row>
    <row r="2536" spans="1:15" customFormat="1" hidden="1" x14ac:dyDescent="0.25">
      <c r="A2536" s="11">
        <v>46080</v>
      </c>
      <c r="B2536" t="s">
        <v>31</v>
      </c>
      <c r="C2536" t="s">
        <v>32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 t="shared" si="266"/>
        <v>BOM</v>
      </c>
      <c r="M2536">
        <v>22</v>
      </c>
      <c r="N2536">
        <v>98.68</v>
      </c>
      <c r="O2536">
        <v>26.219512195121951</v>
      </c>
    </row>
    <row r="2537" spans="1:15" customFormat="1" hidden="1" x14ac:dyDescent="0.25">
      <c r="A2537" s="11">
        <v>46080</v>
      </c>
      <c r="B2537" t="s">
        <v>59</v>
      </c>
      <c r="C2537" t="s">
        <v>23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13</v>
      </c>
      <c r="K2537" s="3">
        <f>I2537-J2537</f>
        <v>7</v>
      </c>
      <c r="L2537" s="3" t="str">
        <f t="shared" si="266"/>
        <v>EXCELENTE</v>
      </c>
      <c r="M2537">
        <v>21</v>
      </c>
      <c r="N2537">
        <v>100</v>
      </c>
      <c r="O2537">
        <v>31.74224343675418</v>
      </c>
    </row>
    <row r="2538" spans="1:15" customFormat="1" hidden="1" x14ac:dyDescent="0.25">
      <c r="A2538" s="11">
        <v>46080</v>
      </c>
      <c r="B2538" t="s">
        <v>33</v>
      </c>
      <c r="C2538" t="s">
        <v>32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19</v>
      </c>
      <c r="K2538" s="3">
        <f>I2538-J2538</f>
        <v>0</v>
      </c>
      <c r="L2538" s="3" t="str">
        <f t="shared" si="266"/>
        <v>BOM</v>
      </c>
      <c r="M2538">
        <v>15</v>
      </c>
      <c r="N2538">
        <v>98.25</v>
      </c>
      <c r="O2538">
        <v>25.83518930957684</v>
      </c>
    </row>
    <row r="2539" spans="1:15" customFormat="1" hidden="1" x14ac:dyDescent="0.25">
      <c r="A2539" s="11">
        <v>46080</v>
      </c>
      <c r="B2539" t="s">
        <v>15</v>
      </c>
      <c r="C2539" t="s">
        <v>16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6</v>
      </c>
      <c r="K2539" s="3">
        <f>I2539-J2539</f>
        <v>5</v>
      </c>
      <c r="L2539" s="3" t="str">
        <f t="shared" si="266"/>
        <v>BOM</v>
      </c>
      <c r="M2539">
        <v>10</v>
      </c>
      <c r="N2539">
        <v>97.5</v>
      </c>
      <c r="O2539">
        <v>30.075187969924809</v>
      </c>
    </row>
    <row r="2540" spans="1:15" customFormat="1" hidden="1" x14ac:dyDescent="0.25">
      <c r="A2540" s="11">
        <v>46080</v>
      </c>
      <c r="B2540" t="s">
        <v>49</v>
      </c>
      <c r="C2540" t="s">
        <v>48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17</v>
      </c>
      <c r="L2540" s="3" t="str">
        <f t="shared" si="266"/>
        <v>EXCELENTE</v>
      </c>
      <c r="M2540">
        <v>28</v>
      </c>
      <c r="N2540">
        <v>100</v>
      </c>
      <c r="O2540">
        <v>29.71311475409836</v>
      </c>
    </row>
    <row r="2541" spans="1:15" customFormat="1" hidden="1" x14ac:dyDescent="0.25">
      <c r="A2541" s="11">
        <v>46080</v>
      </c>
      <c r="B2541" t="s">
        <v>50</v>
      </c>
      <c r="C2541" t="s">
        <v>48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15</v>
      </c>
      <c r="K2541" s="3">
        <f>I2541-J2541</f>
        <v>-8</v>
      </c>
      <c r="L2541" s="3" t="str">
        <f t="shared" si="266"/>
        <v>CRÍTICO</v>
      </c>
      <c r="M2541">
        <v>7</v>
      </c>
      <c r="N2541">
        <v>99.22</v>
      </c>
      <c r="O2541">
        <v>35.256410256410263</v>
      </c>
    </row>
    <row r="2542" spans="1:15" customFormat="1" hidden="1" x14ac:dyDescent="0.25">
      <c r="A2542" s="11">
        <v>46080</v>
      </c>
      <c r="B2542" t="s">
        <v>17</v>
      </c>
      <c r="C2542" t="s">
        <v>16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 t="shared" si="266"/>
        <v>BOM</v>
      </c>
      <c r="M2542">
        <v>0</v>
      </c>
      <c r="N2542">
        <v>0</v>
      </c>
      <c r="O2542">
        <v>0</v>
      </c>
    </row>
    <row r="2543" spans="1:15" customFormat="1" hidden="1" x14ac:dyDescent="0.25">
      <c r="A2543" s="11">
        <v>46080</v>
      </c>
      <c r="B2543" t="s">
        <v>60</v>
      </c>
      <c r="C2543" t="s">
        <v>23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0</v>
      </c>
      <c r="L2543" s="3" t="str">
        <f t="shared" si="266"/>
        <v>BOM</v>
      </c>
      <c r="M2543">
        <v>12</v>
      </c>
      <c r="N2543">
        <v>98.75</v>
      </c>
      <c r="O2543">
        <v>24.32432432432433</v>
      </c>
    </row>
    <row r="2544" spans="1:15" customFormat="1" hidden="1" x14ac:dyDescent="0.25">
      <c r="A2544" s="11">
        <v>46080</v>
      </c>
      <c r="B2544" t="s">
        <v>34</v>
      </c>
      <c r="C2544" t="s">
        <v>32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19</v>
      </c>
      <c r="K2544" s="3">
        <f>I2544-J2544</f>
        <v>8</v>
      </c>
      <c r="L2544" s="3" t="str">
        <f t="shared" si="266"/>
        <v>EXCELENTE</v>
      </c>
      <c r="M2544">
        <v>26</v>
      </c>
      <c r="N2544">
        <v>93.48</v>
      </c>
      <c r="O2544">
        <v>31.52804642166344</v>
      </c>
    </row>
    <row r="2545" spans="1:15" customFormat="1" hidden="1" x14ac:dyDescent="0.25">
      <c r="A2545" s="11">
        <v>46080</v>
      </c>
      <c r="B2545" t="s">
        <v>51</v>
      </c>
      <c r="C2545" t="s">
        <v>48</v>
      </c>
      <c r="D2545">
        <v>25</v>
      </c>
      <c r="E2545">
        <v>22</v>
      </c>
      <c r="F2545">
        <v>25.34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 t="shared" si="266"/>
        <v>BOM</v>
      </c>
      <c r="M2545">
        <v>19</v>
      </c>
      <c r="N2545">
        <v>99.16</v>
      </c>
      <c r="O2545">
        <v>26.13908872901678</v>
      </c>
    </row>
    <row r="2546" spans="1:15" customFormat="1" hidden="1" x14ac:dyDescent="0.25">
      <c r="A2546" s="11">
        <v>46080</v>
      </c>
      <c r="B2546" t="s">
        <v>61</v>
      </c>
      <c r="C2546" t="s">
        <v>23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13</v>
      </c>
      <c r="K2546" s="3">
        <f>I2546-J2546</f>
        <v>-6</v>
      </c>
      <c r="L2546" s="3" t="str">
        <f t="shared" si="266"/>
        <v>CRÍTICO</v>
      </c>
      <c r="M2546">
        <v>3</v>
      </c>
      <c r="N2546">
        <v>100</v>
      </c>
      <c r="O2546">
        <v>31.089743589743591</v>
      </c>
    </row>
    <row r="2547" spans="1:15" customFormat="1" hidden="1" x14ac:dyDescent="0.25">
      <c r="A2547" s="11">
        <v>46080</v>
      </c>
      <c r="B2547" t="s">
        <v>35</v>
      </c>
      <c r="C2547" t="s">
        <v>32</v>
      </c>
      <c r="D2547">
        <v>15</v>
      </c>
      <c r="E2547">
        <v>15</v>
      </c>
      <c r="F2547">
        <v>47.01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 t="shared" si="266"/>
        <v>BOM</v>
      </c>
      <c r="M2547">
        <v>13</v>
      </c>
      <c r="N2547">
        <v>98.11</v>
      </c>
      <c r="O2547">
        <v>33.033707865168537</v>
      </c>
    </row>
    <row r="2548" spans="1:15" customFormat="1" hidden="1" x14ac:dyDescent="0.25">
      <c r="A2548" s="11">
        <v>46080</v>
      </c>
      <c r="B2548" t="s">
        <v>18</v>
      </c>
      <c r="C2548" t="s">
        <v>16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ref="I2548:I2556" si="270">E2548+G2548+H2548</f>
        <v>8</v>
      </c>
      <c r="J2548" s="3">
        <f t="shared" ref="J2548:J2556" si="271"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6</v>
      </c>
      <c r="K2548" s="3">
        <f t="shared" ref="K2548:K2556" si="272">I2548-J2548</f>
        <v>2</v>
      </c>
      <c r="L2548" s="3" t="str">
        <f t="shared" si="266"/>
        <v>BOM</v>
      </c>
      <c r="M2548">
        <v>5</v>
      </c>
      <c r="N2548">
        <v>78.95</v>
      </c>
      <c r="O2548">
        <v>38.983050847457633</v>
      </c>
    </row>
    <row r="2549" spans="1:15" customFormat="1" hidden="1" x14ac:dyDescent="0.25">
      <c r="A2549" s="11">
        <v>46080</v>
      </c>
      <c r="B2549" t="s">
        <v>52</v>
      </c>
      <c r="C2549" t="s">
        <v>48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270"/>
        <v>13</v>
      </c>
      <c r="J2549" s="3">
        <f t="shared" si="271"/>
        <v>15</v>
      </c>
      <c r="K2549" s="3">
        <f t="shared" si="272"/>
        <v>-2</v>
      </c>
      <c r="L2549" s="3" t="str">
        <f t="shared" si="266"/>
        <v>ATENÇÃO</v>
      </c>
      <c r="M2549">
        <v>13</v>
      </c>
      <c r="N2549">
        <v>98.45</v>
      </c>
      <c r="O2549">
        <v>29.281767955801101</v>
      </c>
    </row>
    <row r="2550" spans="1:15" customFormat="1" hidden="1" x14ac:dyDescent="0.25">
      <c r="A2550" s="11">
        <v>46080</v>
      </c>
      <c r="B2550" t="s">
        <v>36</v>
      </c>
      <c r="C2550" t="s">
        <v>32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270"/>
        <v>24</v>
      </c>
      <c r="J2550" s="3">
        <f t="shared" si="271"/>
        <v>19</v>
      </c>
      <c r="K2550" s="3">
        <f t="shared" si="272"/>
        <v>5</v>
      </c>
      <c r="L2550" s="3" t="str">
        <f t="shared" si="266"/>
        <v>BOM</v>
      </c>
      <c r="M2550">
        <v>24</v>
      </c>
      <c r="N2550">
        <v>97.84</v>
      </c>
      <c r="O2550">
        <v>26.282051282051281</v>
      </c>
    </row>
    <row r="2551" spans="1:15" customFormat="1" hidden="1" x14ac:dyDescent="0.25">
      <c r="A2551" s="11">
        <v>46080</v>
      </c>
      <c r="B2551" t="s">
        <v>53</v>
      </c>
      <c r="C2551" t="s">
        <v>48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270"/>
        <v>19</v>
      </c>
      <c r="J2551" s="3">
        <f t="shared" si="271"/>
        <v>15</v>
      </c>
      <c r="K2551" s="3">
        <f t="shared" si="272"/>
        <v>4</v>
      </c>
      <c r="L2551" s="3" t="str">
        <f t="shared" si="266"/>
        <v>BOM</v>
      </c>
      <c r="M2551">
        <v>18</v>
      </c>
      <c r="N2551">
        <v>98.5</v>
      </c>
      <c r="O2551">
        <v>23.97769516728625</v>
      </c>
    </row>
    <row r="2552" spans="1:15" customFormat="1" hidden="1" x14ac:dyDescent="0.25">
      <c r="A2552" s="11">
        <v>46114</v>
      </c>
      <c r="B2552" t="s">
        <v>22</v>
      </c>
      <c r="C2552" t="s">
        <v>23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 t="shared" si="270"/>
        <v>31</v>
      </c>
      <c r="J2552" s="3">
        <f t="shared" si="271"/>
        <v>22</v>
      </c>
      <c r="K2552" s="3">
        <f t="shared" si="272"/>
        <v>9</v>
      </c>
      <c r="L2552" s="3" t="str">
        <f>IF(K2552&lt;-5,"CRÍTICO",IF(K2552&lt;0,"ATENÇÃO",IF(K2552&lt;=5,"OPORTUNO","MUITO BOM")))</f>
        <v>MUITO BOM</v>
      </c>
      <c r="M2552">
        <v>32</v>
      </c>
      <c r="N2552">
        <v>99.28</v>
      </c>
      <c r="O2552">
        <v>27.689243027888441</v>
      </c>
    </row>
    <row r="2553" spans="1:15" customFormat="1" hidden="1" x14ac:dyDescent="0.25">
      <c r="A2553" s="11">
        <v>46080</v>
      </c>
      <c r="B2553" t="s">
        <v>54</v>
      </c>
      <c r="C2553" t="s">
        <v>48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si="270"/>
        <v>21</v>
      </c>
      <c r="J2553" s="3">
        <f t="shared" si="271"/>
        <v>15</v>
      </c>
      <c r="K2553" s="3">
        <f t="shared" si="272"/>
        <v>6</v>
      </c>
      <c r="L2553" s="3" t="str">
        <f t="shared" ref="L2553:L2595" si="273">IF(K2553&lt;-5,"CRÍTICO",IF(K2553&lt;0,"ATENÇÃO",IF(K2553&lt;=5,"BOM","EXCELENTE")))</f>
        <v>EXCELENTE</v>
      </c>
      <c r="M2553">
        <v>19</v>
      </c>
      <c r="N2553">
        <v>98.53</v>
      </c>
      <c r="O2553">
        <v>31.578947368421051</v>
      </c>
    </row>
    <row r="2554" spans="1:15" customFormat="1" hidden="1" x14ac:dyDescent="0.25">
      <c r="A2554" s="11">
        <v>46080</v>
      </c>
      <c r="B2554" t="s">
        <v>37</v>
      </c>
      <c r="C2554" t="s">
        <v>32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270"/>
        <v>23</v>
      </c>
      <c r="J2554" s="3">
        <f t="shared" si="271"/>
        <v>19</v>
      </c>
      <c r="K2554" s="3">
        <f t="shared" si="272"/>
        <v>4</v>
      </c>
      <c r="L2554" s="3" t="str">
        <f t="shared" si="273"/>
        <v>BOM</v>
      </c>
      <c r="M2554">
        <v>24</v>
      </c>
      <c r="N2554">
        <v>100</v>
      </c>
      <c r="O2554">
        <v>25.72214580467676</v>
      </c>
    </row>
    <row r="2555" spans="1:15" customFormat="1" hidden="1" x14ac:dyDescent="0.25">
      <c r="A2555" s="11">
        <v>46080</v>
      </c>
      <c r="B2555" t="s">
        <v>38</v>
      </c>
      <c r="C2555" t="s">
        <v>32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270"/>
        <v>3</v>
      </c>
      <c r="J2555" s="3">
        <f t="shared" si="271"/>
        <v>19</v>
      </c>
      <c r="K2555" s="3">
        <f t="shared" si="272"/>
        <v>-16</v>
      </c>
      <c r="L2555" s="3" t="str">
        <f t="shared" si="273"/>
        <v>CRÍTICO</v>
      </c>
      <c r="M2555">
        <v>2</v>
      </c>
      <c r="N2555">
        <v>94.64</v>
      </c>
      <c r="O2555">
        <v>27.52941176470588</v>
      </c>
    </row>
    <row r="2556" spans="1:15" customFormat="1" hidden="1" x14ac:dyDescent="0.25">
      <c r="A2556" s="11">
        <v>46080</v>
      </c>
      <c r="B2556" t="s">
        <v>55</v>
      </c>
      <c r="C2556" t="s">
        <v>48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270"/>
        <v>15</v>
      </c>
      <c r="J2556" s="3">
        <f t="shared" si="271"/>
        <v>15</v>
      </c>
      <c r="K2556" s="3">
        <f t="shared" si="272"/>
        <v>0</v>
      </c>
      <c r="L2556" s="3" t="str">
        <f t="shared" si="273"/>
        <v>BOM</v>
      </c>
      <c r="M2556">
        <v>14</v>
      </c>
      <c r="N2556">
        <v>99.07</v>
      </c>
      <c r="O2556">
        <v>26.376811594202898</v>
      </c>
    </row>
    <row r="2557" spans="1:15" customFormat="1" hidden="1" x14ac:dyDescent="0.25">
      <c r="A2557" s="11">
        <v>46080</v>
      </c>
      <c r="B2557" t="s">
        <v>39</v>
      </c>
      <c r="C2557" t="s">
        <v>32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 t="shared" si="273"/>
        <v>BOM</v>
      </c>
      <c r="M2557">
        <v>0</v>
      </c>
      <c r="N2557">
        <v>100</v>
      </c>
      <c r="O2557">
        <v>0</v>
      </c>
    </row>
    <row r="2558" spans="1:15" customFormat="1" hidden="1" x14ac:dyDescent="0.25">
      <c r="A2558" s="11">
        <v>46080</v>
      </c>
      <c r="B2558" t="s">
        <v>25</v>
      </c>
      <c r="C2558" t="s">
        <v>26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11</v>
      </c>
      <c r="K2558" s="3">
        <f>I2558-J2558</f>
        <v>-3</v>
      </c>
      <c r="L2558" s="3" t="str">
        <f t="shared" si="273"/>
        <v>ATENÇÃO</v>
      </c>
      <c r="M2558">
        <v>9</v>
      </c>
      <c r="N2558">
        <v>98.48</v>
      </c>
      <c r="O2558">
        <v>27.853881278538811</v>
      </c>
    </row>
    <row r="2559" spans="1:15" customFormat="1" hidden="1" x14ac:dyDescent="0.25">
      <c r="A2559" s="11">
        <v>46080</v>
      </c>
      <c r="B2559" t="s">
        <v>40</v>
      </c>
      <c r="C2559" t="s">
        <v>32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73"/>
        <v>BOM</v>
      </c>
      <c r="M2559">
        <v>21</v>
      </c>
      <c r="N2559">
        <v>95.15</v>
      </c>
      <c r="O2559">
        <v>34.131736526946113</v>
      </c>
    </row>
    <row r="2560" spans="1:15" customFormat="1" hidden="1" x14ac:dyDescent="0.25">
      <c r="A2560" s="11">
        <v>46080</v>
      </c>
      <c r="B2560" t="s">
        <v>27</v>
      </c>
      <c r="C2560" t="s">
        <v>26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 t="shared" si="273"/>
        <v>BOM</v>
      </c>
      <c r="M2560">
        <v>0</v>
      </c>
      <c r="N2560">
        <v>0</v>
      </c>
      <c r="O2560">
        <v>0</v>
      </c>
    </row>
    <row r="2561" spans="1:15" customFormat="1" hidden="1" x14ac:dyDescent="0.25">
      <c r="A2561" s="11">
        <v>46080</v>
      </c>
      <c r="B2561" t="s">
        <v>41</v>
      </c>
      <c r="C2561" t="s">
        <v>32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-3</v>
      </c>
      <c r="L2561" s="3" t="str">
        <f t="shared" si="273"/>
        <v>ATENÇÃO</v>
      </c>
      <c r="M2561">
        <v>13</v>
      </c>
      <c r="N2561">
        <v>99.26</v>
      </c>
      <c r="O2561">
        <v>30.84832904884319</v>
      </c>
    </row>
    <row r="2562" spans="1:15" customFormat="1" hidden="1" x14ac:dyDescent="0.25">
      <c r="A2562" s="11">
        <v>46080</v>
      </c>
      <c r="B2562" t="s">
        <v>56</v>
      </c>
      <c r="C2562" t="s">
        <v>48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15</v>
      </c>
      <c r="K2562" s="3">
        <f>I2562-J2562</f>
        <v>15</v>
      </c>
      <c r="L2562" s="3" t="str">
        <f t="shared" si="273"/>
        <v>EXCELENTE</v>
      </c>
      <c r="M2562">
        <v>20</v>
      </c>
      <c r="N2562">
        <v>97.48</v>
      </c>
      <c r="O2562">
        <v>27.764705882352938</v>
      </c>
    </row>
    <row r="2563" spans="1:15" customFormat="1" hidden="1" x14ac:dyDescent="0.25">
      <c r="A2563" s="11">
        <v>46080</v>
      </c>
      <c r="B2563" t="s">
        <v>57</v>
      </c>
      <c r="C2563" t="s">
        <v>48</v>
      </c>
      <c r="D2563">
        <v>28</v>
      </c>
      <c r="E2563">
        <v>24</v>
      </c>
      <c r="F2563">
        <v>25.3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 t="shared" si="273"/>
        <v>BOM</v>
      </c>
      <c r="M2563">
        <v>21</v>
      </c>
      <c r="N2563">
        <v>99.34</v>
      </c>
      <c r="O2563">
        <v>30.04291845493562</v>
      </c>
    </row>
    <row r="2564" spans="1:15" customFormat="1" hidden="1" x14ac:dyDescent="0.25">
      <c r="A2564" s="11">
        <v>46080</v>
      </c>
      <c r="B2564" t="s">
        <v>42</v>
      </c>
      <c r="C2564" t="s">
        <v>32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ref="I2564:I2569" si="274">E2564+G2564+H2564</f>
        <v>21</v>
      </c>
      <c r="J2564" s="3">
        <f t="shared" ref="J2564:J2569" si="275"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 t="shared" ref="K2564:K2569" si="276">I2564-J2564</f>
        <v>2</v>
      </c>
      <c r="L2564" s="3" t="str">
        <f t="shared" si="273"/>
        <v>BOM</v>
      </c>
      <c r="M2564">
        <v>12</v>
      </c>
      <c r="N2564">
        <v>96.3</v>
      </c>
      <c r="O2564">
        <v>24.29378531073446</v>
      </c>
    </row>
    <row r="2565" spans="1:15" customFormat="1" hidden="1" x14ac:dyDescent="0.25">
      <c r="A2565" s="11">
        <v>46080</v>
      </c>
      <c r="B2565" t="s">
        <v>62</v>
      </c>
      <c r="C2565" t="s">
        <v>23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274"/>
        <v>13</v>
      </c>
      <c r="J2565" s="3">
        <f t="shared" si="275"/>
        <v>13</v>
      </c>
      <c r="K2565" s="3">
        <f t="shared" si="276"/>
        <v>0</v>
      </c>
      <c r="L2565" s="3" t="str">
        <f t="shared" si="273"/>
        <v>BOM</v>
      </c>
      <c r="M2565">
        <v>12</v>
      </c>
      <c r="N2565">
        <v>100</v>
      </c>
      <c r="O2565">
        <v>26.543209876543209</v>
      </c>
    </row>
    <row r="2566" spans="1:15" customFormat="1" hidden="1" x14ac:dyDescent="0.25">
      <c r="A2566" s="11">
        <v>46080</v>
      </c>
      <c r="B2566" t="s">
        <v>19</v>
      </c>
      <c r="C2566" t="s">
        <v>16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274"/>
        <v>14</v>
      </c>
      <c r="J2566" s="3">
        <f t="shared" si="275"/>
        <v>6</v>
      </c>
      <c r="K2566" s="3">
        <f t="shared" si="276"/>
        <v>8</v>
      </c>
      <c r="L2566" s="3" t="str">
        <f t="shared" si="273"/>
        <v>EXCELENTE</v>
      </c>
      <c r="M2566">
        <v>8</v>
      </c>
      <c r="N2566">
        <v>100</v>
      </c>
      <c r="O2566">
        <v>35.483870967741943</v>
      </c>
    </row>
    <row r="2567" spans="1:15" customFormat="1" hidden="1" x14ac:dyDescent="0.25">
      <c r="A2567" s="11">
        <v>46080</v>
      </c>
      <c r="B2567" t="s">
        <v>43</v>
      </c>
      <c r="C2567" t="s">
        <v>32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274"/>
        <v>20</v>
      </c>
      <c r="J2567" s="3">
        <f t="shared" si="275"/>
        <v>19</v>
      </c>
      <c r="K2567" s="3">
        <f t="shared" si="276"/>
        <v>1</v>
      </c>
      <c r="L2567" s="3" t="str">
        <f t="shared" si="273"/>
        <v>BOM</v>
      </c>
      <c r="M2567">
        <v>18</v>
      </c>
      <c r="N2567">
        <v>99.27</v>
      </c>
      <c r="O2567">
        <v>31.163708086785011</v>
      </c>
    </row>
    <row r="2568" spans="1:15" customFormat="1" hidden="1" x14ac:dyDescent="0.25">
      <c r="A2568" s="11">
        <v>46080</v>
      </c>
      <c r="B2568" t="s">
        <v>44</v>
      </c>
      <c r="C2568" t="s">
        <v>32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274"/>
        <v>23</v>
      </c>
      <c r="J2568" s="3">
        <f t="shared" si="275"/>
        <v>19</v>
      </c>
      <c r="K2568" s="3">
        <f t="shared" si="276"/>
        <v>4</v>
      </c>
      <c r="L2568" s="3" t="str">
        <f t="shared" si="273"/>
        <v>BOM</v>
      </c>
      <c r="M2568">
        <v>21</v>
      </c>
      <c r="N2568">
        <v>94.16</v>
      </c>
      <c r="O2568">
        <v>27.038626609442058</v>
      </c>
    </row>
    <row r="2569" spans="1:15" customFormat="1" hidden="1" x14ac:dyDescent="0.25">
      <c r="A2569" s="11">
        <v>46080</v>
      </c>
      <c r="B2569" t="s">
        <v>20</v>
      </c>
      <c r="C2569" t="s">
        <v>16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274"/>
        <v>14</v>
      </c>
      <c r="J2569" s="3">
        <f t="shared" si="275"/>
        <v>6</v>
      </c>
      <c r="K2569" s="3">
        <f t="shared" si="276"/>
        <v>8</v>
      </c>
      <c r="L2569" s="3" t="str">
        <f t="shared" si="273"/>
        <v>EXCELENTE</v>
      </c>
      <c r="M2569">
        <v>7</v>
      </c>
      <c r="N2569">
        <v>93.75</v>
      </c>
      <c r="O2569">
        <v>19.31818181818182</v>
      </c>
    </row>
    <row r="2570" spans="1:15" customFormat="1" hidden="1" x14ac:dyDescent="0.25">
      <c r="A2570" s="11">
        <v>46080</v>
      </c>
      <c r="B2570" t="s">
        <v>28</v>
      </c>
      <c r="C2570" t="s">
        <v>26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73"/>
        <v>BOM</v>
      </c>
      <c r="M2570">
        <v>0</v>
      </c>
      <c r="N2570">
        <v>0</v>
      </c>
      <c r="O2570">
        <v>0</v>
      </c>
    </row>
    <row r="2571" spans="1:15" customFormat="1" hidden="1" x14ac:dyDescent="0.25">
      <c r="A2571" s="11">
        <v>46080</v>
      </c>
      <c r="B2571" t="s">
        <v>58</v>
      </c>
      <c r="C2571" t="s">
        <v>48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73"/>
        <v>BOM</v>
      </c>
      <c r="M2571">
        <v>0</v>
      </c>
      <c r="N2571">
        <v>97.92</v>
      </c>
      <c r="O2571">
        <v>32.87671232876712</v>
      </c>
    </row>
    <row r="2572" spans="1:15" customFormat="1" hidden="1" x14ac:dyDescent="0.25">
      <c r="A2572" s="11">
        <v>46080</v>
      </c>
      <c r="B2572" t="s">
        <v>29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73"/>
        <v>BOM</v>
      </c>
      <c r="M2572">
        <v>0</v>
      </c>
      <c r="N2572">
        <v>0</v>
      </c>
      <c r="O2572">
        <v>0</v>
      </c>
    </row>
    <row r="2573" spans="1:15" customFormat="1" hidden="1" x14ac:dyDescent="0.25">
      <c r="A2573" s="11">
        <v>46080</v>
      </c>
      <c r="B2573" t="s">
        <v>30</v>
      </c>
      <c r="C2573" t="s">
        <v>26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73"/>
        <v>BOM</v>
      </c>
      <c r="M2573">
        <v>0</v>
      </c>
      <c r="N2573">
        <v>0</v>
      </c>
      <c r="O2573">
        <v>0</v>
      </c>
    </row>
    <row r="2574" spans="1:15" customFormat="1" hidden="1" x14ac:dyDescent="0.25">
      <c r="A2574" s="11">
        <v>46080</v>
      </c>
      <c r="B2574" t="s">
        <v>21</v>
      </c>
      <c r="C2574" t="s">
        <v>16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 t="shared" si="273"/>
        <v>BOM</v>
      </c>
      <c r="M2574">
        <v>0</v>
      </c>
      <c r="N2574">
        <v>0</v>
      </c>
      <c r="O2574">
        <v>0</v>
      </c>
    </row>
    <row r="2575" spans="1:15" customFormat="1" hidden="1" x14ac:dyDescent="0.25">
      <c r="A2575" s="11">
        <v>46080</v>
      </c>
      <c r="B2575" t="s">
        <v>63</v>
      </c>
      <c r="C2575" t="s">
        <v>23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13</v>
      </c>
      <c r="K2575" s="3">
        <f>I2575-J2575</f>
        <v>9</v>
      </c>
      <c r="L2575" s="3" t="str">
        <f t="shared" si="273"/>
        <v>EXCELENTE</v>
      </c>
      <c r="M2575">
        <v>20</v>
      </c>
      <c r="N2575">
        <v>98.51</v>
      </c>
      <c r="O2575">
        <v>29.710144927536231</v>
      </c>
    </row>
    <row r="2576" spans="1:15" customFormat="1" hidden="1" x14ac:dyDescent="0.25">
      <c r="A2576" s="11">
        <v>46080</v>
      </c>
      <c r="B2576" t="s">
        <v>45</v>
      </c>
      <c r="C2576" t="s">
        <v>32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19</v>
      </c>
      <c r="K2576" s="3">
        <f>I2576-J2576</f>
        <v>9</v>
      </c>
      <c r="L2576" s="3" t="str">
        <f t="shared" si="273"/>
        <v>EXCELENTE</v>
      </c>
      <c r="M2576">
        <v>23</v>
      </c>
      <c r="N2576">
        <v>98.81</v>
      </c>
      <c r="O2576">
        <v>30.712979890310791</v>
      </c>
    </row>
    <row r="2577" spans="1:15" customFormat="1" hidden="1" x14ac:dyDescent="0.25">
      <c r="A2577" s="11">
        <v>46080</v>
      </c>
      <c r="B2577" t="s">
        <v>64</v>
      </c>
      <c r="C2577" t="s">
        <v>23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13</v>
      </c>
      <c r="K2577" s="3">
        <f>I2577-J2577</f>
        <v>-3</v>
      </c>
      <c r="L2577" s="3" t="str">
        <f t="shared" si="273"/>
        <v>ATENÇÃO</v>
      </c>
      <c r="M2577">
        <v>9</v>
      </c>
      <c r="N2577">
        <v>98.48</v>
      </c>
      <c r="O2577">
        <v>29.35323383084577</v>
      </c>
    </row>
    <row r="2578" spans="1:15" customFormat="1" hidden="1" x14ac:dyDescent="0.25">
      <c r="A2578" s="11">
        <v>46080</v>
      </c>
      <c r="B2578" t="s">
        <v>46</v>
      </c>
      <c r="C2578" t="s">
        <v>32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19</v>
      </c>
      <c r="K2578" s="3">
        <f>I2578-J2578</f>
        <v>-2</v>
      </c>
      <c r="L2578" s="3" t="str">
        <f t="shared" si="273"/>
        <v>ATENÇÃO</v>
      </c>
      <c r="M2578">
        <v>17</v>
      </c>
      <c r="N2578">
        <v>98.56</v>
      </c>
      <c r="O2578">
        <v>29.373650107991359</v>
      </c>
    </row>
    <row r="2579" spans="1:15" customFormat="1" hidden="1" x14ac:dyDescent="0.25">
      <c r="A2579" s="11">
        <v>46083</v>
      </c>
      <c r="B2579" t="s">
        <v>47</v>
      </c>
      <c r="C2579" t="s">
        <v>48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22</v>
      </c>
      <c r="K2579" s="3">
        <f>I2579-J2579</f>
        <v>8</v>
      </c>
      <c r="L2579" s="3" t="str">
        <f t="shared" si="273"/>
        <v>EXCELENTE</v>
      </c>
      <c r="M2579">
        <v>22</v>
      </c>
      <c r="N2579">
        <v>94.29</v>
      </c>
      <c r="O2579">
        <v>25.647668393782389</v>
      </c>
    </row>
    <row r="2580" spans="1:15" customFormat="1" hidden="1" x14ac:dyDescent="0.25">
      <c r="A2580" s="11">
        <v>46083</v>
      </c>
      <c r="B2580" t="s">
        <v>31</v>
      </c>
      <c r="C2580" t="s">
        <v>32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 t="shared" si="273"/>
        <v>BOM</v>
      </c>
      <c r="M2580">
        <v>23</v>
      </c>
      <c r="N2580">
        <v>98.26</v>
      </c>
      <c r="O2580">
        <v>26.666666666666671</v>
      </c>
    </row>
    <row r="2581" spans="1:15" customFormat="1" hidden="1" x14ac:dyDescent="0.25">
      <c r="A2581" s="11">
        <v>46083</v>
      </c>
      <c r="B2581" t="s">
        <v>59</v>
      </c>
      <c r="C2581" t="s">
        <v>23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18</v>
      </c>
      <c r="K2581" s="3">
        <f>I2581-J2581</f>
        <v>2</v>
      </c>
      <c r="L2581" s="3" t="str">
        <f t="shared" si="273"/>
        <v>BOM</v>
      </c>
      <c r="M2581">
        <v>21</v>
      </c>
      <c r="N2581">
        <v>98.2</v>
      </c>
      <c r="O2581">
        <v>23.37962962962963</v>
      </c>
    </row>
    <row r="2582" spans="1:15" customFormat="1" hidden="1" x14ac:dyDescent="0.25">
      <c r="A2582" s="11">
        <v>46083</v>
      </c>
      <c r="B2582" t="s">
        <v>33</v>
      </c>
      <c r="C2582" t="s">
        <v>32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27</v>
      </c>
      <c r="K2582" s="3">
        <f>I2582-J2582</f>
        <v>-3</v>
      </c>
      <c r="L2582" s="3" t="str">
        <f t="shared" si="273"/>
        <v>ATENÇÃO</v>
      </c>
      <c r="M2582">
        <v>19</v>
      </c>
      <c r="N2582">
        <v>97.3</v>
      </c>
      <c r="O2582">
        <v>23.84769539078156</v>
      </c>
    </row>
    <row r="2583" spans="1:15" customFormat="1" hidden="1" x14ac:dyDescent="0.25">
      <c r="A2583" s="11">
        <v>46083</v>
      </c>
      <c r="B2583" t="s">
        <v>15</v>
      </c>
      <c r="C2583" t="s">
        <v>16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 t="shared" si="273"/>
        <v>BOM</v>
      </c>
      <c r="M2583">
        <v>0</v>
      </c>
      <c r="N2583">
        <v>100</v>
      </c>
      <c r="O2583">
        <v>25.268817204301079</v>
      </c>
    </row>
    <row r="2584" spans="1:15" customFormat="1" hidden="1" x14ac:dyDescent="0.25">
      <c r="A2584" s="11">
        <v>46083</v>
      </c>
      <c r="B2584" t="s">
        <v>49</v>
      </c>
      <c r="C2584" t="s">
        <v>48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26</v>
      </c>
      <c r="L2584" s="3" t="str">
        <f t="shared" si="273"/>
        <v>EXCELENTE</v>
      </c>
      <c r="M2584">
        <v>47</v>
      </c>
      <c r="N2584">
        <v>99.32</v>
      </c>
      <c r="O2584">
        <v>22.822822822822818</v>
      </c>
    </row>
    <row r="2585" spans="1:15" customFormat="1" hidden="1" x14ac:dyDescent="0.25">
      <c r="A2585" s="11">
        <v>46083</v>
      </c>
      <c r="B2585" t="s">
        <v>50</v>
      </c>
      <c r="C2585" t="s">
        <v>48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22</v>
      </c>
      <c r="K2585" s="3">
        <f>I2585-J2585</f>
        <v>-2</v>
      </c>
      <c r="L2585" s="3" t="str">
        <f t="shared" si="273"/>
        <v>ATENÇÃO</v>
      </c>
      <c r="M2585">
        <v>19</v>
      </c>
      <c r="N2585">
        <v>100</v>
      </c>
      <c r="O2585">
        <v>27.966101694915249</v>
      </c>
    </row>
    <row r="2586" spans="1:15" customFormat="1" hidden="1" x14ac:dyDescent="0.25">
      <c r="A2586" s="11">
        <v>46083</v>
      </c>
      <c r="B2586" t="s">
        <v>17</v>
      </c>
      <c r="C2586" t="s">
        <v>16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 t="shared" si="273"/>
        <v>BOM</v>
      </c>
      <c r="M2586">
        <v>0</v>
      </c>
      <c r="N2586">
        <v>100</v>
      </c>
      <c r="O2586">
        <v>30.434782608695659</v>
      </c>
    </row>
    <row r="2587" spans="1:15" customFormat="1" hidden="1" x14ac:dyDescent="0.25">
      <c r="A2587" s="11">
        <v>46083</v>
      </c>
      <c r="B2587" t="s">
        <v>60</v>
      </c>
      <c r="C2587" t="s">
        <v>23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3</v>
      </c>
      <c r="L2587" s="3" t="str">
        <f t="shared" si="273"/>
        <v>BOM</v>
      </c>
      <c r="M2587">
        <v>21</v>
      </c>
      <c r="N2587">
        <v>96.51</v>
      </c>
      <c r="O2587">
        <v>22.802850356294542</v>
      </c>
    </row>
    <row r="2588" spans="1:15" customFormat="1" hidden="1" x14ac:dyDescent="0.25">
      <c r="A2588" s="11">
        <v>46083</v>
      </c>
      <c r="B2588" t="s">
        <v>34</v>
      </c>
      <c r="C2588" t="s">
        <v>32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27</v>
      </c>
      <c r="K2588" s="3">
        <f>I2588-J2588</f>
        <v>10</v>
      </c>
      <c r="L2588" s="3" t="str">
        <f t="shared" si="273"/>
        <v>EXCELENTE</v>
      </c>
      <c r="M2588">
        <v>32</v>
      </c>
      <c r="N2588">
        <v>92.68</v>
      </c>
      <c r="O2588">
        <v>27.777777777777779</v>
      </c>
    </row>
    <row r="2589" spans="1:15" customFormat="1" hidden="1" x14ac:dyDescent="0.25">
      <c r="A2589" s="11">
        <v>46083</v>
      </c>
      <c r="B2589" t="s">
        <v>51</v>
      </c>
      <c r="C2589" t="s">
        <v>48</v>
      </c>
      <c r="D2589">
        <v>31</v>
      </c>
      <c r="E2589">
        <v>31</v>
      </c>
      <c r="F2589">
        <v>23.24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 t="shared" si="273"/>
        <v>BOM</v>
      </c>
      <c r="M2589">
        <v>23</v>
      </c>
      <c r="N2589">
        <v>99.03</v>
      </c>
      <c r="O2589">
        <v>23.991507430997881</v>
      </c>
    </row>
    <row r="2590" spans="1:15" customFormat="1" hidden="1" x14ac:dyDescent="0.25">
      <c r="A2590" s="11">
        <v>46083</v>
      </c>
      <c r="B2590" t="s">
        <v>61</v>
      </c>
      <c r="C2590" t="s">
        <v>23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18</v>
      </c>
      <c r="K2590" s="3">
        <f>I2590-J2590</f>
        <v>-12</v>
      </c>
      <c r="L2590" s="3" t="str">
        <f t="shared" si="273"/>
        <v>CRÍTICO</v>
      </c>
      <c r="M2590">
        <v>3</v>
      </c>
      <c r="N2590">
        <v>98.41</v>
      </c>
      <c r="O2590">
        <v>28.138528138528141</v>
      </c>
    </row>
    <row r="2591" spans="1:15" customFormat="1" hidden="1" x14ac:dyDescent="0.25">
      <c r="A2591" s="11">
        <v>46083</v>
      </c>
      <c r="B2591" t="s">
        <v>35</v>
      </c>
      <c r="C2591" t="s">
        <v>32</v>
      </c>
      <c r="D2591">
        <v>30</v>
      </c>
      <c r="E2591">
        <v>30</v>
      </c>
      <c r="F2591">
        <v>26.58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 t="shared" si="273"/>
        <v>BOM</v>
      </c>
      <c r="M2591">
        <v>29</v>
      </c>
      <c r="N2591">
        <v>98.73</v>
      </c>
      <c r="O2591">
        <v>29.142857142857139</v>
      </c>
    </row>
    <row r="2592" spans="1:15" customFormat="1" hidden="1" x14ac:dyDescent="0.25">
      <c r="A2592" s="11">
        <v>46083</v>
      </c>
      <c r="B2592" t="s">
        <v>18</v>
      </c>
      <c r="C2592" t="s">
        <v>16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8</v>
      </c>
      <c r="K2592" s="3">
        <f>I2592-J2592</f>
        <v>0</v>
      </c>
      <c r="L2592" s="3" t="str">
        <f t="shared" si="273"/>
        <v>BOM</v>
      </c>
      <c r="M2592">
        <v>7</v>
      </c>
      <c r="N2592">
        <v>90.48</v>
      </c>
      <c r="O2592">
        <v>20.68965517241379</v>
      </c>
    </row>
    <row r="2593" spans="1:15" customFormat="1" hidden="1" x14ac:dyDescent="0.25">
      <c r="A2593" s="11">
        <v>46083</v>
      </c>
      <c r="B2593" t="s">
        <v>52</v>
      </c>
      <c r="C2593" t="s">
        <v>48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22</v>
      </c>
      <c r="K2593" s="3">
        <f>I2593-J2593</f>
        <v>16</v>
      </c>
      <c r="L2593" s="3" t="str">
        <f t="shared" si="273"/>
        <v>EXCELENTE</v>
      </c>
      <c r="M2593">
        <v>37</v>
      </c>
      <c r="N2593">
        <v>98.06</v>
      </c>
      <c r="O2593">
        <v>24.789915966386559</v>
      </c>
    </row>
    <row r="2594" spans="1:15" customFormat="1" hidden="1" x14ac:dyDescent="0.25">
      <c r="A2594" s="11">
        <v>46083</v>
      </c>
      <c r="B2594" t="s">
        <v>36</v>
      </c>
      <c r="C2594" t="s">
        <v>32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27</v>
      </c>
      <c r="K2594" s="3">
        <f>I2594-J2594</f>
        <v>2</v>
      </c>
      <c r="L2594" s="3" t="str">
        <f t="shared" si="273"/>
        <v>BOM</v>
      </c>
      <c r="M2594">
        <v>30</v>
      </c>
      <c r="N2594">
        <v>97.78</v>
      </c>
      <c r="O2594">
        <v>25.494071146245059</v>
      </c>
    </row>
    <row r="2595" spans="1:15" customFormat="1" hidden="1" x14ac:dyDescent="0.25">
      <c r="A2595" s="11">
        <v>46083</v>
      </c>
      <c r="B2595" t="s">
        <v>53</v>
      </c>
      <c r="C2595" t="s">
        <v>48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22</v>
      </c>
      <c r="K2595" s="3">
        <f>I2595-J2595</f>
        <v>3</v>
      </c>
      <c r="L2595" s="3" t="str">
        <f t="shared" si="273"/>
        <v>BOM</v>
      </c>
      <c r="M2595">
        <v>24</v>
      </c>
      <c r="N2595">
        <v>98.02</v>
      </c>
      <c r="O2595">
        <v>23.484848484848481</v>
      </c>
    </row>
    <row r="2596" spans="1:15" customFormat="1" hidden="1" x14ac:dyDescent="0.25">
      <c r="A2596" s="11">
        <v>46115</v>
      </c>
      <c r="B2596" t="s">
        <v>22</v>
      </c>
      <c r="C2596" t="s">
        <v>23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M2596">
        <v>0</v>
      </c>
      <c r="N2596">
        <v>99.28</v>
      </c>
      <c r="O2596">
        <v>27.689243027888441</v>
      </c>
    </row>
    <row r="2597" spans="1:15" customFormat="1" hidden="1" x14ac:dyDescent="0.25">
      <c r="A2597" s="11">
        <v>46083</v>
      </c>
      <c r="B2597" t="s">
        <v>54</v>
      </c>
      <c r="C2597" t="s">
        <v>48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-2</v>
      </c>
      <c r="L2597" s="3" t="str">
        <f t="shared" ref="L2597:L2639" si="277">IF(K2597&lt;-5,"CRÍTICO",IF(K2597&lt;0,"ATENÇÃO",IF(K2597&lt;=5,"BOM","EXCELENTE")))</f>
        <v>ATENÇÃO</v>
      </c>
      <c r="M2597">
        <v>18</v>
      </c>
      <c r="N2597">
        <v>100</v>
      </c>
      <c r="O2597">
        <v>27.04918032786885</v>
      </c>
    </row>
    <row r="2598" spans="1:15" customFormat="1" hidden="1" x14ac:dyDescent="0.25">
      <c r="A2598" s="11">
        <v>46083</v>
      </c>
      <c r="B2598" t="s">
        <v>37</v>
      </c>
      <c r="C2598" t="s">
        <v>32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8</v>
      </c>
      <c r="L2598" s="3" t="str">
        <f t="shared" si="277"/>
        <v>EXCELENTE</v>
      </c>
      <c r="M2598">
        <v>40</v>
      </c>
      <c r="N2598">
        <v>97.83</v>
      </c>
      <c r="O2598">
        <v>26.315789473684209</v>
      </c>
    </row>
    <row r="2599" spans="1:15" customFormat="1" hidden="1" x14ac:dyDescent="0.25">
      <c r="A2599" s="11">
        <v>46083</v>
      </c>
      <c r="B2599" t="s">
        <v>38</v>
      </c>
      <c r="C2599" t="s">
        <v>32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27</v>
      </c>
      <c r="K2599" s="3">
        <f>I2599-J2599</f>
        <v>-15</v>
      </c>
      <c r="L2599" s="3" t="str">
        <f t="shared" si="277"/>
        <v>CRÍTICO</v>
      </c>
      <c r="M2599">
        <v>12</v>
      </c>
      <c r="N2599">
        <v>100</v>
      </c>
      <c r="O2599">
        <v>26.701570680628269</v>
      </c>
    </row>
    <row r="2600" spans="1:15" customFormat="1" hidden="1" x14ac:dyDescent="0.25">
      <c r="A2600" s="11">
        <v>46083</v>
      </c>
      <c r="B2600" t="s">
        <v>55</v>
      </c>
      <c r="C2600" t="s">
        <v>48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22</v>
      </c>
      <c r="K2600" s="3">
        <f>I2600-J2600</f>
        <v>-3</v>
      </c>
      <c r="L2600" s="3" t="str">
        <f t="shared" si="277"/>
        <v>ATENÇÃO</v>
      </c>
      <c r="M2600">
        <v>18</v>
      </c>
      <c r="N2600">
        <v>97.47</v>
      </c>
      <c r="O2600">
        <v>22.887323943661968</v>
      </c>
    </row>
    <row r="2601" spans="1:15" customFormat="1" hidden="1" x14ac:dyDescent="0.25">
      <c r="A2601" s="11">
        <v>46083</v>
      </c>
      <c r="B2601" t="s">
        <v>39</v>
      </c>
      <c r="C2601" t="s">
        <v>32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 t="shared" si="277"/>
        <v>BOM</v>
      </c>
      <c r="M2601">
        <v>0</v>
      </c>
      <c r="N2601">
        <v>0</v>
      </c>
      <c r="O2601">
        <v>0</v>
      </c>
    </row>
    <row r="2602" spans="1:15" customFormat="1" hidden="1" x14ac:dyDescent="0.25">
      <c r="A2602" s="11">
        <v>46083</v>
      </c>
      <c r="B2602" t="s">
        <v>25</v>
      </c>
      <c r="C2602" t="s">
        <v>26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15</v>
      </c>
      <c r="K2602" s="3">
        <f>I2602-J2602</f>
        <v>2</v>
      </c>
      <c r="L2602" s="3" t="str">
        <f t="shared" si="277"/>
        <v>BOM</v>
      </c>
      <c r="M2602">
        <v>18</v>
      </c>
      <c r="N2602">
        <v>98.31</v>
      </c>
      <c r="O2602">
        <v>24.920127795527151</v>
      </c>
    </row>
    <row r="2603" spans="1:15" customFormat="1" hidden="1" x14ac:dyDescent="0.25">
      <c r="A2603" s="11">
        <v>46083</v>
      </c>
      <c r="B2603" t="s">
        <v>40</v>
      </c>
      <c r="C2603" t="s">
        <v>32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27</v>
      </c>
      <c r="K2603" s="3">
        <f>I2603-J2603</f>
        <v>-7</v>
      </c>
      <c r="L2603" s="3" t="str">
        <f t="shared" si="277"/>
        <v>CRÍTICO</v>
      </c>
      <c r="M2603">
        <v>18</v>
      </c>
      <c r="N2603">
        <v>96.81</v>
      </c>
      <c r="O2603">
        <v>32.365145228215773</v>
      </c>
    </row>
    <row r="2604" spans="1:15" customFormat="1" hidden="1" x14ac:dyDescent="0.25">
      <c r="A2604" s="11">
        <v>46083</v>
      </c>
      <c r="B2604" t="s">
        <v>27</v>
      </c>
      <c r="C2604" t="s">
        <v>26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 t="shared" si="277"/>
        <v>BOM</v>
      </c>
      <c r="M2604">
        <v>0</v>
      </c>
      <c r="N2604">
        <v>100</v>
      </c>
      <c r="O2604">
        <v>26.47058823529412</v>
      </c>
    </row>
    <row r="2605" spans="1:15" customFormat="1" hidden="1" x14ac:dyDescent="0.25">
      <c r="A2605" s="11">
        <v>46083</v>
      </c>
      <c r="B2605" t="s">
        <v>41</v>
      </c>
      <c r="C2605" t="s">
        <v>32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-5</v>
      </c>
      <c r="L2605" s="3" t="str">
        <f t="shared" si="277"/>
        <v>ATENÇÃO</v>
      </c>
      <c r="M2605">
        <v>21</v>
      </c>
      <c r="N2605">
        <v>100</v>
      </c>
      <c r="O2605">
        <v>28.490028490028489</v>
      </c>
    </row>
    <row r="2606" spans="1:15" customFormat="1" hidden="1" x14ac:dyDescent="0.25">
      <c r="A2606" s="11">
        <v>46083</v>
      </c>
      <c r="B2606" t="s">
        <v>56</v>
      </c>
      <c r="C2606" t="s">
        <v>48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22</v>
      </c>
      <c r="K2606" s="3">
        <f>I2606-J2606</f>
        <v>3</v>
      </c>
      <c r="L2606" s="3" t="str">
        <f t="shared" si="277"/>
        <v>BOM</v>
      </c>
      <c r="M2606">
        <v>14</v>
      </c>
      <c r="N2606">
        <v>99.14</v>
      </c>
      <c r="O2606">
        <v>27.2289156626506</v>
      </c>
    </row>
    <row r="2607" spans="1:15" customFormat="1" hidden="1" x14ac:dyDescent="0.25">
      <c r="A2607" s="11">
        <v>46083</v>
      </c>
      <c r="B2607" t="s">
        <v>57</v>
      </c>
      <c r="C2607" t="s">
        <v>48</v>
      </c>
      <c r="D2607">
        <v>32</v>
      </c>
      <c r="E2607">
        <v>30</v>
      </c>
      <c r="F2607">
        <v>18.48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 t="shared" si="277"/>
        <v>BOM</v>
      </c>
      <c r="M2607">
        <v>27</v>
      </c>
      <c r="N2607">
        <v>97.52</v>
      </c>
      <c r="O2607">
        <v>28.205128205128201</v>
      </c>
    </row>
    <row r="2608" spans="1:15" customFormat="1" hidden="1" x14ac:dyDescent="0.25">
      <c r="A2608" s="11">
        <v>46083</v>
      </c>
      <c r="B2608" t="s">
        <v>42</v>
      </c>
      <c r="C2608" t="s">
        <v>32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ref="I2608:I2613" si="278">E2608+G2608+H2608</f>
        <v>28</v>
      </c>
      <c r="J2608" s="3">
        <f t="shared" ref="J2608:J2613" si="279"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27</v>
      </c>
      <c r="K2608" s="3">
        <f t="shared" ref="K2608:K2613" si="280">I2608-J2608</f>
        <v>1</v>
      </c>
      <c r="L2608" s="3" t="str">
        <f t="shared" si="277"/>
        <v>BOM</v>
      </c>
      <c r="M2608">
        <v>22</v>
      </c>
      <c r="N2608">
        <v>90</v>
      </c>
      <c r="O2608">
        <v>24.186046511627911</v>
      </c>
    </row>
    <row r="2609" spans="1:15" customFormat="1" hidden="1" x14ac:dyDescent="0.25">
      <c r="A2609" s="11">
        <v>46083</v>
      </c>
      <c r="B2609" t="s">
        <v>62</v>
      </c>
      <c r="C2609" t="s">
        <v>23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278"/>
        <v>28</v>
      </c>
      <c r="J2609" s="3">
        <f t="shared" si="279"/>
        <v>18</v>
      </c>
      <c r="K2609" s="3">
        <f t="shared" si="280"/>
        <v>10</v>
      </c>
      <c r="L2609" s="3" t="str">
        <f t="shared" si="277"/>
        <v>EXCELENTE</v>
      </c>
      <c r="M2609">
        <v>25</v>
      </c>
      <c r="N2609">
        <v>98.9</v>
      </c>
      <c r="O2609">
        <v>26.763990267639901</v>
      </c>
    </row>
    <row r="2610" spans="1:15" customFormat="1" hidden="1" x14ac:dyDescent="0.25">
      <c r="A2610" s="11">
        <v>46083</v>
      </c>
      <c r="B2610" t="s">
        <v>19</v>
      </c>
      <c r="C2610" t="s">
        <v>16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278"/>
        <v>14</v>
      </c>
      <c r="J2610" s="3">
        <f t="shared" si="279"/>
        <v>8</v>
      </c>
      <c r="K2610" s="3">
        <f t="shared" si="280"/>
        <v>6</v>
      </c>
      <c r="L2610" s="3" t="str">
        <f t="shared" si="277"/>
        <v>EXCELENTE</v>
      </c>
      <c r="M2610">
        <v>11</v>
      </c>
      <c r="N2610">
        <v>88.89</v>
      </c>
      <c r="O2610">
        <v>25.263157894736839</v>
      </c>
    </row>
    <row r="2611" spans="1:15" customFormat="1" hidden="1" x14ac:dyDescent="0.25">
      <c r="A2611" s="11">
        <v>46083</v>
      </c>
      <c r="B2611" t="s">
        <v>43</v>
      </c>
      <c r="C2611" t="s">
        <v>32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278"/>
        <v>38</v>
      </c>
      <c r="J2611" s="3">
        <f t="shared" si="279"/>
        <v>27</v>
      </c>
      <c r="K2611" s="3">
        <f t="shared" si="280"/>
        <v>11</v>
      </c>
      <c r="L2611" s="3" t="str">
        <f t="shared" si="277"/>
        <v>EXCELENTE</v>
      </c>
      <c r="M2611">
        <v>40</v>
      </c>
      <c r="N2611">
        <v>98.86</v>
      </c>
      <c r="O2611">
        <v>28.959276018099551</v>
      </c>
    </row>
    <row r="2612" spans="1:15" customFormat="1" hidden="1" x14ac:dyDescent="0.25">
      <c r="A2612" s="11">
        <v>46083</v>
      </c>
      <c r="B2612" t="s">
        <v>44</v>
      </c>
      <c r="C2612" t="s">
        <v>32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278"/>
        <v>32</v>
      </c>
      <c r="J2612" s="3">
        <f t="shared" si="279"/>
        <v>27</v>
      </c>
      <c r="K2612" s="3">
        <f t="shared" si="280"/>
        <v>5</v>
      </c>
      <c r="L2612" s="3" t="str">
        <f t="shared" si="277"/>
        <v>BOM</v>
      </c>
      <c r="M2612">
        <v>30</v>
      </c>
      <c r="N2612">
        <v>98.06</v>
      </c>
      <c r="O2612">
        <v>22.40566037735849</v>
      </c>
    </row>
    <row r="2613" spans="1:15" customFormat="1" hidden="1" x14ac:dyDescent="0.25">
      <c r="A2613" s="11">
        <v>46083</v>
      </c>
      <c r="B2613" t="s">
        <v>20</v>
      </c>
      <c r="C2613" t="s">
        <v>16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278"/>
        <v>6</v>
      </c>
      <c r="J2613" s="3">
        <f t="shared" si="279"/>
        <v>8</v>
      </c>
      <c r="K2613" s="3">
        <f t="shared" si="280"/>
        <v>-2</v>
      </c>
      <c r="L2613" s="3" t="str">
        <f t="shared" si="277"/>
        <v>ATENÇÃO</v>
      </c>
      <c r="M2613">
        <v>5</v>
      </c>
      <c r="N2613">
        <v>95.83</v>
      </c>
      <c r="O2613">
        <v>25.773195876288661</v>
      </c>
    </row>
    <row r="2614" spans="1:15" customFormat="1" hidden="1" x14ac:dyDescent="0.25">
      <c r="A2614" s="11">
        <v>46083</v>
      </c>
      <c r="B2614" t="s">
        <v>28</v>
      </c>
      <c r="C2614" t="s">
        <v>26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 t="shared" si="277"/>
        <v>BOM</v>
      </c>
      <c r="M2614">
        <v>0</v>
      </c>
      <c r="N2614">
        <v>100</v>
      </c>
      <c r="O2614">
        <v>15.38461538461539</v>
      </c>
    </row>
    <row r="2615" spans="1:15" customFormat="1" hidden="1" x14ac:dyDescent="0.25">
      <c r="A2615" s="11">
        <v>46083</v>
      </c>
      <c r="B2615" t="s">
        <v>58</v>
      </c>
      <c r="C2615" t="s">
        <v>48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22</v>
      </c>
      <c r="K2615" s="3">
        <f>I2615-J2615</f>
        <v>-4</v>
      </c>
      <c r="L2615" s="3" t="str">
        <f t="shared" si="277"/>
        <v>ATENÇÃO</v>
      </c>
      <c r="M2615">
        <v>16</v>
      </c>
      <c r="N2615">
        <v>100</v>
      </c>
      <c r="O2615">
        <v>27.514792899408281</v>
      </c>
    </row>
    <row r="2616" spans="1:15" customFormat="1" hidden="1" x14ac:dyDescent="0.25">
      <c r="A2616" s="11">
        <v>46083</v>
      </c>
      <c r="B2616" t="s">
        <v>29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 t="shared" si="277"/>
        <v>BOM</v>
      </c>
      <c r="M2616">
        <v>0</v>
      </c>
      <c r="N2616">
        <v>100</v>
      </c>
      <c r="O2616">
        <v>24.875621890547269</v>
      </c>
    </row>
    <row r="2617" spans="1:15" customFormat="1" hidden="1" x14ac:dyDescent="0.25">
      <c r="A2617" s="11">
        <v>46083</v>
      </c>
      <c r="B2617" t="s">
        <v>30</v>
      </c>
      <c r="C2617" t="s">
        <v>26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 t="shared" si="277"/>
        <v>BOM</v>
      </c>
      <c r="M2617">
        <v>0</v>
      </c>
      <c r="N2617">
        <v>100</v>
      </c>
      <c r="O2617">
        <v>28.108108108108109</v>
      </c>
    </row>
    <row r="2618" spans="1:15" customFormat="1" hidden="1" x14ac:dyDescent="0.25">
      <c r="A2618" s="11">
        <v>46083</v>
      </c>
      <c r="B2618" t="s">
        <v>21</v>
      </c>
      <c r="C2618" t="s">
        <v>16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 t="shared" si="277"/>
        <v>BOM</v>
      </c>
      <c r="M2618">
        <v>0</v>
      </c>
      <c r="N2618">
        <v>100</v>
      </c>
      <c r="O2618">
        <v>35</v>
      </c>
    </row>
    <row r="2619" spans="1:15" customFormat="1" hidden="1" x14ac:dyDescent="0.25">
      <c r="A2619" s="11">
        <v>46083</v>
      </c>
      <c r="B2619" t="s">
        <v>63</v>
      </c>
      <c r="C2619" t="s">
        <v>23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18</v>
      </c>
      <c r="K2619" s="3">
        <f>I2619-J2619</f>
        <v>7</v>
      </c>
      <c r="L2619" s="3" t="str">
        <f t="shared" si="277"/>
        <v>EXCELENTE</v>
      </c>
      <c r="M2619">
        <v>15</v>
      </c>
      <c r="N2619">
        <v>95.35</v>
      </c>
      <c r="O2619">
        <v>28.61538461538461</v>
      </c>
    </row>
    <row r="2620" spans="1:15" customFormat="1" hidden="1" x14ac:dyDescent="0.25">
      <c r="A2620" s="11">
        <v>46083</v>
      </c>
      <c r="B2620" t="s">
        <v>45</v>
      </c>
      <c r="C2620" t="s">
        <v>32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27</v>
      </c>
      <c r="K2620" s="3">
        <f>I2620-J2620</f>
        <v>17</v>
      </c>
      <c r="L2620" s="3" t="str">
        <f t="shared" si="277"/>
        <v>EXCELENTE</v>
      </c>
      <c r="M2620">
        <v>35</v>
      </c>
      <c r="N2620">
        <v>98.26</v>
      </c>
      <c r="O2620">
        <v>27.54491017964072</v>
      </c>
    </row>
    <row r="2621" spans="1:15" customFormat="1" hidden="1" x14ac:dyDescent="0.25">
      <c r="A2621" s="11">
        <v>46083</v>
      </c>
      <c r="B2621" t="s">
        <v>64</v>
      </c>
      <c r="C2621" t="s">
        <v>23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18</v>
      </c>
      <c r="K2621" s="3">
        <f>I2621-J2621</f>
        <v>-9</v>
      </c>
      <c r="L2621" s="3" t="str">
        <f t="shared" si="277"/>
        <v>CRÍTICO</v>
      </c>
      <c r="M2621">
        <v>9</v>
      </c>
      <c r="N2621">
        <v>98.55</v>
      </c>
      <c r="O2621">
        <v>25.337837837837839</v>
      </c>
    </row>
    <row r="2622" spans="1:15" customFormat="1" hidden="1" x14ac:dyDescent="0.25">
      <c r="A2622" s="11">
        <v>46083</v>
      </c>
      <c r="B2622" t="s">
        <v>46</v>
      </c>
      <c r="C2622" t="s">
        <v>32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27</v>
      </c>
      <c r="K2622" s="3">
        <f>I2622-J2622</f>
        <v>8</v>
      </c>
      <c r="L2622" s="3" t="str">
        <f t="shared" si="277"/>
        <v>EXCELENTE</v>
      </c>
      <c r="M2622">
        <v>29</v>
      </c>
      <c r="N2622">
        <v>98.39</v>
      </c>
      <c r="O2622">
        <v>25.563909774436091</v>
      </c>
    </row>
    <row r="2623" spans="1:15" customFormat="1" hidden="1" x14ac:dyDescent="0.25">
      <c r="A2623" s="11">
        <v>46084</v>
      </c>
      <c r="B2623" t="s">
        <v>47</v>
      </c>
      <c r="C2623" t="s">
        <v>48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22</v>
      </c>
      <c r="K2623" s="3">
        <f>I2623-J2623</f>
        <v>8</v>
      </c>
      <c r="L2623" s="3" t="str">
        <f t="shared" si="277"/>
        <v>EXCELENTE</v>
      </c>
      <c r="M2623">
        <v>22</v>
      </c>
      <c r="N2623">
        <v>94.29</v>
      </c>
      <c r="O2623">
        <v>25.647668393782389</v>
      </c>
    </row>
    <row r="2624" spans="1:15" customFormat="1" hidden="1" x14ac:dyDescent="0.25">
      <c r="A2624" s="11">
        <v>46084</v>
      </c>
      <c r="B2624" t="s">
        <v>31</v>
      </c>
      <c r="C2624" t="s">
        <v>32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 t="shared" si="277"/>
        <v>BOM</v>
      </c>
      <c r="M2624">
        <v>21</v>
      </c>
      <c r="N2624">
        <v>98.26</v>
      </c>
      <c r="O2624">
        <v>26.666666666666671</v>
      </c>
    </row>
    <row r="2625" spans="1:15" customFormat="1" hidden="1" x14ac:dyDescent="0.25">
      <c r="A2625" s="11">
        <v>46084</v>
      </c>
      <c r="B2625" t="s">
        <v>59</v>
      </c>
      <c r="C2625" t="s">
        <v>23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18</v>
      </c>
      <c r="K2625" s="3">
        <f>I2625-J2625</f>
        <v>12</v>
      </c>
      <c r="L2625" s="3" t="str">
        <f t="shared" si="277"/>
        <v>EXCELENTE</v>
      </c>
      <c r="M2625">
        <v>25</v>
      </c>
      <c r="N2625">
        <v>98.2</v>
      </c>
      <c r="O2625">
        <v>23.37962962962963</v>
      </c>
    </row>
    <row r="2626" spans="1:15" customFormat="1" hidden="1" x14ac:dyDescent="0.25">
      <c r="A2626" s="11">
        <v>46084</v>
      </c>
      <c r="B2626" t="s">
        <v>33</v>
      </c>
      <c r="C2626" t="s">
        <v>32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27</v>
      </c>
      <c r="K2626" s="3">
        <f>I2626-J2626</f>
        <v>-3</v>
      </c>
      <c r="L2626" s="3" t="str">
        <f t="shared" si="277"/>
        <v>ATENÇÃO</v>
      </c>
      <c r="M2626">
        <v>32</v>
      </c>
      <c r="N2626">
        <v>97.3</v>
      </c>
      <c r="O2626">
        <v>23.84769539078156</v>
      </c>
    </row>
    <row r="2627" spans="1:15" customFormat="1" hidden="1" x14ac:dyDescent="0.25">
      <c r="A2627" s="11">
        <v>46084</v>
      </c>
      <c r="B2627" t="s">
        <v>15</v>
      </c>
      <c r="C2627" t="s">
        <v>16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8</v>
      </c>
      <c r="K2627" s="3">
        <f>I2627-J2627</f>
        <v>0</v>
      </c>
      <c r="L2627" s="3" t="str">
        <f t="shared" si="277"/>
        <v>BOM</v>
      </c>
      <c r="M2627">
        <v>6</v>
      </c>
      <c r="N2627">
        <v>100</v>
      </c>
      <c r="O2627">
        <v>25.268817204301079</v>
      </c>
    </row>
    <row r="2628" spans="1:15" customFormat="1" hidden="1" x14ac:dyDescent="0.25">
      <c r="A2628" s="11">
        <v>46084</v>
      </c>
      <c r="B2628" t="s">
        <v>49</v>
      </c>
      <c r="C2628" t="s">
        <v>48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22</v>
      </c>
      <c r="K2628" s="3">
        <f>I2628-J2628</f>
        <v>3</v>
      </c>
      <c r="L2628" s="3" t="str">
        <f t="shared" si="277"/>
        <v>BOM</v>
      </c>
      <c r="M2628">
        <v>27</v>
      </c>
      <c r="N2628">
        <v>99.32</v>
      </c>
      <c r="O2628">
        <v>22.822822822822818</v>
      </c>
    </row>
    <row r="2629" spans="1:15" customFormat="1" hidden="1" x14ac:dyDescent="0.25">
      <c r="A2629" s="11">
        <v>46084</v>
      </c>
      <c r="B2629" t="s">
        <v>50</v>
      </c>
      <c r="C2629" t="s">
        <v>48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277"/>
        <v>BOM</v>
      </c>
      <c r="M2629">
        <v>0</v>
      </c>
      <c r="N2629">
        <v>100</v>
      </c>
      <c r="O2629">
        <v>27.966101694915249</v>
      </c>
    </row>
    <row r="2630" spans="1:15" customFormat="1" hidden="1" x14ac:dyDescent="0.25">
      <c r="A2630" s="11">
        <v>46084</v>
      </c>
      <c r="B2630" t="s">
        <v>17</v>
      </c>
      <c r="C2630" t="s">
        <v>16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 t="shared" si="277"/>
        <v>BOM</v>
      </c>
      <c r="M2630">
        <v>0</v>
      </c>
      <c r="N2630">
        <v>100</v>
      </c>
      <c r="O2630">
        <v>30.434782608695659</v>
      </c>
    </row>
    <row r="2631" spans="1:15" customFormat="1" hidden="1" x14ac:dyDescent="0.25">
      <c r="A2631" s="11">
        <v>46084</v>
      </c>
      <c r="B2631" t="s">
        <v>60</v>
      </c>
      <c r="C2631" t="s">
        <v>23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4</v>
      </c>
      <c r="L2631" s="3" t="str">
        <f t="shared" si="277"/>
        <v>BOM</v>
      </c>
      <c r="M2631">
        <v>20</v>
      </c>
      <c r="N2631">
        <v>96.51</v>
      </c>
      <c r="O2631">
        <v>22.802850356294542</v>
      </c>
    </row>
    <row r="2632" spans="1:15" customFormat="1" hidden="1" x14ac:dyDescent="0.25">
      <c r="A2632" s="11">
        <v>46084</v>
      </c>
      <c r="B2632" t="s">
        <v>34</v>
      </c>
      <c r="C2632" t="s">
        <v>32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27</v>
      </c>
      <c r="K2632" s="3">
        <f>I2632-J2632</f>
        <v>7</v>
      </c>
      <c r="L2632" s="3" t="str">
        <f t="shared" si="277"/>
        <v>EXCELENTE</v>
      </c>
      <c r="M2632">
        <v>34</v>
      </c>
      <c r="N2632">
        <v>92.68</v>
      </c>
      <c r="O2632">
        <v>27.777777777777779</v>
      </c>
    </row>
    <row r="2633" spans="1:15" customFormat="1" hidden="1" x14ac:dyDescent="0.25">
      <c r="A2633" s="11">
        <v>46084</v>
      </c>
      <c r="B2633" t="s">
        <v>51</v>
      </c>
      <c r="C2633" t="s">
        <v>48</v>
      </c>
      <c r="D2633">
        <v>27</v>
      </c>
      <c r="E2633">
        <v>25</v>
      </c>
      <c r="F2633">
        <v>25.36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 t="shared" si="277"/>
        <v>BOM</v>
      </c>
      <c r="M2633">
        <v>21</v>
      </c>
      <c r="N2633">
        <v>99.03</v>
      </c>
      <c r="O2633">
        <v>23.991507430997881</v>
      </c>
    </row>
    <row r="2634" spans="1:15" customFormat="1" hidden="1" x14ac:dyDescent="0.25">
      <c r="A2634" s="11">
        <v>46084</v>
      </c>
      <c r="B2634" t="s">
        <v>61</v>
      </c>
      <c r="C2634" t="s">
        <v>23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18</v>
      </c>
      <c r="K2634" s="3">
        <f>I2634-J2634</f>
        <v>16</v>
      </c>
      <c r="L2634" s="3" t="str">
        <f t="shared" si="277"/>
        <v>EXCELENTE</v>
      </c>
      <c r="M2634">
        <v>14</v>
      </c>
      <c r="N2634">
        <v>98.41</v>
      </c>
      <c r="O2634">
        <v>28.138528138528141</v>
      </c>
    </row>
    <row r="2635" spans="1:15" customFormat="1" hidden="1" x14ac:dyDescent="0.25">
      <c r="A2635" s="11">
        <v>46084</v>
      </c>
      <c r="B2635" t="s">
        <v>35</v>
      </c>
      <c r="C2635" t="s">
        <v>32</v>
      </c>
      <c r="D2635">
        <v>32</v>
      </c>
      <c r="E2635">
        <v>32</v>
      </c>
      <c r="F2635">
        <v>24.12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 t="shared" si="277"/>
        <v>BOM</v>
      </c>
      <c r="M2635">
        <v>33</v>
      </c>
      <c r="N2635">
        <v>98.73</v>
      </c>
      <c r="O2635">
        <v>29.142857142857139</v>
      </c>
    </row>
    <row r="2636" spans="1:15" customFormat="1" hidden="1" x14ac:dyDescent="0.25">
      <c r="A2636" s="11">
        <v>46084</v>
      </c>
      <c r="B2636" t="s">
        <v>18</v>
      </c>
      <c r="C2636" t="s">
        <v>16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ref="I2636:I2644" si="281">E2636+G2636+H2636</f>
        <v>5</v>
      </c>
      <c r="J2636" s="3">
        <f t="shared" ref="J2636:J2644" si="282"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8</v>
      </c>
      <c r="K2636" s="3">
        <f t="shared" ref="K2636:K2644" si="283">I2636-J2636</f>
        <v>-3</v>
      </c>
      <c r="L2636" s="3" t="str">
        <f t="shared" si="277"/>
        <v>ATENÇÃO</v>
      </c>
      <c r="M2636">
        <v>3</v>
      </c>
      <c r="N2636">
        <v>90.48</v>
      </c>
      <c r="O2636">
        <v>20.68965517241379</v>
      </c>
    </row>
    <row r="2637" spans="1:15" customFormat="1" hidden="1" x14ac:dyDescent="0.25">
      <c r="A2637" s="11">
        <v>46084</v>
      </c>
      <c r="B2637" t="s">
        <v>52</v>
      </c>
      <c r="C2637" t="s">
        <v>48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281"/>
        <v>43</v>
      </c>
      <c r="J2637" s="3">
        <f t="shared" si="282"/>
        <v>22</v>
      </c>
      <c r="K2637" s="3">
        <f t="shared" si="283"/>
        <v>21</v>
      </c>
      <c r="L2637" s="3" t="str">
        <f t="shared" si="277"/>
        <v>EXCELENTE</v>
      </c>
      <c r="M2637">
        <v>35</v>
      </c>
      <c r="N2637">
        <v>98.06</v>
      </c>
      <c r="O2637">
        <v>24.789915966386559</v>
      </c>
    </row>
    <row r="2638" spans="1:15" customFormat="1" hidden="1" x14ac:dyDescent="0.25">
      <c r="A2638" s="11">
        <v>46084</v>
      </c>
      <c r="B2638" t="s">
        <v>36</v>
      </c>
      <c r="C2638" t="s">
        <v>32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281"/>
        <v>18</v>
      </c>
      <c r="J2638" s="3">
        <f t="shared" si="282"/>
        <v>27</v>
      </c>
      <c r="K2638" s="3">
        <f t="shared" si="283"/>
        <v>-9</v>
      </c>
      <c r="L2638" s="3" t="str">
        <f t="shared" si="277"/>
        <v>CRÍTICO</v>
      </c>
      <c r="M2638">
        <v>22</v>
      </c>
      <c r="N2638">
        <v>97.78</v>
      </c>
      <c r="O2638">
        <v>25.494071146245059</v>
      </c>
    </row>
    <row r="2639" spans="1:15" customFormat="1" hidden="1" x14ac:dyDescent="0.25">
      <c r="A2639" s="11">
        <v>46084</v>
      </c>
      <c r="B2639" t="s">
        <v>53</v>
      </c>
      <c r="C2639" t="s">
        <v>48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281"/>
        <v>34</v>
      </c>
      <c r="J2639" s="3">
        <f t="shared" si="282"/>
        <v>22</v>
      </c>
      <c r="K2639" s="3">
        <f t="shared" si="283"/>
        <v>12</v>
      </c>
      <c r="L2639" s="3" t="str">
        <f t="shared" si="277"/>
        <v>EXCELENTE</v>
      </c>
      <c r="M2639">
        <v>31</v>
      </c>
      <c r="N2639">
        <v>98.02</v>
      </c>
      <c r="O2639">
        <v>23.484848484848481</v>
      </c>
    </row>
    <row r="2640" spans="1:15" customFormat="1" hidden="1" x14ac:dyDescent="0.25">
      <c r="A2640" s="11">
        <v>46118</v>
      </c>
      <c r="B2640" t="s">
        <v>22</v>
      </c>
      <c r="C2640" t="s">
        <v>23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281"/>
        <v>26</v>
      </c>
      <c r="J2640" s="3">
        <f t="shared" si="282"/>
        <v>20</v>
      </c>
      <c r="K2640" s="3">
        <f t="shared" si="283"/>
        <v>6</v>
      </c>
      <c r="L2640" s="3" t="str">
        <f>IF(K2640&lt;-5,"CRÍTICO",IF(K2640&lt;0,"ATENÇÃO",IF(K2640&lt;=5,"OPORTUNO","MUITO BOM")))</f>
        <v>MUITO BOM</v>
      </c>
      <c r="M2640">
        <v>23</v>
      </c>
      <c r="N2640">
        <v>99.28</v>
      </c>
      <c r="O2640">
        <v>27.689243027888441</v>
      </c>
    </row>
    <row r="2641" spans="1:15" customFormat="1" hidden="1" x14ac:dyDescent="0.25">
      <c r="A2641" s="11">
        <v>46084</v>
      </c>
      <c r="B2641" t="s">
        <v>54</v>
      </c>
      <c r="C2641" t="s">
        <v>48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281"/>
        <v>31</v>
      </c>
      <c r="J2641" s="3">
        <f t="shared" si="282"/>
        <v>22</v>
      </c>
      <c r="K2641" s="3">
        <f t="shared" si="283"/>
        <v>9</v>
      </c>
      <c r="L2641" s="3" t="str">
        <f t="shared" ref="L2641:L2683" si="284">IF(K2641&lt;-5,"CRÍTICO",IF(K2641&lt;0,"ATENÇÃO",IF(K2641&lt;=5,"BOM","EXCELENTE")))</f>
        <v>EXCELENTE</v>
      </c>
      <c r="M2641">
        <v>28</v>
      </c>
      <c r="N2641">
        <v>100</v>
      </c>
      <c r="O2641">
        <v>27.04918032786885</v>
      </c>
    </row>
    <row r="2642" spans="1:15" customFormat="1" hidden="1" x14ac:dyDescent="0.25">
      <c r="A2642" s="11">
        <v>46084</v>
      </c>
      <c r="B2642" t="s">
        <v>37</v>
      </c>
      <c r="C2642" t="s">
        <v>32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281"/>
        <v>42</v>
      </c>
      <c r="J2642" s="3">
        <f t="shared" si="282"/>
        <v>27</v>
      </c>
      <c r="K2642" s="3">
        <f t="shared" si="283"/>
        <v>15</v>
      </c>
      <c r="L2642" s="3" t="str">
        <f t="shared" si="284"/>
        <v>EXCELENTE</v>
      </c>
      <c r="M2642">
        <v>41</v>
      </c>
      <c r="N2642">
        <v>97.83</v>
      </c>
      <c r="O2642">
        <v>26.315789473684209</v>
      </c>
    </row>
    <row r="2643" spans="1:15" customFormat="1" hidden="1" x14ac:dyDescent="0.25">
      <c r="A2643" s="11">
        <v>46084</v>
      </c>
      <c r="B2643" t="s">
        <v>38</v>
      </c>
      <c r="C2643" t="s">
        <v>32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si="281"/>
        <v>3</v>
      </c>
      <c r="J2643" s="3">
        <f t="shared" si="282"/>
        <v>27</v>
      </c>
      <c r="K2643" s="3">
        <f t="shared" si="283"/>
        <v>-24</v>
      </c>
      <c r="L2643" s="3" t="str">
        <f t="shared" si="284"/>
        <v>CRÍTICO</v>
      </c>
      <c r="M2643">
        <v>6</v>
      </c>
      <c r="N2643">
        <v>100</v>
      </c>
      <c r="O2643">
        <v>26.701570680628269</v>
      </c>
    </row>
    <row r="2644" spans="1:15" customFormat="1" hidden="1" x14ac:dyDescent="0.25">
      <c r="A2644" s="11">
        <v>46084</v>
      </c>
      <c r="B2644" t="s">
        <v>55</v>
      </c>
      <c r="C2644" t="s">
        <v>48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281"/>
        <v>31</v>
      </c>
      <c r="J2644" s="3">
        <f t="shared" si="282"/>
        <v>22</v>
      </c>
      <c r="K2644" s="3">
        <f t="shared" si="283"/>
        <v>9</v>
      </c>
      <c r="L2644" s="3" t="str">
        <f t="shared" si="284"/>
        <v>EXCELENTE</v>
      </c>
      <c r="M2644">
        <v>29</v>
      </c>
      <c r="N2644">
        <v>97.47</v>
      </c>
      <c r="O2644">
        <v>22.887323943661968</v>
      </c>
    </row>
    <row r="2645" spans="1:15" customFormat="1" hidden="1" x14ac:dyDescent="0.25">
      <c r="A2645" s="11">
        <v>46084</v>
      </c>
      <c r="B2645" t="s">
        <v>39</v>
      </c>
      <c r="C2645" t="s">
        <v>32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 t="shared" si="284"/>
        <v>BOM</v>
      </c>
      <c r="M2645">
        <v>0</v>
      </c>
      <c r="N2645">
        <v>0</v>
      </c>
      <c r="O2645">
        <v>0</v>
      </c>
    </row>
    <row r="2646" spans="1:15" customFormat="1" hidden="1" x14ac:dyDescent="0.25">
      <c r="A2646" s="11">
        <v>46084</v>
      </c>
      <c r="B2646" t="s">
        <v>25</v>
      </c>
      <c r="C2646" t="s">
        <v>26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15</v>
      </c>
      <c r="K2646" s="3">
        <f>I2646-J2646</f>
        <v>-1</v>
      </c>
      <c r="L2646" s="3" t="str">
        <f t="shared" si="284"/>
        <v>ATENÇÃO</v>
      </c>
      <c r="M2646">
        <v>12</v>
      </c>
      <c r="N2646">
        <v>98.31</v>
      </c>
      <c r="O2646">
        <v>24.920127795527151</v>
      </c>
    </row>
    <row r="2647" spans="1:15" customFormat="1" hidden="1" x14ac:dyDescent="0.25">
      <c r="A2647" s="11">
        <v>46084</v>
      </c>
      <c r="B2647" t="s">
        <v>40</v>
      </c>
      <c r="C2647" t="s">
        <v>32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27</v>
      </c>
      <c r="K2647" s="3">
        <f>I2647-J2647</f>
        <v>-25</v>
      </c>
      <c r="L2647" s="3" t="str">
        <f t="shared" si="284"/>
        <v>CRÍTICO</v>
      </c>
      <c r="M2647">
        <v>6</v>
      </c>
      <c r="N2647">
        <v>96.81</v>
      </c>
      <c r="O2647">
        <v>32.365145228215773</v>
      </c>
    </row>
    <row r="2648" spans="1:15" customFormat="1" hidden="1" x14ac:dyDescent="0.25">
      <c r="A2648" s="11">
        <v>46084</v>
      </c>
      <c r="B2648" t="s">
        <v>27</v>
      </c>
      <c r="C2648" t="s">
        <v>26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 t="shared" si="284"/>
        <v>BOM</v>
      </c>
      <c r="M2648">
        <v>0</v>
      </c>
      <c r="N2648">
        <v>100</v>
      </c>
      <c r="O2648">
        <v>26.47058823529412</v>
      </c>
    </row>
    <row r="2649" spans="1:15" customFormat="1" hidden="1" x14ac:dyDescent="0.25">
      <c r="A2649" s="11">
        <v>46084</v>
      </c>
      <c r="B2649" t="s">
        <v>41</v>
      </c>
      <c r="C2649" t="s">
        <v>32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-23</v>
      </c>
      <c r="L2649" s="3" t="str">
        <f t="shared" si="284"/>
        <v>CRÍTICO</v>
      </c>
      <c r="M2649">
        <v>15</v>
      </c>
      <c r="N2649">
        <v>100</v>
      </c>
      <c r="O2649">
        <v>28.490028490028489</v>
      </c>
    </row>
    <row r="2650" spans="1:15" customFormat="1" hidden="1" x14ac:dyDescent="0.25">
      <c r="A2650" s="11">
        <v>46084</v>
      </c>
      <c r="B2650" t="s">
        <v>56</v>
      </c>
      <c r="C2650" t="s">
        <v>48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22</v>
      </c>
      <c r="K2650" s="3">
        <f>I2650-J2650</f>
        <v>3</v>
      </c>
      <c r="L2650" s="3" t="str">
        <f t="shared" si="284"/>
        <v>BOM</v>
      </c>
      <c r="M2650">
        <v>20</v>
      </c>
      <c r="N2650">
        <v>99.14</v>
      </c>
      <c r="O2650">
        <v>27.2289156626506</v>
      </c>
    </row>
    <row r="2651" spans="1:15" customFormat="1" hidden="1" x14ac:dyDescent="0.25">
      <c r="A2651" s="11">
        <v>46084</v>
      </c>
      <c r="B2651" t="s">
        <v>57</v>
      </c>
      <c r="C2651" t="s">
        <v>48</v>
      </c>
      <c r="D2651">
        <v>32</v>
      </c>
      <c r="E2651">
        <v>30</v>
      </c>
      <c r="F2651">
        <v>21.56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 t="shared" si="284"/>
        <v>BOM</v>
      </c>
      <c r="M2651">
        <v>27</v>
      </c>
      <c r="N2651">
        <v>97.52</v>
      </c>
      <c r="O2651">
        <v>28.205128205128201</v>
      </c>
    </row>
    <row r="2652" spans="1:15" customFormat="1" hidden="1" x14ac:dyDescent="0.25">
      <c r="A2652" s="11">
        <v>46084</v>
      </c>
      <c r="B2652" t="s">
        <v>42</v>
      </c>
      <c r="C2652" t="s">
        <v>32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ref="I2652:I2657" si="285">E2652+G2652+H2652</f>
        <v>38</v>
      </c>
      <c r="J2652" s="3">
        <f t="shared" ref="J2652:J2657" si="286"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27</v>
      </c>
      <c r="K2652" s="3">
        <f t="shared" ref="K2652:K2657" si="287">I2652-J2652</f>
        <v>11</v>
      </c>
      <c r="L2652" s="3" t="str">
        <f t="shared" si="284"/>
        <v>EXCELENTE</v>
      </c>
      <c r="M2652">
        <v>19</v>
      </c>
      <c r="N2652">
        <v>90</v>
      </c>
      <c r="O2652">
        <v>24.186046511627911</v>
      </c>
    </row>
    <row r="2653" spans="1:15" customFormat="1" hidden="1" x14ac:dyDescent="0.25">
      <c r="A2653" s="11">
        <v>46084</v>
      </c>
      <c r="B2653" t="s">
        <v>62</v>
      </c>
      <c r="C2653" t="s">
        <v>23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285"/>
        <v>23</v>
      </c>
      <c r="J2653" s="3">
        <f t="shared" si="286"/>
        <v>18</v>
      </c>
      <c r="K2653" s="3">
        <f t="shared" si="287"/>
        <v>5</v>
      </c>
      <c r="L2653" s="3" t="str">
        <f t="shared" si="284"/>
        <v>BOM</v>
      </c>
      <c r="M2653">
        <v>23</v>
      </c>
      <c r="N2653">
        <v>98.9</v>
      </c>
      <c r="O2653">
        <v>26.763990267639901</v>
      </c>
    </row>
    <row r="2654" spans="1:15" customFormat="1" hidden="1" x14ac:dyDescent="0.25">
      <c r="A2654" s="11">
        <v>46084</v>
      </c>
      <c r="B2654" t="s">
        <v>19</v>
      </c>
      <c r="C2654" t="s">
        <v>16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285"/>
        <v>7</v>
      </c>
      <c r="J2654" s="3">
        <f t="shared" si="286"/>
        <v>8</v>
      </c>
      <c r="K2654" s="3">
        <f t="shared" si="287"/>
        <v>-1</v>
      </c>
      <c r="L2654" s="3" t="str">
        <f t="shared" si="284"/>
        <v>ATENÇÃO</v>
      </c>
      <c r="M2654">
        <v>7</v>
      </c>
      <c r="N2654">
        <v>88.89</v>
      </c>
      <c r="O2654">
        <v>25.263157894736839</v>
      </c>
    </row>
    <row r="2655" spans="1:15" customFormat="1" hidden="1" x14ac:dyDescent="0.25">
      <c r="A2655" s="11">
        <v>46084</v>
      </c>
      <c r="B2655" t="s">
        <v>43</v>
      </c>
      <c r="C2655" t="s">
        <v>32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285"/>
        <v>30</v>
      </c>
      <c r="J2655" s="3">
        <f t="shared" si="286"/>
        <v>27</v>
      </c>
      <c r="K2655" s="3">
        <f t="shared" si="287"/>
        <v>3</v>
      </c>
      <c r="L2655" s="3" t="str">
        <f t="shared" si="284"/>
        <v>BOM</v>
      </c>
      <c r="M2655">
        <v>31</v>
      </c>
      <c r="N2655">
        <v>98.86</v>
      </c>
      <c r="O2655">
        <v>28.959276018099551</v>
      </c>
    </row>
    <row r="2656" spans="1:15" customFormat="1" hidden="1" x14ac:dyDescent="0.25">
      <c r="A2656" s="11">
        <v>46084</v>
      </c>
      <c r="B2656" t="s">
        <v>44</v>
      </c>
      <c r="C2656" t="s">
        <v>32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285"/>
        <v>38</v>
      </c>
      <c r="J2656" s="3">
        <f t="shared" si="286"/>
        <v>27</v>
      </c>
      <c r="K2656" s="3">
        <f t="shared" si="287"/>
        <v>11</v>
      </c>
      <c r="L2656" s="3" t="str">
        <f t="shared" si="284"/>
        <v>EXCELENTE</v>
      </c>
      <c r="M2656">
        <v>33</v>
      </c>
      <c r="N2656">
        <v>98.06</v>
      </c>
      <c r="O2656">
        <v>22.40566037735849</v>
      </c>
    </row>
    <row r="2657" spans="1:15" customFormat="1" hidden="1" x14ac:dyDescent="0.25">
      <c r="A2657" s="11">
        <v>46084</v>
      </c>
      <c r="B2657" t="s">
        <v>20</v>
      </c>
      <c r="C2657" t="s">
        <v>16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285"/>
        <v>13</v>
      </c>
      <c r="J2657" s="3">
        <f t="shared" si="286"/>
        <v>8</v>
      </c>
      <c r="K2657" s="3">
        <f t="shared" si="287"/>
        <v>5</v>
      </c>
      <c r="L2657" s="3" t="str">
        <f t="shared" si="284"/>
        <v>BOM</v>
      </c>
      <c r="M2657">
        <v>4</v>
      </c>
      <c r="N2657">
        <v>95.83</v>
      </c>
      <c r="O2657">
        <v>25.773195876288661</v>
      </c>
    </row>
    <row r="2658" spans="1:15" customFormat="1" hidden="1" x14ac:dyDescent="0.25">
      <c r="A2658" s="11">
        <v>46084</v>
      </c>
      <c r="B2658" t="s">
        <v>28</v>
      </c>
      <c r="C2658" t="s">
        <v>26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 t="shared" si="284"/>
        <v>BOM</v>
      </c>
      <c r="M2658">
        <v>0</v>
      </c>
      <c r="N2658">
        <v>100</v>
      </c>
      <c r="O2658">
        <v>15.38461538461539</v>
      </c>
    </row>
    <row r="2659" spans="1:15" customFormat="1" hidden="1" x14ac:dyDescent="0.25">
      <c r="A2659" s="11">
        <v>46084</v>
      </c>
      <c r="B2659" t="s">
        <v>58</v>
      </c>
      <c r="C2659" t="s">
        <v>48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22</v>
      </c>
      <c r="K2659" s="3">
        <f>I2659-J2659</f>
        <v>2</v>
      </c>
      <c r="L2659" s="3" t="str">
        <f t="shared" si="284"/>
        <v>BOM</v>
      </c>
      <c r="M2659">
        <v>18</v>
      </c>
      <c r="N2659">
        <v>100</v>
      </c>
      <c r="O2659">
        <v>27.514792899408281</v>
      </c>
    </row>
    <row r="2660" spans="1:15" customFormat="1" hidden="1" x14ac:dyDescent="0.25">
      <c r="A2660" s="11">
        <v>46084</v>
      </c>
      <c r="B2660" t="s">
        <v>29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 t="shared" si="284"/>
        <v>BOM</v>
      </c>
      <c r="M2660">
        <v>0</v>
      </c>
      <c r="N2660">
        <v>100</v>
      </c>
      <c r="O2660">
        <v>24.875621890547269</v>
      </c>
    </row>
    <row r="2661" spans="1:15" customFormat="1" hidden="1" x14ac:dyDescent="0.25">
      <c r="A2661" s="11">
        <v>46084</v>
      </c>
      <c r="B2661" t="s">
        <v>30</v>
      </c>
      <c r="C2661" t="s">
        <v>26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 t="shared" si="284"/>
        <v>BOM</v>
      </c>
      <c r="M2661">
        <v>0</v>
      </c>
      <c r="N2661">
        <v>100</v>
      </c>
      <c r="O2661">
        <v>28.108108108108109</v>
      </c>
    </row>
    <row r="2662" spans="1:15" customFormat="1" hidden="1" x14ac:dyDescent="0.25">
      <c r="A2662" s="11">
        <v>46084</v>
      </c>
      <c r="B2662" t="s">
        <v>21</v>
      </c>
      <c r="C2662" t="s">
        <v>16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 t="shared" si="284"/>
        <v>BOM</v>
      </c>
      <c r="M2662">
        <v>0</v>
      </c>
      <c r="N2662">
        <v>100</v>
      </c>
      <c r="O2662">
        <v>35</v>
      </c>
    </row>
    <row r="2663" spans="1:15" customFormat="1" hidden="1" x14ac:dyDescent="0.25">
      <c r="A2663" s="11">
        <v>46084</v>
      </c>
      <c r="B2663" t="s">
        <v>63</v>
      </c>
      <c r="C2663" t="s">
        <v>23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18</v>
      </c>
      <c r="K2663" s="3">
        <f>I2663-J2663</f>
        <v>20</v>
      </c>
      <c r="L2663" s="3" t="str">
        <f t="shared" si="284"/>
        <v>EXCELENTE</v>
      </c>
      <c r="M2663">
        <v>29</v>
      </c>
      <c r="N2663">
        <v>95.35</v>
      </c>
      <c r="O2663">
        <v>28.61538461538461</v>
      </c>
    </row>
    <row r="2664" spans="1:15" customFormat="1" hidden="1" x14ac:dyDescent="0.25">
      <c r="A2664" s="11">
        <v>46084</v>
      </c>
      <c r="B2664" t="s">
        <v>45</v>
      </c>
      <c r="C2664" t="s">
        <v>32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27</v>
      </c>
      <c r="K2664" s="3">
        <f>I2664-J2664</f>
        <v>9</v>
      </c>
      <c r="L2664" s="3" t="str">
        <f t="shared" si="284"/>
        <v>EXCELENTE</v>
      </c>
      <c r="M2664">
        <v>32</v>
      </c>
      <c r="N2664">
        <v>98.26</v>
      </c>
      <c r="O2664">
        <v>27.54491017964072</v>
      </c>
    </row>
    <row r="2665" spans="1:15" customFormat="1" hidden="1" x14ac:dyDescent="0.25">
      <c r="A2665" s="11">
        <v>46084</v>
      </c>
      <c r="B2665" t="s">
        <v>64</v>
      </c>
      <c r="C2665" t="s">
        <v>23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18</v>
      </c>
      <c r="K2665" s="3">
        <f>I2665-J2665</f>
        <v>2</v>
      </c>
      <c r="L2665" s="3" t="str">
        <f t="shared" si="284"/>
        <v>BOM</v>
      </c>
      <c r="M2665">
        <v>18</v>
      </c>
      <c r="N2665">
        <v>98.55</v>
      </c>
      <c r="O2665">
        <v>25.337837837837839</v>
      </c>
    </row>
    <row r="2666" spans="1:15" customFormat="1" hidden="1" x14ac:dyDescent="0.25">
      <c r="A2666" s="11">
        <v>46084</v>
      </c>
      <c r="B2666" t="s">
        <v>46</v>
      </c>
      <c r="C2666" t="s">
        <v>32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27</v>
      </c>
      <c r="K2666" s="3">
        <f>I2666-J2666</f>
        <v>3</v>
      </c>
      <c r="L2666" s="3" t="str">
        <f t="shared" si="284"/>
        <v>BOM</v>
      </c>
      <c r="M2666">
        <v>31</v>
      </c>
      <c r="N2666">
        <v>98.39</v>
      </c>
      <c r="O2666">
        <v>25.563909774436091</v>
      </c>
    </row>
    <row r="2667" spans="1:15" customFormat="1" hidden="1" x14ac:dyDescent="0.25">
      <c r="A2667" s="11">
        <v>46085</v>
      </c>
      <c r="B2667" t="s">
        <v>47</v>
      </c>
      <c r="C2667" t="s">
        <v>48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21</v>
      </c>
      <c r="K2667" s="3">
        <f>I2667-J2667</f>
        <v>1</v>
      </c>
      <c r="L2667" s="3" t="str">
        <f t="shared" si="284"/>
        <v>BOM</v>
      </c>
      <c r="M2667">
        <v>20</v>
      </c>
      <c r="N2667">
        <v>94.29</v>
      </c>
      <c r="O2667">
        <v>25.647668393782389</v>
      </c>
    </row>
    <row r="2668" spans="1:15" customFormat="1" hidden="1" x14ac:dyDescent="0.25">
      <c r="A2668" s="11">
        <v>46085</v>
      </c>
      <c r="B2668" t="s">
        <v>31</v>
      </c>
      <c r="C2668" t="s">
        <v>32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 t="shared" si="284"/>
        <v>BOM</v>
      </c>
      <c r="M2668">
        <v>20</v>
      </c>
      <c r="N2668">
        <v>98.26</v>
      </c>
      <c r="O2668">
        <v>26.666666666666671</v>
      </c>
    </row>
    <row r="2669" spans="1:15" customFormat="1" hidden="1" x14ac:dyDescent="0.25">
      <c r="A2669" s="11">
        <v>46085</v>
      </c>
      <c r="B2669" t="s">
        <v>59</v>
      </c>
      <c r="C2669" t="s">
        <v>23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17</v>
      </c>
      <c r="K2669" s="3">
        <f>I2669-J2669</f>
        <v>3</v>
      </c>
      <c r="L2669" s="3" t="str">
        <f t="shared" si="284"/>
        <v>BOM</v>
      </c>
      <c r="M2669">
        <v>20</v>
      </c>
      <c r="N2669">
        <v>98.2</v>
      </c>
      <c r="O2669">
        <v>23.37962962962963</v>
      </c>
    </row>
    <row r="2670" spans="1:15" customFormat="1" hidden="1" x14ac:dyDescent="0.25">
      <c r="A2670" s="11">
        <v>46085</v>
      </c>
      <c r="B2670" t="s">
        <v>33</v>
      </c>
      <c r="C2670" t="s">
        <v>32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26</v>
      </c>
      <c r="K2670" s="3">
        <f>I2670-J2670</f>
        <v>4</v>
      </c>
      <c r="L2670" s="3" t="str">
        <f t="shared" si="284"/>
        <v>BOM</v>
      </c>
      <c r="M2670">
        <v>30</v>
      </c>
      <c r="N2670">
        <v>97.3</v>
      </c>
      <c r="O2670">
        <v>23.84769539078156</v>
      </c>
    </row>
    <row r="2671" spans="1:15" customFormat="1" hidden="1" x14ac:dyDescent="0.25">
      <c r="A2671" s="11">
        <v>46085</v>
      </c>
      <c r="B2671" t="s">
        <v>15</v>
      </c>
      <c r="C2671" t="s">
        <v>16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8</v>
      </c>
      <c r="K2671" s="3">
        <f>I2671-J2671</f>
        <v>-2</v>
      </c>
      <c r="L2671" s="3" t="str">
        <f t="shared" si="284"/>
        <v>ATENÇÃO</v>
      </c>
      <c r="M2671">
        <v>6</v>
      </c>
      <c r="N2671">
        <v>100</v>
      </c>
      <c r="O2671">
        <v>25.268817204301079</v>
      </c>
    </row>
    <row r="2672" spans="1:15" customFormat="1" hidden="1" x14ac:dyDescent="0.25">
      <c r="A2672" s="11">
        <v>46085</v>
      </c>
      <c r="B2672" t="s">
        <v>49</v>
      </c>
      <c r="C2672" t="s">
        <v>48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21</v>
      </c>
      <c r="K2672" s="3">
        <f>I2672-J2672</f>
        <v>11</v>
      </c>
      <c r="L2672" s="3" t="str">
        <f t="shared" si="284"/>
        <v>EXCELENTE</v>
      </c>
      <c r="M2672">
        <v>32</v>
      </c>
      <c r="N2672">
        <v>99.32</v>
      </c>
      <c r="O2672">
        <v>22.822822822822818</v>
      </c>
    </row>
    <row r="2673" spans="1:15" customFormat="1" hidden="1" x14ac:dyDescent="0.25">
      <c r="A2673" s="11">
        <v>46085</v>
      </c>
      <c r="B2673" t="s">
        <v>50</v>
      </c>
      <c r="C2673" t="s">
        <v>48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284"/>
        <v>BOM</v>
      </c>
      <c r="M2673">
        <v>0</v>
      </c>
      <c r="N2673">
        <v>100</v>
      </c>
      <c r="O2673">
        <v>27.966101694915249</v>
      </c>
    </row>
    <row r="2674" spans="1:15" customFormat="1" hidden="1" x14ac:dyDescent="0.25">
      <c r="A2674" s="11">
        <v>46085</v>
      </c>
      <c r="B2674" t="s">
        <v>17</v>
      </c>
      <c r="C2674" t="s">
        <v>16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 t="shared" si="284"/>
        <v>BOM</v>
      </c>
      <c r="M2674">
        <v>0</v>
      </c>
      <c r="N2674">
        <v>100</v>
      </c>
      <c r="O2674">
        <v>30.434782608695659</v>
      </c>
    </row>
    <row r="2675" spans="1:15" customFormat="1" hidden="1" x14ac:dyDescent="0.25">
      <c r="A2675" s="11">
        <v>46085</v>
      </c>
      <c r="B2675" t="s">
        <v>60</v>
      </c>
      <c r="C2675" t="s">
        <v>23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1</v>
      </c>
      <c r="L2675" s="3" t="str">
        <f t="shared" si="284"/>
        <v>BOM</v>
      </c>
      <c r="M2675">
        <v>17</v>
      </c>
      <c r="N2675">
        <v>96.51</v>
      </c>
      <c r="O2675">
        <v>22.802850356294542</v>
      </c>
    </row>
    <row r="2676" spans="1:15" customFormat="1" hidden="1" x14ac:dyDescent="0.25">
      <c r="A2676" s="11">
        <v>46085</v>
      </c>
      <c r="B2676" t="s">
        <v>34</v>
      </c>
      <c r="C2676" t="s">
        <v>32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26</v>
      </c>
      <c r="K2676" s="3">
        <f>I2676-J2676</f>
        <v>12</v>
      </c>
      <c r="L2676" s="3" t="str">
        <f t="shared" si="284"/>
        <v>EXCELENTE</v>
      </c>
      <c r="M2676">
        <v>34</v>
      </c>
      <c r="N2676">
        <v>92.68</v>
      </c>
      <c r="O2676">
        <v>27.777777777777779</v>
      </c>
    </row>
    <row r="2677" spans="1:15" customFormat="1" hidden="1" x14ac:dyDescent="0.25">
      <c r="A2677" s="11">
        <v>46085</v>
      </c>
      <c r="B2677" t="s">
        <v>51</v>
      </c>
      <c r="C2677" t="s">
        <v>48</v>
      </c>
      <c r="D2677">
        <v>34</v>
      </c>
      <c r="E2677">
        <v>34</v>
      </c>
      <c r="F2677">
        <v>20.57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 t="shared" si="284"/>
        <v>BOM</v>
      </c>
      <c r="M2677">
        <v>29</v>
      </c>
      <c r="N2677">
        <v>99.03</v>
      </c>
      <c r="O2677">
        <v>23.991507430997881</v>
      </c>
    </row>
    <row r="2678" spans="1:15" customFormat="1" hidden="1" x14ac:dyDescent="0.25">
      <c r="A2678" s="11">
        <v>46085</v>
      </c>
      <c r="B2678" t="s">
        <v>61</v>
      </c>
      <c r="C2678" t="s">
        <v>23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17</v>
      </c>
      <c r="K2678" s="3">
        <f>I2678-J2678</f>
        <v>8</v>
      </c>
      <c r="L2678" s="3" t="str">
        <f t="shared" si="284"/>
        <v>EXCELENTE</v>
      </c>
      <c r="M2678">
        <v>14</v>
      </c>
      <c r="N2678">
        <v>98.41</v>
      </c>
      <c r="O2678">
        <v>28.138528138528141</v>
      </c>
    </row>
    <row r="2679" spans="1:15" customFormat="1" hidden="1" x14ac:dyDescent="0.25">
      <c r="A2679" s="11">
        <v>46085</v>
      </c>
      <c r="B2679" t="s">
        <v>35</v>
      </c>
      <c r="C2679" t="s">
        <v>32</v>
      </c>
      <c r="D2679">
        <v>33</v>
      </c>
      <c r="E2679">
        <v>31</v>
      </c>
      <c r="F2679">
        <v>23.38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 t="shared" si="284"/>
        <v>BOM</v>
      </c>
      <c r="M2679">
        <v>32</v>
      </c>
      <c r="N2679">
        <v>98.73</v>
      </c>
      <c r="O2679">
        <v>29.142857142857139</v>
      </c>
    </row>
    <row r="2680" spans="1:15" customFormat="1" hidden="1" x14ac:dyDescent="0.25">
      <c r="A2680" s="11">
        <v>46085</v>
      </c>
      <c r="B2680" t="s">
        <v>18</v>
      </c>
      <c r="C2680" t="s">
        <v>16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ref="I2680:I2688" si="288">E2680+G2680+H2680</f>
        <v>10</v>
      </c>
      <c r="J2680" s="3">
        <f t="shared" ref="J2680:J2688" si="289"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8</v>
      </c>
      <c r="K2680" s="3">
        <f t="shared" ref="K2680:K2688" si="290">I2680-J2680</f>
        <v>2</v>
      </c>
      <c r="L2680" s="3" t="str">
        <f t="shared" si="284"/>
        <v>BOM</v>
      </c>
      <c r="M2680">
        <v>7</v>
      </c>
      <c r="N2680">
        <v>90.48</v>
      </c>
      <c r="O2680">
        <v>20.68965517241379</v>
      </c>
    </row>
    <row r="2681" spans="1:15" customFormat="1" hidden="1" x14ac:dyDescent="0.25">
      <c r="A2681" s="11">
        <v>46085</v>
      </c>
      <c r="B2681" t="s">
        <v>52</v>
      </c>
      <c r="C2681" t="s">
        <v>48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288"/>
        <v>21</v>
      </c>
      <c r="J2681" s="3">
        <f t="shared" si="289"/>
        <v>21</v>
      </c>
      <c r="K2681" s="3">
        <f t="shared" si="290"/>
        <v>0</v>
      </c>
      <c r="L2681" s="3" t="str">
        <f t="shared" si="284"/>
        <v>BOM</v>
      </c>
      <c r="M2681">
        <v>20</v>
      </c>
      <c r="N2681">
        <v>98.06</v>
      </c>
      <c r="O2681">
        <v>24.789915966386559</v>
      </c>
    </row>
    <row r="2682" spans="1:15" customFormat="1" hidden="1" x14ac:dyDescent="0.25">
      <c r="A2682" s="11">
        <v>46085</v>
      </c>
      <c r="B2682" t="s">
        <v>36</v>
      </c>
      <c r="C2682" t="s">
        <v>32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288"/>
        <v>29</v>
      </c>
      <c r="J2682" s="3">
        <f t="shared" si="289"/>
        <v>26</v>
      </c>
      <c r="K2682" s="3">
        <f t="shared" si="290"/>
        <v>3</v>
      </c>
      <c r="L2682" s="3" t="str">
        <f t="shared" si="284"/>
        <v>BOM</v>
      </c>
      <c r="M2682">
        <v>33</v>
      </c>
      <c r="N2682">
        <v>97.78</v>
      </c>
      <c r="O2682">
        <v>25.494071146245059</v>
      </c>
    </row>
    <row r="2683" spans="1:15" customFormat="1" hidden="1" x14ac:dyDescent="0.25">
      <c r="A2683" s="11">
        <v>46085</v>
      </c>
      <c r="B2683" t="s">
        <v>53</v>
      </c>
      <c r="C2683" t="s">
        <v>48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288"/>
        <v>35</v>
      </c>
      <c r="J2683" s="3">
        <f t="shared" si="289"/>
        <v>21</v>
      </c>
      <c r="K2683" s="3">
        <f t="shared" si="290"/>
        <v>14</v>
      </c>
      <c r="L2683" s="3" t="str">
        <f t="shared" si="284"/>
        <v>EXCELENTE</v>
      </c>
      <c r="M2683">
        <v>34</v>
      </c>
      <c r="N2683">
        <v>98.02</v>
      </c>
      <c r="O2683">
        <v>23.484848484848481</v>
      </c>
    </row>
    <row r="2684" spans="1:15" customFormat="1" hidden="1" x14ac:dyDescent="0.25">
      <c r="A2684" s="11">
        <v>46119</v>
      </c>
      <c r="B2684" t="s">
        <v>22</v>
      </c>
      <c r="C2684" t="s">
        <v>23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si="288"/>
        <v>25</v>
      </c>
      <c r="J2684" s="3">
        <f t="shared" si="289"/>
        <v>21</v>
      </c>
      <c r="K2684" s="3">
        <f t="shared" si="290"/>
        <v>4</v>
      </c>
      <c r="L2684" s="3" t="str">
        <f>IF(K2684&lt;-5,"CRÍTICO",IF(K2684&lt;0,"ATENÇÃO",IF(K2684&lt;=5,"OPORTUNO","MUITO BOM")))</f>
        <v>OPORTUNO</v>
      </c>
      <c r="M2684">
        <v>23</v>
      </c>
      <c r="N2684">
        <v>99.28</v>
      </c>
      <c r="O2684">
        <v>27.689243027888441</v>
      </c>
    </row>
    <row r="2685" spans="1:15" customFormat="1" hidden="1" x14ac:dyDescent="0.25">
      <c r="A2685" s="11">
        <v>46085</v>
      </c>
      <c r="B2685" t="s">
        <v>54</v>
      </c>
      <c r="C2685" t="s">
        <v>48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288"/>
        <v>30</v>
      </c>
      <c r="J2685" s="3">
        <f t="shared" si="289"/>
        <v>21</v>
      </c>
      <c r="K2685" s="3">
        <f t="shared" si="290"/>
        <v>9</v>
      </c>
      <c r="L2685" s="3" t="str">
        <f t="shared" ref="L2685:L2727" si="291">IF(K2685&lt;-5,"CRÍTICO",IF(K2685&lt;0,"ATENÇÃO",IF(K2685&lt;=5,"BOM","EXCELENTE")))</f>
        <v>EXCELENTE</v>
      </c>
      <c r="M2685">
        <v>25</v>
      </c>
      <c r="N2685">
        <v>100</v>
      </c>
      <c r="O2685">
        <v>27.04918032786885</v>
      </c>
    </row>
    <row r="2686" spans="1:15" customFormat="1" hidden="1" x14ac:dyDescent="0.25">
      <c r="A2686" s="11">
        <v>46085</v>
      </c>
      <c r="B2686" t="s">
        <v>37</v>
      </c>
      <c r="C2686" t="s">
        <v>32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288"/>
        <v>40</v>
      </c>
      <c r="J2686" s="3">
        <f t="shared" si="289"/>
        <v>26</v>
      </c>
      <c r="K2686" s="3">
        <f t="shared" si="290"/>
        <v>14</v>
      </c>
      <c r="L2686" s="3" t="str">
        <f t="shared" si="291"/>
        <v>EXCELENTE</v>
      </c>
      <c r="M2686">
        <v>40</v>
      </c>
      <c r="N2686">
        <v>97.83</v>
      </c>
      <c r="O2686">
        <v>26.315789473684209</v>
      </c>
    </row>
    <row r="2687" spans="1:15" customFormat="1" hidden="1" x14ac:dyDescent="0.25">
      <c r="A2687" s="11">
        <v>46085</v>
      </c>
      <c r="B2687" t="s">
        <v>38</v>
      </c>
      <c r="C2687" t="s">
        <v>32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288"/>
        <v>15</v>
      </c>
      <c r="J2687" s="3">
        <f t="shared" si="289"/>
        <v>26</v>
      </c>
      <c r="K2687" s="3">
        <f t="shared" si="290"/>
        <v>-11</v>
      </c>
      <c r="L2687" s="3" t="str">
        <f t="shared" si="291"/>
        <v>CRÍTICO</v>
      </c>
      <c r="M2687">
        <v>14</v>
      </c>
      <c r="N2687">
        <v>100</v>
      </c>
      <c r="O2687">
        <v>26.701570680628269</v>
      </c>
    </row>
    <row r="2688" spans="1:15" customFormat="1" hidden="1" x14ac:dyDescent="0.25">
      <c r="A2688" s="11">
        <v>46085</v>
      </c>
      <c r="B2688" t="s">
        <v>55</v>
      </c>
      <c r="C2688" t="s">
        <v>48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288"/>
        <v>26</v>
      </c>
      <c r="J2688" s="3">
        <f t="shared" si="289"/>
        <v>21</v>
      </c>
      <c r="K2688" s="3">
        <f t="shared" si="290"/>
        <v>5</v>
      </c>
      <c r="L2688" s="3" t="str">
        <f t="shared" si="291"/>
        <v>BOM</v>
      </c>
      <c r="M2688">
        <v>19</v>
      </c>
      <c r="N2688">
        <v>97.47</v>
      </c>
      <c r="O2688">
        <v>22.887323943661968</v>
      </c>
    </row>
    <row r="2689" spans="1:15" customFormat="1" hidden="1" x14ac:dyDescent="0.25">
      <c r="A2689" s="11">
        <v>46085</v>
      </c>
      <c r="B2689" t="s">
        <v>39</v>
      </c>
      <c r="C2689" t="s">
        <v>32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 t="shared" si="291"/>
        <v>BOM</v>
      </c>
      <c r="M2689">
        <v>0</v>
      </c>
      <c r="N2689">
        <v>0</v>
      </c>
      <c r="O2689">
        <v>0</v>
      </c>
    </row>
    <row r="2690" spans="1:15" customFormat="1" hidden="1" x14ac:dyDescent="0.25">
      <c r="A2690" s="11">
        <v>46085</v>
      </c>
      <c r="B2690" t="s">
        <v>25</v>
      </c>
      <c r="C2690" t="s">
        <v>26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15</v>
      </c>
      <c r="K2690" s="3">
        <f>I2690-J2690</f>
        <v>3</v>
      </c>
      <c r="L2690" s="3" t="str">
        <f t="shared" si="291"/>
        <v>BOM</v>
      </c>
      <c r="M2690">
        <v>17</v>
      </c>
      <c r="N2690">
        <v>98.31</v>
      </c>
      <c r="O2690">
        <v>24.920127795527151</v>
      </c>
    </row>
    <row r="2691" spans="1:15" customFormat="1" hidden="1" x14ac:dyDescent="0.25">
      <c r="A2691" s="11">
        <v>46085</v>
      </c>
      <c r="B2691" t="s">
        <v>40</v>
      </c>
      <c r="C2691" t="s">
        <v>32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291"/>
        <v>BOM</v>
      </c>
      <c r="M2691">
        <v>14</v>
      </c>
      <c r="N2691">
        <v>96.81</v>
      </c>
      <c r="O2691">
        <v>32.365145228215773</v>
      </c>
    </row>
    <row r="2692" spans="1:15" customFormat="1" hidden="1" x14ac:dyDescent="0.25">
      <c r="A2692" s="11">
        <v>46085</v>
      </c>
      <c r="B2692" t="s">
        <v>27</v>
      </c>
      <c r="C2692" t="s">
        <v>26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291"/>
        <v>BOM</v>
      </c>
      <c r="M2692">
        <v>0</v>
      </c>
      <c r="N2692">
        <v>100</v>
      </c>
      <c r="O2692">
        <v>26.47058823529412</v>
      </c>
    </row>
    <row r="2693" spans="1:15" customFormat="1" hidden="1" x14ac:dyDescent="0.25">
      <c r="A2693" s="11">
        <v>46085</v>
      </c>
      <c r="B2693" t="s">
        <v>41</v>
      </c>
      <c r="C2693" t="s">
        <v>32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 t="shared" si="291"/>
        <v>BOM</v>
      </c>
      <c r="M2693">
        <v>5</v>
      </c>
      <c r="N2693">
        <v>100</v>
      </c>
      <c r="O2693">
        <v>28.490028490028489</v>
      </c>
    </row>
    <row r="2694" spans="1:15" customFormat="1" hidden="1" x14ac:dyDescent="0.25">
      <c r="A2694" s="11">
        <v>46085</v>
      </c>
      <c r="B2694" t="s">
        <v>56</v>
      </c>
      <c r="C2694" t="s">
        <v>48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21</v>
      </c>
      <c r="K2694" s="3">
        <f>I2694-J2694</f>
        <v>-2</v>
      </c>
      <c r="L2694" s="3" t="str">
        <f t="shared" si="291"/>
        <v>ATENÇÃO</v>
      </c>
      <c r="M2694">
        <v>19</v>
      </c>
      <c r="N2694">
        <v>99.14</v>
      </c>
      <c r="O2694">
        <v>27.2289156626506</v>
      </c>
    </row>
    <row r="2695" spans="1:15" customFormat="1" hidden="1" x14ac:dyDescent="0.25">
      <c r="A2695" s="11">
        <v>46085</v>
      </c>
      <c r="B2695" t="s">
        <v>57</v>
      </c>
      <c r="C2695" t="s">
        <v>48</v>
      </c>
      <c r="D2695">
        <v>23</v>
      </c>
      <c r="E2695">
        <v>23</v>
      </c>
      <c r="F2695">
        <v>30.42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 t="shared" si="291"/>
        <v>BOM</v>
      </c>
      <c r="M2695">
        <v>20</v>
      </c>
      <c r="N2695">
        <v>97.52</v>
      </c>
      <c r="O2695">
        <v>28.205128205128201</v>
      </c>
    </row>
    <row r="2696" spans="1:15" customFormat="1" hidden="1" x14ac:dyDescent="0.25">
      <c r="A2696" s="11">
        <v>46085</v>
      </c>
      <c r="B2696" t="s">
        <v>42</v>
      </c>
      <c r="C2696" t="s">
        <v>32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ref="I2696:I2701" si="292">E2696+G2696+H2696</f>
        <v>43</v>
      </c>
      <c r="J2696" s="3">
        <f t="shared" ref="J2696:J2701" si="293"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26</v>
      </c>
      <c r="K2696" s="3">
        <f t="shared" ref="K2696:K2701" si="294">I2696-J2696</f>
        <v>17</v>
      </c>
      <c r="L2696" s="3" t="str">
        <f t="shared" si="291"/>
        <v>EXCELENTE</v>
      </c>
      <c r="M2696">
        <v>22</v>
      </c>
      <c r="N2696">
        <v>90</v>
      </c>
      <c r="O2696">
        <v>24.186046511627911</v>
      </c>
    </row>
    <row r="2697" spans="1:15" customFormat="1" hidden="1" x14ac:dyDescent="0.25">
      <c r="A2697" s="11">
        <v>46085</v>
      </c>
      <c r="B2697" t="s">
        <v>62</v>
      </c>
      <c r="C2697" t="s">
        <v>23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292"/>
        <v>23</v>
      </c>
      <c r="J2697" s="3">
        <f t="shared" si="293"/>
        <v>17</v>
      </c>
      <c r="K2697" s="3">
        <f t="shared" si="294"/>
        <v>6</v>
      </c>
      <c r="L2697" s="3" t="str">
        <f t="shared" si="291"/>
        <v>EXCELENTE</v>
      </c>
      <c r="M2697">
        <v>23</v>
      </c>
      <c r="N2697">
        <v>98.9</v>
      </c>
      <c r="O2697">
        <v>26.763990267639901</v>
      </c>
    </row>
    <row r="2698" spans="1:15" customFormat="1" hidden="1" x14ac:dyDescent="0.25">
      <c r="A2698" s="11">
        <v>46085</v>
      </c>
      <c r="B2698" t="s">
        <v>19</v>
      </c>
      <c r="C2698" t="s">
        <v>16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292"/>
        <v>37</v>
      </c>
      <c r="J2698" s="3">
        <f t="shared" si="293"/>
        <v>8</v>
      </c>
      <c r="K2698" s="3">
        <f t="shared" si="294"/>
        <v>29</v>
      </c>
      <c r="L2698" s="3" t="str">
        <f t="shared" si="291"/>
        <v>EXCELENTE</v>
      </c>
      <c r="M2698">
        <v>0</v>
      </c>
      <c r="N2698">
        <v>88.89</v>
      </c>
      <c r="O2698">
        <v>25.263157894736839</v>
      </c>
    </row>
    <row r="2699" spans="1:15" customFormat="1" hidden="1" x14ac:dyDescent="0.25">
      <c r="A2699" s="11">
        <v>46085</v>
      </c>
      <c r="B2699" t="s">
        <v>43</v>
      </c>
      <c r="C2699" t="s">
        <v>32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292"/>
        <v>11</v>
      </c>
      <c r="J2699" s="3">
        <f t="shared" si="293"/>
        <v>26</v>
      </c>
      <c r="K2699" s="3">
        <f t="shared" si="294"/>
        <v>-15</v>
      </c>
      <c r="L2699" s="3" t="str">
        <f t="shared" si="291"/>
        <v>CRÍTICO</v>
      </c>
      <c r="M2699">
        <v>38</v>
      </c>
      <c r="N2699">
        <v>98.86</v>
      </c>
      <c r="O2699">
        <v>28.959276018099551</v>
      </c>
    </row>
    <row r="2700" spans="1:15" customFormat="1" hidden="1" x14ac:dyDescent="0.25">
      <c r="A2700" s="11">
        <v>46085</v>
      </c>
      <c r="B2700" t="s">
        <v>44</v>
      </c>
      <c r="C2700" t="s">
        <v>32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292"/>
        <v>35</v>
      </c>
      <c r="J2700" s="3">
        <f t="shared" si="293"/>
        <v>26</v>
      </c>
      <c r="K2700" s="3">
        <f t="shared" si="294"/>
        <v>9</v>
      </c>
      <c r="L2700" s="3" t="str">
        <f t="shared" si="291"/>
        <v>EXCELENTE</v>
      </c>
      <c r="M2700">
        <v>30</v>
      </c>
      <c r="N2700">
        <v>98.06</v>
      </c>
      <c r="O2700">
        <v>22.40566037735849</v>
      </c>
    </row>
    <row r="2701" spans="1:15" customFormat="1" hidden="1" x14ac:dyDescent="0.25">
      <c r="A2701" s="11">
        <v>46085</v>
      </c>
      <c r="B2701" t="s">
        <v>20</v>
      </c>
      <c r="C2701" t="s">
        <v>16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292"/>
        <v>7</v>
      </c>
      <c r="J2701" s="3">
        <f t="shared" si="293"/>
        <v>8</v>
      </c>
      <c r="K2701" s="3">
        <f t="shared" si="294"/>
        <v>-1</v>
      </c>
      <c r="L2701" s="3" t="str">
        <f t="shared" si="291"/>
        <v>ATENÇÃO</v>
      </c>
      <c r="M2701">
        <v>2</v>
      </c>
      <c r="N2701">
        <v>95.83</v>
      </c>
      <c r="O2701">
        <v>25.773195876288661</v>
      </c>
    </row>
    <row r="2702" spans="1:15" customFormat="1" hidden="1" x14ac:dyDescent="0.25">
      <c r="A2702" s="11">
        <v>46085</v>
      </c>
      <c r="B2702" t="s">
        <v>28</v>
      </c>
      <c r="C2702" t="s">
        <v>26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 t="shared" si="291"/>
        <v>BOM</v>
      </c>
      <c r="M2702">
        <v>0</v>
      </c>
      <c r="N2702">
        <v>100</v>
      </c>
      <c r="O2702">
        <v>15.38461538461539</v>
      </c>
    </row>
    <row r="2703" spans="1:15" customFormat="1" hidden="1" x14ac:dyDescent="0.25">
      <c r="A2703" s="11">
        <v>46085</v>
      </c>
      <c r="B2703" t="s">
        <v>58</v>
      </c>
      <c r="C2703" t="s">
        <v>48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21</v>
      </c>
      <c r="K2703" s="3">
        <f>I2703-J2703</f>
        <v>-1</v>
      </c>
      <c r="L2703" s="3" t="str">
        <f t="shared" si="291"/>
        <v>ATENÇÃO</v>
      </c>
      <c r="M2703">
        <v>20</v>
      </c>
      <c r="N2703">
        <v>100</v>
      </c>
      <c r="O2703">
        <v>27.514792899408281</v>
      </c>
    </row>
    <row r="2704" spans="1:15" customFormat="1" hidden="1" x14ac:dyDescent="0.25">
      <c r="A2704" s="11">
        <v>46085</v>
      </c>
      <c r="B2704" t="s">
        <v>29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 t="shared" si="291"/>
        <v>BOM</v>
      </c>
      <c r="M2704">
        <v>0</v>
      </c>
      <c r="N2704">
        <v>100</v>
      </c>
      <c r="O2704">
        <v>24.875621890547269</v>
      </c>
    </row>
    <row r="2705" spans="1:15" customFormat="1" hidden="1" x14ac:dyDescent="0.25">
      <c r="A2705" s="11">
        <v>46085</v>
      </c>
      <c r="B2705" t="s">
        <v>30</v>
      </c>
      <c r="C2705" t="s">
        <v>26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 t="shared" si="291"/>
        <v>BOM</v>
      </c>
      <c r="M2705">
        <v>0</v>
      </c>
      <c r="N2705">
        <v>100</v>
      </c>
      <c r="O2705">
        <v>28.108108108108109</v>
      </c>
    </row>
    <row r="2706" spans="1:15" customFormat="1" hidden="1" x14ac:dyDescent="0.25">
      <c r="A2706" s="11">
        <v>46085</v>
      </c>
      <c r="B2706" t="s">
        <v>21</v>
      </c>
      <c r="C2706" t="s">
        <v>16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 t="shared" si="291"/>
        <v>BOM</v>
      </c>
      <c r="M2706">
        <v>0</v>
      </c>
      <c r="N2706">
        <v>100</v>
      </c>
      <c r="O2706">
        <v>35</v>
      </c>
    </row>
    <row r="2707" spans="1:15" customFormat="1" hidden="1" x14ac:dyDescent="0.25">
      <c r="A2707" s="11">
        <v>46085</v>
      </c>
      <c r="B2707" t="s">
        <v>63</v>
      </c>
      <c r="C2707" t="s">
        <v>23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17</v>
      </c>
      <c r="K2707" s="3">
        <f>I2707-J2707</f>
        <v>6</v>
      </c>
      <c r="L2707" s="3" t="str">
        <f t="shared" si="291"/>
        <v>EXCELENTE</v>
      </c>
      <c r="M2707">
        <v>18</v>
      </c>
      <c r="N2707">
        <v>95.35</v>
      </c>
      <c r="O2707">
        <v>28.61538461538461</v>
      </c>
    </row>
    <row r="2708" spans="1:15" customFormat="1" hidden="1" x14ac:dyDescent="0.25">
      <c r="A2708" s="11">
        <v>46085</v>
      </c>
      <c r="B2708" t="s">
        <v>45</v>
      </c>
      <c r="C2708" t="s">
        <v>32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26</v>
      </c>
      <c r="K2708" s="3">
        <f>I2708-J2708</f>
        <v>13</v>
      </c>
      <c r="L2708" s="3" t="str">
        <f t="shared" si="291"/>
        <v>EXCELENTE</v>
      </c>
      <c r="M2708">
        <v>26</v>
      </c>
      <c r="N2708">
        <v>98.26</v>
      </c>
      <c r="O2708">
        <v>27.54491017964072</v>
      </c>
    </row>
    <row r="2709" spans="1:15" customFormat="1" hidden="1" x14ac:dyDescent="0.25">
      <c r="A2709" s="11">
        <v>46085</v>
      </c>
      <c r="B2709" t="s">
        <v>64</v>
      </c>
      <c r="C2709" t="s">
        <v>23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17</v>
      </c>
      <c r="K2709" s="3">
        <f>I2709-J2709</f>
        <v>-2</v>
      </c>
      <c r="L2709" s="3" t="str">
        <f t="shared" si="291"/>
        <v>ATENÇÃO</v>
      </c>
      <c r="M2709">
        <v>15</v>
      </c>
      <c r="N2709">
        <v>98.55</v>
      </c>
      <c r="O2709">
        <v>25.337837837837839</v>
      </c>
    </row>
    <row r="2710" spans="1:15" customFormat="1" hidden="1" x14ac:dyDescent="0.25">
      <c r="A2710" s="11">
        <v>46085</v>
      </c>
      <c r="B2710" t="s">
        <v>46</v>
      </c>
      <c r="C2710" t="s">
        <v>32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26</v>
      </c>
      <c r="K2710" s="3">
        <f>I2710-J2710</f>
        <v>-4</v>
      </c>
      <c r="L2710" s="3" t="str">
        <f t="shared" si="291"/>
        <v>ATENÇÃO</v>
      </c>
      <c r="M2710">
        <v>18</v>
      </c>
      <c r="N2710">
        <v>98.39</v>
      </c>
      <c r="O2710">
        <v>25.563909774436091</v>
      </c>
    </row>
    <row r="2711" spans="1:15" customFormat="1" hidden="1" x14ac:dyDescent="0.25">
      <c r="A2711" s="11">
        <v>46086</v>
      </c>
      <c r="B2711" t="s">
        <v>47</v>
      </c>
      <c r="C2711" t="s">
        <v>48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23</v>
      </c>
      <c r="K2711" s="3">
        <f>I2711-J2711</f>
        <v>1</v>
      </c>
      <c r="L2711" s="3" t="str">
        <f t="shared" si="291"/>
        <v>BOM</v>
      </c>
      <c r="M2711">
        <v>15</v>
      </c>
      <c r="N2711">
        <v>94.29</v>
      </c>
      <c r="O2711">
        <v>25.647668393782389</v>
      </c>
    </row>
    <row r="2712" spans="1:15" customFormat="1" hidden="1" x14ac:dyDescent="0.25">
      <c r="A2712" s="11">
        <v>46086</v>
      </c>
      <c r="B2712" t="s">
        <v>31</v>
      </c>
      <c r="C2712" t="s">
        <v>32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 t="shared" si="291"/>
        <v>BOM</v>
      </c>
      <c r="M2712">
        <v>24</v>
      </c>
      <c r="N2712">
        <v>98.26</v>
      </c>
      <c r="O2712">
        <v>26.666666666666671</v>
      </c>
    </row>
    <row r="2713" spans="1:15" customFormat="1" hidden="1" x14ac:dyDescent="0.25">
      <c r="A2713" s="11">
        <v>46086</v>
      </c>
      <c r="B2713" t="s">
        <v>59</v>
      </c>
      <c r="C2713" t="s">
        <v>23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19</v>
      </c>
      <c r="K2713" s="3">
        <f>I2713-J2713</f>
        <v>4</v>
      </c>
      <c r="L2713" s="3" t="str">
        <f t="shared" si="291"/>
        <v>BOM</v>
      </c>
      <c r="M2713">
        <v>21</v>
      </c>
      <c r="N2713">
        <v>98.2</v>
      </c>
      <c r="O2713">
        <v>23.37962962962963</v>
      </c>
    </row>
    <row r="2714" spans="1:15" customFormat="1" hidden="1" x14ac:dyDescent="0.25">
      <c r="A2714" s="11">
        <v>46086</v>
      </c>
      <c r="B2714" t="s">
        <v>33</v>
      </c>
      <c r="C2714" t="s">
        <v>32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28</v>
      </c>
      <c r="K2714" s="3">
        <f>I2714-J2714</f>
        <v>-2</v>
      </c>
      <c r="L2714" s="3" t="str">
        <f t="shared" si="291"/>
        <v>ATENÇÃO</v>
      </c>
      <c r="M2714">
        <v>22</v>
      </c>
      <c r="N2714">
        <v>97.3</v>
      </c>
      <c r="O2714">
        <v>23.84769539078156</v>
      </c>
    </row>
    <row r="2715" spans="1:15" customFormat="1" hidden="1" x14ac:dyDescent="0.25">
      <c r="A2715" s="11">
        <v>46086</v>
      </c>
      <c r="B2715" t="s">
        <v>15</v>
      </c>
      <c r="C2715" t="s">
        <v>16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 t="shared" si="291"/>
        <v>BOM</v>
      </c>
      <c r="M2715">
        <v>10</v>
      </c>
      <c r="N2715">
        <v>100</v>
      </c>
      <c r="O2715">
        <v>25.268817204301079</v>
      </c>
    </row>
    <row r="2716" spans="1:15" customFormat="1" hidden="1" x14ac:dyDescent="0.25">
      <c r="A2716" s="11">
        <v>46086</v>
      </c>
      <c r="B2716" t="s">
        <v>49</v>
      </c>
      <c r="C2716" t="s">
        <v>48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1</v>
      </c>
      <c r="L2716" s="3" t="str">
        <f t="shared" si="291"/>
        <v>BOM</v>
      </c>
      <c r="M2716">
        <v>25</v>
      </c>
      <c r="N2716">
        <v>99.32</v>
      </c>
      <c r="O2716">
        <v>22.822822822822818</v>
      </c>
    </row>
    <row r="2717" spans="1:15" customFormat="1" hidden="1" x14ac:dyDescent="0.25">
      <c r="A2717" s="11">
        <v>46086</v>
      </c>
      <c r="B2717" t="s">
        <v>50</v>
      </c>
      <c r="C2717" t="s">
        <v>48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23</v>
      </c>
      <c r="K2717" s="3">
        <f>I2717-J2717</f>
        <v>-7</v>
      </c>
      <c r="L2717" s="3" t="str">
        <f t="shared" si="291"/>
        <v>CRÍTICO</v>
      </c>
      <c r="M2717">
        <v>16</v>
      </c>
      <c r="N2717">
        <v>100</v>
      </c>
      <c r="O2717">
        <v>27.966101694915249</v>
      </c>
    </row>
    <row r="2718" spans="1:15" customFormat="1" hidden="1" x14ac:dyDescent="0.25">
      <c r="A2718" s="11">
        <v>46086</v>
      </c>
      <c r="B2718" t="s">
        <v>17</v>
      </c>
      <c r="C2718" t="s">
        <v>16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 t="shared" si="291"/>
        <v>BOM</v>
      </c>
      <c r="M2718">
        <v>0</v>
      </c>
      <c r="N2718">
        <v>100</v>
      </c>
      <c r="O2718">
        <v>30.434782608695659</v>
      </c>
    </row>
    <row r="2719" spans="1:15" customFormat="1" hidden="1" x14ac:dyDescent="0.25">
      <c r="A2719" s="11">
        <v>46086</v>
      </c>
      <c r="B2719" t="s">
        <v>60</v>
      </c>
      <c r="C2719" t="s">
        <v>23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0</v>
      </c>
      <c r="L2719" s="3" t="str">
        <f t="shared" si="291"/>
        <v>BOM</v>
      </c>
      <c r="M2719">
        <v>18</v>
      </c>
      <c r="N2719">
        <v>96.51</v>
      </c>
      <c r="O2719">
        <v>22.802850356294542</v>
      </c>
    </row>
    <row r="2720" spans="1:15" customFormat="1" hidden="1" x14ac:dyDescent="0.25">
      <c r="A2720" s="11">
        <v>46086</v>
      </c>
      <c r="B2720" t="s">
        <v>34</v>
      </c>
      <c r="C2720" t="s">
        <v>32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28</v>
      </c>
      <c r="K2720" s="3">
        <f>I2720-J2720</f>
        <v>10</v>
      </c>
      <c r="L2720" s="3" t="str">
        <f t="shared" si="291"/>
        <v>EXCELENTE</v>
      </c>
      <c r="M2720">
        <v>35</v>
      </c>
      <c r="N2720">
        <v>92.68</v>
      </c>
      <c r="O2720">
        <v>27.777777777777779</v>
      </c>
    </row>
    <row r="2721" spans="1:15" customFormat="1" hidden="1" x14ac:dyDescent="0.25">
      <c r="A2721" s="11">
        <v>46086</v>
      </c>
      <c r="B2721" t="s">
        <v>51</v>
      </c>
      <c r="C2721" t="s">
        <v>48</v>
      </c>
      <c r="D2721">
        <v>26</v>
      </c>
      <c r="E2721">
        <v>24</v>
      </c>
      <c r="F2721">
        <v>25.07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 t="shared" si="291"/>
        <v>BOM</v>
      </c>
      <c r="M2721">
        <v>20</v>
      </c>
      <c r="N2721">
        <v>99.03</v>
      </c>
      <c r="O2721">
        <v>23.991507430997881</v>
      </c>
    </row>
    <row r="2722" spans="1:15" customFormat="1" hidden="1" x14ac:dyDescent="0.25">
      <c r="A2722" s="11">
        <v>46086</v>
      </c>
      <c r="B2722" t="s">
        <v>61</v>
      </c>
      <c r="C2722" t="s">
        <v>23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19</v>
      </c>
      <c r="K2722" s="3">
        <f>I2722-J2722</f>
        <v>3</v>
      </c>
      <c r="L2722" s="3" t="str">
        <f t="shared" si="291"/>
        <v>BOM</v>
      </c>
      <c r="M2722">
        <v>15</v>
      </c>
      <c r="N2722">
        <v>98.41</v>
      </c>
      <c r="O2722">
        <v>28.138528138528141</v>
      </c>
    </row>
    <row r="2723" spans="1:15" customFormat="1" hidden="1" x14ac:dyDescent="0.25">
      <c r="A2723" s="11">
        <v>46086</v>
      </c>
      <c r="B2723" t="s">
        <v>35</v>
      </c>
      <c r="C2723" t="s">
        <v>32</v>
      </c>
      <c r="D2723">
        <v>32</v>
      </c>
      <c r="E2723">
        <v>31</v>
      </c>
      <c r="F2723">
        <v>20.53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 t="shared" si="291"/>
        <v>BOM</v>
      </c>
      <c r="M2723">
        <v>31</v>
      </c>
      <c r="N2723">
        <v>98.73</v>
      </c>
      <c r="O2723">
        <v>29.142857142857139</v>
      </c>
    </row>
    <row r="2724" spans="1:15" customFormat="1" hidden="1" x14ac:dyDescent="0.25">
      <c r="A2724" s="11">
        <v>46086</v>
      </c>
      <c r="B2724" t="s">
        <v>18</v>
      </c>
      <c r="C2724" t="s">
        <v>16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ref="I2724:I2730" si="295">E2724+G2724+H2724</f>
        <v>45</v>
      </c>
      <c r="J2724" s="3">
        <f t="shared" ref="J2724:J2730" si="296"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 t="shared" ref="K2724:K2730" si="297">I2724-J2724</f>
        <v>37</v>
      </c>
      <c r="L2724" s="3" t="str">
        <f t="shared" si="291"/>
        <v>EXCELENTE</v>
      </c>
      <c r="M2724">
        <v>3</v>
      </c>
      <c r="N2724">
        <v>90.48</v>
      </c>
      <c r="O2724">
        <v>20.68965517241379</v>
      </c>
    </row>
    <row r="2725" spans="1:15" customFormat="1" hidden="1" x14ac:dyDescent="0.25">
      <c r="A2725" s="11">
        <v>46086</v>
      </c>
      <c r="B2725" t="s">
        <v>52</v>
      </c>
      <c r="C2725" t="s">
        <v>48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295"/>
        <v>31</v>
      </c>
      <c r="J2725" s="3">
        <f t="shared" si="296"/>
        <v>23</v>
      </c>
      <c r="K2725" s="3">
        <f t="shared" si="297"/>
        <v>8</v>
      </c>
      <c r="L2725" s="3" t="str">
        <f t="shared" si="291"/>
        <v>EXCELENTE</v>
      </c>
      <c r="M2725">
        <v>29</v>
      </c>
      <c r="N2725">
        <v>98.06</v>
      </c>
      <c r="O2725">
        <v>24.789915966386559</v>
      </c>
    </row>
    <row r="2726" spans="1:15" customFormat="1" hidden="1" x14ac:dyDescent="0.25">
      <c r="A2726" s="11">
        <v>46086</v>
      </c>
      <c r="B2726" t="s">
        <v>36</v>
      </c>
      <c r="C2726" t="s">
        <v>32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295"/>
        <v>36</v>
      </c>
      <c r="J2726" s="3">
        <f t="shared" si="296"/>
        <v>28</v>
      </c>
      <c r="K2726" s="3">
        <f t="shared" si="297"/>
        <v>8</v>
      </c>
      <c r="L2726" s="3" t="str">
        <f t="shared" si="291"/>
        <v>EXCELENTE</v>
      </c>
      <c r="M2726">
        <v>39</v>
      </c>
      <c r="N2726">
        <v>97.78</v>
      </c>
      <c r="O2726">
        <v>25.494071146245059</v>
      </c>
    </row>
    <row r="2727" spans="1:15" customFormat="1" hidden="1" x14ac:dyDescent="0.25">
      <c r="A2727" s="11">
        <v>46086</v>
      </c>
      <c r="B2727" t="s">
        <v>53</v>
      </c>
      <c r="C2727" t="s">
        <v>48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295"/>
        <v>17</v>
      </c>
      <c r="J2727" s="3">
        <f t="shared" si="296"/>
        <v>23</v>
      </c>
      <c r="K2727" s="3">
        <f t="shared" si="297"/>
        <v>-6</v>
      </c>
      <c r="L2727" s="3" t="str">
        <f t="shared" si="291"/>
        <v>CRÍTICO</v>
      </c>
      <c r="M2727">
        <v>17</v>
      </c>
      <c r="N2727">
        <v>98.02</v>
      </c>
      <c r="O2727">
        <v>23.484848484848481</v>
      </c>
    </row>
    <row r="2728" spans="1:15" customFormat="1" hidden="1" x14ac:dyDescent="0.25">
      <c r="A2728" s="11">
        <v>46120</v>
      </c>
      <c r="B2728" t="s">
        <v>22</v>
      </c>
      <c r="C2728" t="s">
        <v>23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si="295"/>
        <v>28</v>
      </c>
      <c r="J2728" s="3">
        <f t="shared" si="296"/>
        <v>20</v>
      </c>
      <c r="K2728" s="3">
        <f t="shared" si="297"/>
        <v>8</v>
      </c>
      <c r="L2728" s="3" t="str">
        <f>IF(K2728&lt;-5,"CRÍTICO",IF(K2728&lt;0,"ATENÇÃO",IF(K2728&lt;=5,"OPORTUNO","MUITO BOM")))</f>
        <v>MUITO BOM</v>
      </c>
      <c r="M2728">
        <v>26</v>
      </c>
      <c r="N2728">
        <v>99.28</v>
      </c>
      <c r="O2728">
        <v>27.689243027888441</v>
      </c>
    </row>
    <row r="2729" spans="1:15" customFormat="1" hidden="1" x14ac:dyDescent="0.25">
      <c r="A2729" s="11">
        <v>46086</v>
      </c>
      <c r="B2729" t="s">
        <v>54</v>
      </c>
      <c r="C2729" t="s">
        <v>48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295"/>
        <v>28</v>
      </c>
      <c r="J2729" s="3">
        <f t="shared" si="296"/>
        <v>23</v>
      </c>
      <c r="K2729" s="3">
        <f t="shared" si="297"/>
        <v>5</v>
      </c>
      <c r="L2729" s="3" t="str">
        <f t="shared" ref="L2729:L2746" si="298">IF(K2729&lt;-5,"CRÍTICO",IF(K2729&lt;0,"ATENÇÃO",IF(K2729&lt;=5,"BOM","EXCELENTE")))</f>
        <v>BOM</v>
      </c>
      <c r="M2729">
        <v>19</v>
      </c>
      <c r="N2729">
        <v>100</v>
      </c>
      <c r="O2729">
        <v>27.04918032786885</v>
      </c>
    </row>
    <row r="2730" spans="1:15" customFormat="1" hidden="1" x14ac:dyDescent="0.25">
      <c r="A2730" s="11">
        <v>46086</v>
      </c>
      <c r="B2730" t="s">
        <v>37</v>
      </c>
      <c r="C2730" t="s">
        <v>32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295"/>
        <v>47</v>
      </c>
      <c r="J2730" s="3">
        <f t="shared" si="296"/>
        <v>28</v>
      </c>
      <c r="K2730" s="3">
        <f t="shared" si="297"/>
        <v>19</v>
      </c>
      <c r="L2730" s="3" t="str">
        <f t="shared" si="298"/>
        <v>EXCELENTE</v>
      </c>
      <c r="M2730">
        <v>53</v>
      </c>
      <c r="N2730">
        <v>97.83</v>
      </c>
      <c r="O2730">
        <v>26.315789473684209</v>
      </c>
    </row>
    <row r="2731" spans="1:15" customFormat="1" hidden="1" x14ac:dyDescent="0.25">
      <c r="A2731" s="11">
        <v>46086</v>
      </c>
      <c r="B2731" t="s">
        <v>38</v>
      </c>
      <c r="C2731" t="s">
        <v>32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 t="shared" si="298"/>
        <v>BOM</v>
      </c>
      <c r="M2731">
        <v>1</v>
      </c>
      <c r="N2731">
        <v>100</v>
      </c>
      <c r="O2731">
        <v>26.701570680628269</v>
      </c>
    </row>
    <row r="2732" spans="1:15" customFormat="1" hidden="1" x14ac:dyDescent="0.25">
      <c r="A2732" s="11">
        <v>46086</v>
      </c>
      <c r="B2732" t="s">
        <v>55</v>
      </c>
      <c r="C2732" t="s">
        <v>48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23</v>
      </c>
      <c r="K2732" s="3">
        <f>I2732-J2732</f>
        <v>6</v>
      </c>
      <c r="L2732" s="3" t="str">
        <f t="shared" si="298"/>
        <v>EXCELENTE</v>
      </c>
      <c r="M2732">
        <v>29</v>
      </c>
      <c r="N2732">
        <v>97.47</v>
      </c>
      <c r="O2732">
        <v>22.887323943661968</v>
      </c>
    </row>
    <row r="2733" spans="1:15" customFormat="1" hidden="1" x14ac:dyDescent="0.25">
      <c r="A2733" s="11">
        <v>46086</v>
      </c>
      <c r="B2733" t="s">
        <v>39</v>
      </c>
      <c r="C2733" t="s">
        <v>32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 t="shared" si="298"/>
        <v>BOM</v>
      </c>
      <c r="M2733">
        <v>0</v>
      </c>
      <c r="N2733">
        <v>0</v>
      </c>
      <c r="O2733">
        <v>0</v>
      </c>
    </row>
    <row r="2734" spans="1:15" customFormat="1" hidden="1" x14ac:dyDescent="0.25">
      <c r="A2734" s="11">
        <v>46086</v>
      </c>
      <c r="B2734" t="s">
        <v>25</v>
      </c>
      <c r="C2734" t="s">
        <v>26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16</v>
      </c>
      <c r="K2734" s="3">
        <f>I2734-J2734</f>
        <v>1</v>
      </c>
      <c r="L2734" s="3" t="str">
        <f t="shared" si="298"/>
        <v>BOM</v>
      </c>
      <c r="M2734">
        <v>15</v>
      </c>
      <c r="N2734">
        <v>98.31</v>
      </c>
      <c r="O2734">
        <v>24.920127795527151</v>
      </c>
    </row>
    <row r="2735" spans="1:15" customFormat="1" hidden="1" x14ac:dyDescent="0.25">
      <c r="A2735" s="11">
        <v>46086</v>
      </c>
      <c r="B2735" t="s">
        <v>40</v>
      </c>
      <c r="C2735" t="s">
        <v>32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 t="shared" si="298"/>
        <v>BOM</v>
      </c>
      <c r="M2735">
        <v>16</v>
      </c>
      <c r="N2735">
        <v>96.81</v>
      </c>
      <c r="O2735">
        <v>32.365145228215773</v>
      </c>
    </row>
    <row r="2736" spans="1:15" customFormat="1" hidden="1" x14ac:dyDescent="0.25">
      <c r="A2736" s="11">
        <v>46086</v>
      </c>
      <c r="B2736" t="s">
        <v>27</v>
      </c>
      <c r="C2736" t="s">
        <v>26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16</v>
      </c>
      <c r="K2736" s="3">
        <f>I2736-J2736</f>
        <v>-10</v>
      </c>
      <c r="L2736" s="3" t="str">
        <f t="shared" si="298"/>
        <v>CRÍTICO</v>
      </c>
      <c r="M2736">
        <v>6</v>
      </c>
      <c r="N2736">
        <v>100</v>
      </c>
      <c r="O2736">
        <v>26.47058823529412</v>
      </c>
    </row>
    <row r="2737" spans="1:15" customFormat="1" hidden="1" x14ac:dyDescent="0.25">
      <c r="A2737" s="11">
        <v>46086</v>
      </c>
      <c r="B2737" t="s">
        <v>41</v>
      </c>
      <c r="C2737" t="s">
        <v>32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 t="shared" si="298"/>
        <v>BOM</v>
      </c>
      <c r="M2737">
        <v>9</v>
      </c>
      <c r="N2737">
        <v>100</v>
      </c>
      <c r="O2737">
        <v>28.490028490028489</v>
      </c>
    </row>
    <row r="2738" spans="1:15" customFormat="1" hidden="1" x14ac:dyDescent="0.25">
      <c r="A2738" s="11">
        <v>46086</v>
      </c>
      <c r="B2738" t="s">
        <v>56</v>
      </c>
      <c r="C2738" t="s">
        <v>48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23</v>
      </c>
      <c r="K2738" s="3">
        <f>I2738-J2738</f>
        <v>3</v>
      </c>
      <c r="L2738" s="3" t="str">
        <f t="shared" si="298"/>
        <v>BOM</v>
      </c>
      <c r="M2738">
        <v>12</v>
      </c>
      <c r="N2738">
        <v>99.14</v>
      </c>
      <c r="O2738">
        <v>27.2289156626506</v>
      </c>
    </row>
    <row r="2739" spans="1:15" customFormat="1" hidden="1" x14ac:dyDescent="0.25">
      <c r="A2739" s="11">
        <v>46086</v>
      </c>
      <c r="B2739" t="s">
        <v>57</v>
      </c>
      <c r="C2739" t="s">
        <v>48</v>
      </c>
      <c r="D2739">
        <v>30</v>
      </c>
      <c r="E2739">
        <v>29</v>
      </c>
      <c r="F2739">
        <v>25.26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 t="shared" si="298"/>
        <v>BOM</v>
      </c>
      <c r="M2739">
        <v>26</v>
      </c>
      <c r="N2739">
        <v>97.52</v>
      </c>
      <c r="O2739">
        <v>28.205128205128201</v>
      </c>
    </row>
    <row r="2740" spans="1:15" customFormat="1" hidden="1" x14ac:dyDescent="0.25">
      <c r="A2740" s="11">
        <v>46086</v>
      </c>
      <c r="B2740" t="s">
        <v>42</v>
      </c>
      <c r="C2740" t="s">
        <v>32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ref="I2740:I2745" si="299">E2740+G2740+H2740</f>
        <v>29</v>
      </c>
      <c r="J2740" s="3">
        <f t="shared" ref="J2740:J2745" si="300"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28</v>
      </c>
      <c r="K2740" s="3">
        <f t="shared" ref="K2740:K2745" si="301">I2740-J2740</f>
        <v>1</v>
      </c>
      <c r="L2740" s="3" t="str">
        <f t="shared" si="298"/>
        <v>BOM</v>
      </c>
      <c r="M2740">
        <v>18</v>
      </c>
      <c r="N2740">
        <v>90</v>
      </c>
      <c r="O2740">
        <v>24.186046511627911</v>
      </c>
    </row>
    <row r="2741" spans="1:15" customFormat="1" hidden="1" x14ac:dyDescent="0.25">
      <c r="A2741" s="11">
        <v>46086</v>
      </c>
      <c r="B2741" t="s">
        <v>62</v>
      </c>
      <c r="C2741" t="s">
        <v>23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299"/>
        <v>25</v>
      </c>
      <c r="J2741" s="3">
        <f t="shared" si="300"/>
        <v>19</v>
      </c>
      <c r="K2741" s="3">
        <f t="shared" si="301"/>
        <v>6</v>
      </c>
      <c r="L2741" s="3" t="str">
        <f t="shared" si="298"/>
        <v>EXCELENTE</v>
      </c>
      <c r="M2741">
        <v>22</v>
      </c>
      <c r="N2741">
        <v>98.9</v>
      </c>
      <c r="O2741">
        <v>26.763990267639901</v>
      </c>
    </row>
    <row r="2742" spans="1:15" customFormat="1" hidden="1" x14ac:dyDescent="0.25">
      <c r="A2742" s="11">
        <v>46086</v>
      </c>
      <c r="B2742" t="s">
        <v>19</v>
      </c>
      <c r="C2742" t="s">
        <v>16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299"/>
        <v>31</v>
      </c>
      <c r="J2742" s="3">
        <f t="shared" si="300"/>
        <v>8</v>
      </c>
      <c r="K2742" s="3">
        <f t="shared" si="301"/>
        <v>23</v>
      </c>
      <c r="L2742" s="3" t="str">
        <f t="shared" si="298"/>
        <v>EXCELENTE</v>
      </c>
      <c r="M2742">
        <v>1</v>
      </c>
      <c r="N2742">
        <v>88.89</v>
      </c>
      <c r="O2742">
        <v>25.263157894736839</v>
      </c>
    </row>
    <row r="2743" spans="1:15" customFormat="1" hidden="1" x14ac:dyDescent="0.25">
      <c r="A2743" s="11">
        <v>46086</v>
      </c>
      <c r="B2743" t="s">
        <v>43</v>
      </c>
      <c r="C2743" t="s">
        <v>32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299"/>
        <v>7</v>
      </c>
      <c r="J2743" s="3">
        <f t="shared" si="300"/>
        <v>28</v>
      </c>
      <c r="K2743" s="3">
        <f t="shared" si="301"/>
        <v>-21</v>
      </c>
      <c r="L2743" s="3" t="str">
        <f t="shared" si="298"/>
        <v>CRÍTICO</v>
      </c>
      <c r="M2743">
        <v>52</v>
      </c>
      <c r="N2743">
        <v>98.86</v>
      </c>
      <c r="O2743">
        <v>28.959276018099551</v>
      </c>
    </row>
    <row r="2744" spans="1:15" customFormat="1" hidden="1" x14ac:dyDescent="0.25">
      <c r="A2744" s="11">
        <v>46086</v>
      </c>
      <c r="B2744" t="s">
        <v>44</v>
      </c>
      <c r="C2744" t="s">
        <v>32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299"/>
        <v>29</v>
      </c>
      <c r="J2744" s="3">
        <f t="shared" si="300"/>
        <v>28</v>
      </c>
      <c r="K2744" s="3">
        <f t="shared" si="301"/>
        <v>1</v>
      </c>
      <c r="L2744" s="3" t="str">
        <f t="shared" si="298"/>
        <v>BOM</v>
      </c>
      <c r="M2744">
        <v>30</v>
      </c>
      <c r="N2744">
        <v>98.06</v>
      </c>
      <c r="O2744">
        <v>22.40566037735849</v>
      </c>
    </row>
    <row r="2745" spans="1:15" customFormat="1" hidden="1" x14ac:dyDescent="0.25">
      <c r="A2745" s="11">
        <v>46086</v>
      </c>
      <c r="B2745" t="s">
        <v>20</v>
      </c>
      <c r="C2745" t="s">
        <v>16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299"/>
        <v>14</v>
      </c>
      <c r="J2745" s="3">
        <f t="shared" si="300"/>
        <v>8</v>
      </c>
      <c r="K2745" s="3">
        <f t="shared" si="301"/>
        <v>6</v>
      </c>
      <c r="L2745" s="3" t="str">
        <f t="shared" si="298"/>
        <v>EXCELENTE</v>
      </c>
      <c r="M2745">
        <v>12</v>
      </c>
      <c r="N2745">
        <v>95.83</v>
      </c>
      <c r="O2745">
        <v>25.773195876288661</v>
      </c>
    </row>
    <row r="2746" spans="1:15" customFormat="1" hidden="1" x14ac:dyDescent="0.25">
      <c r="A2746" s="11">
        <v>46086</v>
      </c>
      <c r="B2746" t="s">
        <v>28</v>
      </c>
      <c r="C2746" t="s">
        <v>26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 t="shared" si="298"/>
        <v>BOM</v>
      </c>
      <c r="M2746">
        <v>0</v>
      </c>
      <c r="N2746">
        <v>100</v>
      </c>
      <c r="O2746">
        <v>15.38461538461539</v>
      </c>
    </row>
    <row r="2747" spans="1:15" customFormat="1" hidden="1" x14ac:dyDescent="0.25">
      <c r="A2747" s="11">
        <v>46086</v>
      </c>
      <c r="B2747" t="s">
        <v>58</v>
      </c>
      <c r="C2747" t="s">
        <v>48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23</v>
      </c>
      <c r="K2747" s="3">
        <f>I2747-J2747</f>
        <v>2</v>
      </c>
      <c r="L2747" s="3" t="str">
        <f t="shared" ref="L2747:L2810" si="302">IF(K2747&lt;-5,"CRÍTICO",IF(K2747&lt;0,"ATENÇÃO",IF(K2747&lt;=5,"OPORTUNO","MUITO BOM")))</f>
        <v>OPORTUNO</v>
      </c>
      <c r="M2747">
        <v>23</v>
      </c>
      <c r="N2747">
        <v>100</v>
      </c>
      <c r="O2747">
        <v>27.514792899408281</v>
      </c>
    </row>
    <row r="2748" spans="1:15" customFormat="1" hidden="1" x14ac:dyDescent="0.25">
      <c r="A2748" s="11">
        <v>46086</v>
      </c>
      <c r="B2748" t="s">
        <v>29</v>
      </c>
      <c r="C2748" t="s">
        <v>26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-10</v>
      </c>
      <c r="L2748" s="3" t="str">
        <f t="shared" si="302"/>
        <v>CRÍTICO</v>
      </c>
      <c r="M2748">
        <v>6</v>
      </c>
      <c r="N2748">
        <v>100</v>
      </c>
      <c r="O2748">
        <v>24.875621890547269</v>
      </c>
    </row>
    <row r="2749" spans="1:15" customFormat="1" hidden="1" x14ac:dyDescent="0.25">
      <c r="A2749" s="11">
        <v>46086</v>
      </c>
      <c r="B2749" t="s">
        <v>30</v>
      </c>
      <c r="C2749" t="s">
        <v>26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16</v>
      </c>
      <c r="K2749" s="3">
        <f>I2749-J2749</f>
        <v>-11</v>
      </c>
      <c r="L2749" s="3" t="str">
        <f t="shared" si="302"/>
        <v>CRÍTICO</v>
      </c>
      <c r="M2749">
        <v>4</v>
      </c>
      <c r="N2749">
        <v>100</v>
      </c>
      <c r="O2749">
        <v>28.108108108108109</v>
      </c>
    </row>
    <row r="2750" spans="1:15" customFormat="1" hidden="1" x14ac:dyDescent="0.25">
      <c r="A2750" s="11">
        <v>46086</v>
      </c>
      <c r="B2750" t="s">
        <v>21</v>
      </c>
      <c r="C2750" t="s">
        <v>16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 t="shared" si="302"/>
        <v>OPORTUNO</v>
      </c>
      <c r="M2750">
        <v>0</v>
      </c>
      <c r="N2750">
        <v>100</v>
      </c>
      <c r="O2750">
        <v>35</v>
      </c>
    </row>
    <row r="2751" spans="1:15" customFormat="1" hidden="1" x14ac:dyDescent="0.25">
      <c r="A2751" s="11">
        <v>46086</v>
      </c>
      <c r="B2751" t="s">
        <v>63</v>
      </c>
      <c r="C2751" t="s">
        <v>23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19</v>
      </c>
      <c r="K2751" s="3">
        <f>I2751-J2751</f>
        <v>4</v>
      </c>
      <c r="L2751" s="3" t="str">
        <f t="shared" si="302"/>
        <v>OPORTUNO</v>
      </c>
      <c r="M2751">
        <v>20</v>
      </c>
      <c r="N2751">
        <v>95.35</v>
      </c>
      <c r="O2751">
        <v>28.61538461538461</v>
      </c>
    </row>
    <row r="2752" spans="1:15" customFormat="1" hidden="1" x14ac:dyDescent="0.25">
      <c r="A2752" s="11">
        <v>46086</v>
      </c>
      <c r="B2752" t="s">
        <v>45</v>
      </c>
      <c r="C2752" t="s">
        <v>32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28</v>
      </c>
      <c r="K2752" s="3">
        <f>I2752-J2752</f>
        <v>8</v>
      </c>
      <c r="L2752" s="3" t="str">
        <f t="shared" si="302"/>
        <v>MUITO BOM</v>
      </c>
      <c r="M2752">
        <v>32</v>
      </c>
      <c r="N2752">
        <v>98.26</v>
      </c>
      <c r="O2752">
        <v>27.54491017964072</v>
      </c>
    </row>
    <row r="2753" spans="1:15" customFormat="1" hidden="1" x14ac:dyDescent="0.25">
      <c r="A2753" s="11">
        <v>46086</v>
      </c>
      <c r="B2753" t="s">
        <v>64</v>
      </c>
      <c r="C2753" t="s">
        <v>23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19</v>
      </c>
      <c r="K2753" s="3">
        <f>I2753-J2753</f>
        <v>2</v>
      </c>
      <c r="L2753" s="3" t="str">
        <f t="shared" si="302"/>
        <v>OPORTUNO</v>
      </c>
      <c r="M2753">
        <v>22</v>
      </c>
      <c r="N2753">
        <v>98.55</v>
      </c>
      <c r="O2753">
        <v>25.337837837837839</v>
      </c>
    </row>
    <row r="2754" spans="1:15" customFormat="1" hidden="1" x14ac:dyDescent="0.25">
      <c r="A2754" s="11">
        <v>46086</v>
      </c>
      <c r="B2754" t="s">
        <v>46</v>
      </c>
      <c r="C2754" t="s">
        <v>32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28</v>
      </c>
      <c r="K2754" s="3">
        <f>I2754-J2754</f>
        <v>-1</v>
      </c>
      <c r="L2754" s="3" t="str">
        <f t="shared" si="302"/>
        <v>ATENÇÃO</v>
      </c>
      <c r="M2754">
        <v>27</v>
      </c>
      <c r="N2754">
        <v>98.39</v>
      </c>
      <c r="O2754">
        <v>25.563909774436091</v>
      </c>
    </row>
    <row r="2755" spans="1:15" customFormat="1" hidden="1" x14ac:dyDescent="0.25">
      <c r="A2755" s="11">
        <v>46087</v>
      </c>
      <c r="B2755" t="s">
        <v>47</v>
      </c>
      <c r="C2755" t="s">
        <v>48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22</v>
      </c>
      <c r="K2755" s="3">
        <f>I2755-J2755</f>
        <v>11</v>
      </c>
      <c r="L2755" s="3" t="str">
        <f t="shared" si="302"/>
        <v>MUITO BOM</v>
      </c>
      <c r="M2755">
        <v>16</v>
      </c>
      <c r="N2755">
        <v>94.29</v>
      </c>
      <c r="O2755">
        <v>25.647668393782389</v>
      </c>
    </row>
    <row r="2756" spans="1:15" customFormat="1" hidden="1" x14ac:dyDescent="0.25">
      <c r="A2756" s="11">
        <v>46087</v>
      </c>
      <c r="B2756" t="s">
        <v>31</v>
      </c>
      <c r="C2756" t="s">
        <v>32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 t="shared" si="302"/>
        <v>OPORTUNO</v>
      </c>
      <c r="M2756">
        <v>27</v>
      </c>
      <c r="N2756">
        <v>98.26</v>
      </c>
      <c r="O2756">
        <v>26.666666666666671</v>
      </c>
    </row>
    <row r="2757" spans="1:15" customFormat="1" hidden="1" x14ac:dyDescent="0.25">
      <c r="A2757" s="11">
        <v>46087</v>
      </c>
      <c r="B2757" t="s">
        <v>59</v>
      </c>
      <c r="C2757" t="s">
        <v>23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18</v>
      </c>
      <c r="K2757" s="3">
        <f>I2757-J2757</f>
        <v>3</v>
      </c>
      <c r="L2757" s="3" t="str">
        <f t="shared" si="302"/>
        <v>OPORTUNO</v>
      </c>
      <c r="M2757">
        <v>22</v>
      </c>
      <c r="N2757">
        <v>98.2</v>
      </c>
      <c r="O2757">
        <v>23.37962962962963</v>
      </c>
    </row>
    <row r="2758" spans="1:15" customFormat="1" hidden="1" x14ac:dyDescent="0.25">
      <c r="A2758" s="11">
        <v>46087</v>
      </c>
      <c r="B2758" t="s">
        <v>33</v>
      </c>
      <c r="C2758" t="s">
        <v>32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27</v>
      </c>
      <c r="K2758" s="3">
        <f>I2758-J2758</f>
        <v>-2</v>
      </c>
      <c r="L2758" s="3" t="str">
        <f t="shared" si="302"/>
        <v>ATENÇÃO</v>
      </c>
      <c r="M2758">
        <v>27</v>
      </c>
      <c r="N2758">
        <v>97.3</v>
      </c>
      <c r="O2758">
        <v>23.84769539078156</v>
      </c>
    </row>
    <row r="2759" spans="1:15" customFormat="1" hidden="1" x14ac:dyDescent="0.25">
      <c r="A2759" s="11">
        <v>46087</v>
      </c>
      <c r="B2759" t="s">
        <v>15</v>
      </c>
      <c r="C2759" t="s">
        <v>16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8</v>
      </c>
      <c r="K2759" s="3">
        <f>I2759-J2759</f>
        <v>-2</v>
      </c>
      <c r="L2759" s="3" t="str">
        <f t="shared" si="302"/>
        <v>ATENÇÃO</v>
      </c>
      <c r="M2759">
        <v>5</v>
      </c>
      <c r="N2759">
        <v>100</v>
      </c>
      <c r="O2759">
        <v>25.268817204301079</v>
      </c>
    </row>
    <row r="2760" spans="1:15" customFormat="1" hidden="1" x14ac:dyDescent="0.25">
      <c r="A2760" s="11">
        <v>46087</v>
      </c>
      <c r="B2760" t="s">
        <v>49</v>
      </c>
      <c r="C2760" t="s">
        <v>48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21</v>
      </c>
      <c r="L2760" s="3" t="str">
        <f t="shared" si="302"/>
        <v>MUITO BOM</v>
      </c>
      <c r="M2760">
        <v>42</v>
      </c>
      <c r="N2760">
        <v>99.32</v>
      </c>
      <c r="O2760">
        <v>22.822822822822818</v>
      </c>
    </row>
    <row r="2761" spans="1:15" customFormat="1" hidden="1" x14ac:dyDescent="0.25">
      <c r="A2761" s="11">
        <v>46087</v>
      </c>
      <c r="B2761" t="s">
        <v>50</v>
      </c>
      <c r="C2761" t="s">
        <v>48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22</v>
      </c>
      <c r="K2761" s="3">
        <f>I2761-J2761</f>
        <v>1</v>
      </c>
      <c r="L2761" s="3" t="str">
        <f t="shared" si="302"/>
        <v>OPORTUNO</v>
      </c>
      <c r="M2761">
        <v>24</v>
      </c>
      <c r="N2761">
        <v>100</v>
      </c>
      <c r="O2761">
        <v>27.966101694915249</v>
      </c>
    </row>
    <row r="2762" spans="1:15" customFormat="1" hidden="1" x14ac:dyDescent="0.25">
      <c r="A2762" s="11">
        <v>46087</v>
      </c>
      <c r="B2762" t="s">
        <v>17</v>
      </c>
      <c r="C2762" t="s">
        <v>16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 t="shared" si="302"/>
        <v>OPORTUNO</v>
      </c>
      <c r="M2762">
        <v>0</v>
      </c>
      <c r="N2762">
        <v>100</v>
      </c>
      <c r="O2762">
        <v>30.434782608695659</v>
      </c>
    </row>
    <row r="2763" spans="1:15" customFormat="1" hidden="1" x14ac:dyDescent="0.25">
      <c r="A2763" s="11">
        <v>46087</v>
      </c>
      <c r="B2763" t="s">
        <v>60</v>
      </c>
      <c r="C2763" t="s">
        <v>23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0</v>
      </c>
      <c r="L2763" s="3" t="str">
        <f t="shared" si="302"/>
        <v>OPORTUNO</v>
      </c>
      <c r="M2763">
        <v>15</v>
      </c>
      <c r="N2763">
        <v>96.51</v>
      </c>
      <c r="O2763">
        <v>22.802850356294542</v>
      </c>
    </row>
    <row r="2764" spans="1:15" customFormat="1" hidden="1" x14ac:dyDescent="0.25">
      <c r="A2764" s="11">
        <v>46087</v>
      </c>
      <c r="B2764" t="s">
        <v>34</v>
      </c>
      <c r="C2764" t="s">
        <v>32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302"/>
        <v>OPORTUNO</v>
      </c>
      <c r="M2764">
        <v>0</v>
      </c>
      <c r="N2764">
        <v>92.68</v>
      </c>
      <c r="O2764">
        <v>27.777777777777779</v>
      </c>
    </row>
    <row r="2765" spans="1:15" customFormat="1" hidden="1" x14ac:dyDescent="0.25">
      <c r="A2765" s="11">
        <v>46087</v>
      </c>
      <c r="B2765" t="s">
        <v>51</v>
      </c>
      <c r="C2765" t="s">
        <v>48</v>
      </c>
      <c r="D2765">
        <v>31</v>
      </c>
      <c r="E2765">
        <v>27</v>
      </c>
      <c r="F2765">
        <v>23.43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 t="shared" si="302"/>
        <v>OPORTUNO</v>
      </c>
      <c r="M2765">
        <v>27</v>
      </c>
      <c r="N2765">
        <v>99.03</v>
      </c>
      <c r="O2765">
        <v>23.991507430997881</v>
      </c>
    </row>
    <row r="2766" spans="1:15" customFormat="1" hidden="1" x14ac:dyDescent="0.25">
      <c r="A2766" s="11">
        <v>46087</v>
      </c>
      <c r="B2766" t="s">
        <v>61</v>
      </c>
      <c r="C2766" t="s">
        <v>23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18</v>
      </c>
      <c r="K2766" s="3">
        <f>I2766-J2766</f>
        <v>3</v>
      </c>
      <c r="L2766" s="3" t="str">
        <f t="shared" si="302"/>
        <v>OPORTUNO</v>
      </c>
      <c r="M2766">
        <v>17</v>
      </c>
      <c r="N2766">
        <v>98.41</v>
      </c>
      <c r="O2766">
        <v>28.138528138528141</v>
      </c>
    </row>
    <row r="2767" spans="1:15" customFormat="1" hidden="1" x14ac:dyDescent="0.25">
      <c r="A2767" s="11">
        <v>46087</v>
      </c>
      <c r="B2767" t="s">
        <v>35</v>
      </c>
      <c r="C2767" t="s">
        <v>32</v>
      </c>
      <c r="D2767">
        <v>29</v>
      </c>
      <c r="E2767">
        <v>29</v>
      </c>
      <c r="F2767">
        <v>22.2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 t="shared" si="302"/>
        <v>OPORTUNO</v>
      </c>
      <c r="M2767">
        <v>29</v>
      </c>
      <c r="N2767">
        <v>98.73</v>
      </c>
      <c r="O2767">
        <v>29.142857142857139</v>
      </c>
    </row>
    <row r="2768" spans="1:15" customFormat="1" hidden="1" x14ac:dyDescent="0.25">
      <c r="A2768" s="11">
        <v>46087</v>
      </c>
      <c r="B2768" t="s">
        <v>18</v>
      </c>
      <c r="C2768" t="s">
        <v>16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ref="I2768:I2774" si="303">E2768+G2768+H2768</f>
        <v>35</v>
      </c>
      <c r="J2768" s="3">
        <f t="shared" ref="J2768:J2774" si="304"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8</v>
      </c>
      <c r="K2768" s="3">
        <f t="shared" ref="K2768:K2774" si="305">I2768-J2768</f>
        <v>27</v>
      </c>
      <c r="L2768" s="3" t="str">
        <f t="shared" si="302"/>
        <v>MUITO BOM</v>
      </c>
      <c r="M2768">
        <v>5</v>
      </c>
      <c r="N2768">
        <v>90.48</v>
      </c>
      <c r="O2768">
        <v>20.68965517241379</v>
      </c>
    </row>
    <row r="2769" spans="1:15" customFormat="1" hidden="1" x14ac:dyDescent="0.25">
      <c r="A2769" s="11">
        <v>46087</v>
      </c>
      <c r="B2769" t="s">
        <v>52</v>
      </c>
      <c r="C2769" t="s">
        <v>48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303"/>
        <v>26</v>
      </c>
      <c r="J2769" s="3">
        <f t="shared" si="304"/>
        <v>22</v>
      </c>
      <c r="K2769" s="3">
        <f t="shared" si="305"/>
        <v>4</v>
      </c>
      <c r="L2769" s="3" t="str">
        <f t="shared" si="302"/>
        <v>OPORTUNO</v>
      </c>
      <c r="M2769">
        <v>22</v>
      </c>
      <c r="N2769">
        <v>98.06</v>
      </c>
      <c r="O2769">
        <v>24.789915966386559</v>
      </c>
    </row>
    <row r="2770" spans="1:15" customFormat="1" hidden="1" x14ac:dyDescent="0.25">
      <c r="A2770" s="11">
        <v>46087</v>
      </c>
      <c r="B2770" t="s">
        <v>36</v>
      </c>
      <c r="C2770" t="s">
        <v>32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303"/>
        <v>19</v>
      </c>
      <c r="J2770" s="3">
        <f t="shared" si="304"/>
        <v>27</v>
      </c>
      <c r="K2770" s="3">
        <f t="shared" si="305"/>
        <v>-8</v>
      </c>
      <c r="L2770" s="3" t="str">
        <f t="shared" si="302"/>
        <v>CRÍTICO</v>
      </c>
      <c r="M2770">
        <v>21</v>
      </c>
      <c r="N2770">
        <v>97.78</v>
      </c>
      <c r="O2770">
        <v>25.494071146245059</v>
      </c>
    </row>
    <row r="2771" spans="1:15" customFormat="1" hidden="1" x14ac:dyDescent="0.25">
      <c r="A2771" s="11">
        <v>46087</v>
      </c>
      <c r="B2771" t="s">
        <v>53</v>
      </c>
      <c r="C2771" t="s">
        <v>48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si="303"/>
        <v>26</v>
      </c>
      <c r="J2771" s="3">
        <f t="shared" si="304"/>
        <v>22</v>
      </c>
      <c r="K2771" s="3">
        <f t="shared" si="305"/>
        <v>4</v>
      </c>
      <c r="L2771" s="3" t="str">
        <f t="shared" si="302"/>
        <v>OPORTUNO</v>
      </c>
      <c r="M2771">
        <v>27</v>
      </c>
      <c r="N2771">
        <v>98.02</v>
      </c>
      <c r="O2771">
        <v>23.484848484848481</v>
      </c>
    </row>
    <row r="2772" spans="1:15" customFormat="1" hidden="1" x14ac:dyDescent="0.25">
      <c r="A2772" s="11">
        <v>46121</v>
      </c>
      <c r="B2772" t="s">
        <v>22</v>
      </c>
      <c r="C2772" t="s">
        <v>23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303"/>
        <v>25</v>
      </c>
      <c r="J2772" s="3">
        <f t="shared" si="304"/>
        <v>17</v>
      </c>
      <c r="K2772" s="3">
        <f t="shared" si="305"/>
        <v>8</v>
      </c>
      <c r="L2772" s="3" t="str">
        <f t="shared" si="302"/>
        <v>MUITO BOM</v>
      </c>
      <c r="M2772">
        <v>22</v>
      </c>
      <c r="N2772">
        <v>99.28</v>
      </c>
      <c r="O2772">
        <v>27.689243027888441</v>
      </c>
    </row>
    <row r="2773" spans="1:15" customFormat="1" hidden="1" x14ac:dyDescent="0.25">
      <c r="A2773" s="11">
        <v>46087</v>
      </c>
      <c r="B2773" t="s">
        <v>54</v>
      </c>
      <c r="C2773" t="s">
        <v>48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303"/>
        <v>29</v>
      </c>
      <c r="J2773" s="3">
        <f t="shared" si="304"/>
        <v>22</v>
      </c>
      <c r="K2773" s="3">
        <f t="shared" si="305"/>
        <v>7</v>
      </c>
      <c r="L2773" s="3" t="str">
        <f t="shared" si="302"/>
        <v>MUITO BOM</v>
      </c>
      <c r="M2773">
        <v>26</v>
      </c>
      <c r="N2773">
        <v>100</v>
      </c>
      <c r="O2773">
        <v>27.04918032786885</v>
      </c>
    </row>
    <row r="2774" spans="1:15" customFormat="1" hidden="1" x14ac:dyDescent="0.25">
      <c r="A2774" s="11">
        <v>46087</v>
      </c>
      <c r="B2774" t="s">
        <v>37</v>
      </c>
      <c r="C2774" t="s">
        <v>32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303"/>
        <v>46</v>
      </c>
      <c r="J2774" s="3">
        <f t="shared" si="304"/>
        <v>27</v>
      </c>
      <c r="K2774" s="3">
        <f t="shared" si="305"/>
        <v>19</v>
      </c>
      <c r="L2774" s="3" t="str">
        <f t="shared" si="302"/>
        <v>MUITO BOM</v>
      </c>
      <c r="M2774">
        <v>48</v>
      </c>
      <c r="N2774">
        <v>97.83</v>
      </c>
      <c r="O2774">
        <v>26.315789473684209</v>
      </c>
    </row>
    <row r="2775" spans="1:15" customFormat="1" hidden="1" x14ac:dyDescent="0.25">
      <c r="A2775" s="11">
        <v>46087</v>
      </c>
      <c r="B2775" t="s">
        <v>38</v>
      </c>
      <c r="C2775" t="s">
        <v>32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 t="shared" si="302"/>
        <v>OPORTUNO</v>
      </c>
      <c r="M2775">
        <v>6</v>
      </c>
      <c r="N2775">
        <v>100</v>
      </c>
      <c r="O2775">
        <v>26.701570680628269</v>
      </c>
    </row>
    <row r="2776" spans="1:15" customFormat="1" hidden="1" x14ac:dyDescent="0.25">
      <c r="A2776" s="11">
        <v>46087</v>
      </c>
      <c r="B2776" t="s">
        <v>55</v>
      </c>
      <c r="C2776" t="s">
        <v>48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22</v>
      </c>
      <c r="K2776" s="3">
        <f>I2776-J2776</f>
        <v>12</v>
      </c>
      <c r="L2776" s="3" t="str">
        <f t="shared" si="302"/>
        <v>MUITO BOM</v>
      </c>
      <c r="M2776">
        <v>29</v>
      </c>
      <c r="N2776">
        <v>97.47</v>
      </c>
      <c r="O2776">
        <v>22.887323943661968</v>
      </c>
    </row>
    <row r="2777" spans="1:15" customFormat="1" hidden="1" x14ac:dyDescent="0.25">
      <c r="A2777" s="11">
        <v>46087</v>
      </c>
      <c r="B2777" t="s">
        <v>39</v>
      </c>
      <c r="C2777" t="s">
        <v>32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 t="shared" si="302"/>
        <v>OPORTUNO</v>
      </c>
      <c r="M2777">
        <v>0</v>
      </c>
      <c r="N2777">
        <v>0</v>
      </c>
      <c r="O2777">
        <v>0</v>
      </c>
    </row>
    <row r="2778" spans="1:15" customFormat="1" hidden="1" x14ac:dyDescent="0.25">
      <c r="A2778" s="11">
        <v>46087</v>
      </c>
      <c r="B2778" t="s">
        <v>25</v>
      </c>
      <c r="C2778" t="s">
        <v>26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16</v>
      </c>
      <c r="K2778" s="3">
        <f>I2778-J2778</f>
        <v>7</v>
      </c>
      <c r="L2778" s="3" t="str">
        <f t="shared" si="302"/>
        <v>MUITO BOM</v>
      </c>
      <c r="M2778">
        <v>22</v>
      </c>
      <c r="N2778">
        <v>98.31</v>
      </c>
      <c r="O2778">
        <v>24.920127795527151</v>
      </c>
    </row>
    <row r="2779" spans="1:15" customFormat="1" hidden="1" x14ac:dyDescent="0.25">
      <c r="A2779" s="11">
        <v>46087</v>
      </c>
      <c r="B2779" t="s">
        <v>40</v>
      </c>
      <c r="C2779" t="s">
        <v>32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 t="shared" si="302"/>
        <v>OPORTUNO</v>
      </c>
      <c r="M2779">
        <v>9</v>
      </c>
      <c r="N2779">
        <v>96.81</v>
      </c>
      <c r="O2779">
        <v>32.365145228215773</v>
      </c>
    </row>
    <row r="2780" spans="1:15" customFormat="1" hidden="1" x14ac:dyDescent="0.25">
      <c r="A2780" s="11">
        <v>46087</v>
      </c>
      <c r="B2780" t="s">
        <v>27</v>
      </c>
      <c r="C2780" t="s">
        <v>26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16</v>
      </c>
      <c r="K2780" s="3">
        <f>I2780-J2780</f>
        <v>-7</v>
      </c>
      <c r="L2780" s="3" t="str">
        <f t="shared" si="302"/>
        <v>CRÍTICO</v>
      </c>
      <c r="M2780">
        <v>9</v>
      </c>
      <c r="N2780">
        <v>100</v>
      </c>
      <c r="O2780">
        <v>26.47058823529412</v>
      </c>
    </row>
    <row r="2781" spans="1:15" customFormat="1" hidden="1" x14ac:dyDescent="0.25">
      <c r="A2781" s="11">
        <v>46087</v>
      </c>
      <c r="B2781" t="s">
        <v>41</v>
      </c>
      <c r="C2781" t="s">
        <v>32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 t="shared" si="302"/>
        <v>OPORTUNO</v>
      </c>
      <c r="M2781">
        <v>5</v>
      </c>
      <c r="N2781">
        <v>100</v>
      </c>
      <c r="O2781">
        <v>28.490028490028489</v>
      </c>
    </row>
    <row r="2782" spans="1:15" customFormat="1" hidden="1" x14ac:dyDescent="0.25">
      <c r="A2782" s="11">
        <v>46087</v>
      </c>
      <c r="B2782" t="s">
        <v>56</v>
      </c>
      <c r="C2782" t="s">
        <v>48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22</v>
      </c>
      <c r="K2782" s="3">
        <f>I2782-J2782</f>
        <v>7</v>
      </c>
      <c r="L2782" s="3" t="str">
        <f t="shared" si="302"/>
        <v>MUITO BOM</v>
      </c>
      <c r="M2782">
        <v>19</v>
      </c>
      <c r="N2782">
        <v>99.14</v>
      </c>
      <c r="O2782">
        <v>27.2289156626506</v>
      </c>
    </row>
    <row r="2783" spans="1:15" customFormat="1" hidden="1" x14ac:dyDescent="0.25">
      <c r="A2783" s="11">
        <v>46087</v>
      </c>
      <c r="B2783" t="s">
        <v>57</v>
      </c>
      <c r="C2783" t="s">
        <v>48</v>
      </c>
      <c r="D2783">
        <v>29</v>
      </c>
      <c r="E2783">
        <v>26</v>
      </c>
      <c r="F2783">
        <v>20.02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 t="shared" si="302"/>
        <v>OPORTUNO</v>
      </c>
      <c r="M2783">
        <v>25</v>
      </c>
      <c r="N2783">
        <v>97.52</v>
      </c>
      <c r="O2783">
        <v>28.205128205128201</v>
      </c>
    </row>
    <row r="2784" spans="1:15" customFormat="1" hidden="1" x14ac:dyDescent="0.25">
      <c r="A2784" s="11">
        <v>46087</v>
      </c>
      <c r="B2784" t="s">
        <v>42</v>
      </c>
      <c r="C2784" t="s">
        <v>32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ref="I2784:I2789" si="306">E2784+G2784+H2784</f>
        <v>32</v>
      </c>
      <c r="J2784" s="3">
        <f t="shared" ref="J2784:J2789" si="307"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27</v>
      </c>
      <c r="K2784" s="3">
        <f t="shared" ref="K2784:K2789" si="308">I2784-J2784</f>
        <v>5</v>
      </c>
      <c r="L2784" s="3" t="str">
        <f t="shared" si="302"/>
        <v>OPORTUNO</v>
      </c>
      <c r="M2784">
        <v>19</v>
      </c>
      <c r="N2784">
        <v>90</v>
      </c>
      <c r="O2784">
        <v>24.186046511627911</v>
      </c>
    </row>
    <row r="2785" spans="1:15" customFormat="1" hidden="1" x14ac:dyDescent="0.25">
      <c r="A2785" s="11">
        <v>46087</v>
      </c>
      <c r="B2785" t="s">
        <v>62</v>
      </c>
      <c r="C2785" t="s">
        <v>23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306"/>
        <v>20</v>
      </c>
      <c r="J2785" s="3">
        <f t="shared" si="307"/>
        <v>18</v>
      </c>
      <c r="K2785" s="3">
        <f t="shared" si="308"/>
        <v>2</v>
      </c>
      <c r="L2785" s="3" t="str">
        <f t="shared" si="302"/>
        <v>OPORTUNO</v>
      </c>
      <c r="M2785">
        <v>20</v>
      </c>
      <c r="N2785">
        <v>98.9</v>
      </c>
      <c r="O2785">
        <v>26.763990267639901</v>
      </c>
    </row>
    <row r="2786" spans="1:15" customFormat="1" hidden="1" x14ac:dyDescent="0.25">
      <c r="A2786" s="11">
        <v>46087</v>
      </c>
      <c r="B2786" t="s">
        <v>19</v>
      </c>
      <c r="C2786" t="s">
        <v>16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306"/>
        <v>28</v>
      </c>
      <c r="J2786" s="3">
        <f t="shared" si="307"/>
        <v>8</v>
      </c>
      <c r="K2786" s="3">
        <f t="shared" si="308"/>
        <v>20</v>
      </c>
      <c r="L2786" s="3" t="str">
        <f t="shared" si="302"/>
        <v>MUITO BOM</v>
      </c>
      <c r="M2786">
        <v>1</v>
      </c>
      <c r="N2786">
        <v>88.89</v>
      </c>
      <c r="O2786">
        <v>25.263157894736839</v>
      </c>
    </row>
    <row r="2787" spans="1:15" customFormat="1" hidden="1" x14ac:dyDescent="0.25">
      <c r="A2787" s="11">
        <v>46087</v>
      </c>
      <c r="B2787" t="s">
        <v>43</v>
      </c>
      <c r="C2787" t="s">
        <v>32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306"/>
        <v>10</v>
      </c>
      <c r="J2787" s="3">
        <f t="shared" si="307"/>
        <v>27</v>
      </c>
      <c r="K2787" s="3">
        <f t="shared" si="308"/>
        <v>-17</v>
      </c>
      <c r="L2787" s="3" t="str">
        <f t="shared" si="302"/>
        <v>CRÍTICO</v>
      </c>
      <c r="M2787">
        <v>48</v>
      </c>
      <c r="N2787">
        <v>98.86</v>
      </c>
      <c r="O2787">
        <v>28.959276018099551</v>
      </c>
    </row>
    <row r="2788" spans="1:15" customFormat="1" hidden="1" x14ac:dyDescent="0.25">
      <c r="A2788" s="11">
        <v>46087</v>
      </c>
      <c r="B2788" t="s">
        <v>44</v>
      </c>
      <c r="C2788" t="s">
        <v>32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306"/>
        <v>29</v>
      </c>
      <c r="J2788" s="3">
        <f t="shared" si="307"/>
        <v>27</v>
      </c>
      <c r="K2788" s="3">
        <f t="shared" si="308"/>
        <v>2</v>
      </c>
      <c r="L2788" s="3" t="str">
        <f t="shared" si="302"/>
        <v>OPORTUNO</v>
      </c>
      <c r="M2788">
        <v>26</v>
      </c>
      <c r="N2788">
        <v>98.06</v>
      </c>
      <c r="O2788">
        <v>22.40566037735849</v>
      </c>
    </row>
    <row r="2789" spans="1:15" customFormat="1" hidden="1" x14ac:dyDescent="0.25">
      <c r="A2789" s="11">
        <v>46087</v>
      </c>
      <c r="B2789" t="s">
        <v>20</v>
      </c>
      <c r="C2789" t="s">
        <v>16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306"/>
        <v>4</v>
      </c>
      <c r="J2789" s="3">
        <f t="shared" si="307"/>
        <v>8</v>
      </c>
      <c r="K2789" s="3">
        <f t="shared" si="308"/>
        <v>-4</v>
      </c>
      <c r="L2789" s="3" t="str">
        <f t="shared" si="302"/>
        <v>ATENÇÃO</v>
      </c>
      <c r="M2789">
        <v>2</v>
      </c>
      <c r="N2789">
        <v>95.83</v>
      </c>
      <c r="O2789">
        <v>25.773195876288661</v>
      </c>
    </row>
    <row r="2790" spans="1:15" customFormat="1" hidden="1" x14ac:dyDescent="0.25">
      <c r="A2790" s="11">
        <v>46087</v>
      </c>
      <c r="B2790" t="s">
        <v>28</v>
      </c>
      <c r="C2790" t="s">
        <v>26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 t="shared" si="302"/>
        <v>OPORTUNO</v>
      </c>
      <c r="M2790">
        <v>0</v>
      </c>
      <c r="N2790">
        <v>100</v>
      </c>
      <c r="O2790">
        <v>15.38461538461539</v>
      </c>
    </row>
    <row r="2791" spans="1:15" customFormat="1" hidden="1" x14ac:dyDescent="0.25">
      <c r="A2791" s="11">
        <v>46087</v>
      </c>
      <c r="B2791" t="s">
        <v>58</v>
      </c>
      <c r="C2791" t="s">
        <v>48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22</v>
      </c>
      <c r="K2791" s="3">
        <f>I2791-J2791</f>
        <v>8</v>
      </c>
      <c r="L2791" s="3" t="str">
        <f t="shared" si="302"/>
        <v>MUITO BOM</v>
      </c>
      <c r="M2791">
        <v>26</v>
      </c>
      <c r="N2791">
        <v>100</v>
      </c>
      <c r="O2791">
        <v>27.514792899408281</v>
      </c>
    </row>
    <row r="2792" spans="1:15" customFormat="1" hidden="1" x14ac:dyDescent="0.25">
      <c r="A2792" s="11">
        <v>46087</v>
      </c>
      <c r="B2792" t="s">
        <v>29</v>
      </c>
      <c r="C2792" t="s">
        <v>26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-1</v>
      </c>
      <c r="L2792" s="3" t="str">
        <f t="shared" si="302"/>
        <v>ATENÇÃO</v>
      </c>
      <c r="M2792">
        <v>14</v>
      </c>
      <c r="N2792">
        <v>100</v>
      </c>
      <c r="O2792">
        <v>24.875621890547269</v>
      </c>
    </row>
    <row r="2793" spans="1:15" customFormat="1" hidden="1" x14ac:dyDescent="0.25">
      <c r="A2793" s="11">
        <v>46087</v>
      </c>
      <c r="B2793" t="s">
        <v>30</v>
      </c>
      <c r="C2793" t="s">
        <v>26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16</v>
      </c>
      <c r="K2793" s="3">
        <f>I2793-J2793</f>
        <v>-8</v>
      </c>
      <c r="L2793" s="3" t="str">
        <f t="shared" si="302"/>
        <v>CRÍTICO</v>
      </c>
      <c r="M2793">
        <v>4</v>
      </c>
      <c r="N2793">
        <v>100</v>
      </c>
      <c r="O2793">
        <v>28.108108108108109</v>
      </c>
    </row>
    <row r="2794" spans="1:15" customFormat="1" hidden="1" x14ac:dyDescent="0.25">
      <c r="A2794" s="11">
        <v>46087</v>
      </c>
      <c r="B2794" t="s">
        <v>21</v>
      </c>
      <c r="C2794" t="s">
        <v>16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 t="shared" si="302"/>
        <v>OPORTUNO</v>
      </c>
      <c r="M2794">
        <v>0</v>
      </c>
      <c r="N2794">
        <v>100</v>
      </c>
      <c r="O2794">
        <v>35</v>
      </c>
    </row>
    <row r="2795" spans="1:15" customFormat="1" hidden="1" x14ac:dyDescent="0.25">
      <c r="A2795" s="11">
        <v>46087</v>
      </c>
      <c r="B2795" t="s">
        <v>63</v>
      </c>
      <c r="C2795" t="s">
        <v>23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18</v>
      </c>
      <c r="K2795" s="3">
        <f>I2795-J2795</f>
        <v>0</v>
      </c>
      <c r="L2795" s="3" t="str">
        <f t="shared" si="302"/>
        <v>OPORTUNO</v>
      </c>
      <c r="M2795">
        <v>14</v>
      </c>
      <c r="N2795">
        <v>95.35</v>
      </c>
      <c r="O2795">
        <v>28.61538461538461</v>
      </c>
    </row>
    <row r="2796" spans="1:15" customFormat="1" hidden="1" x14ac:dyDescent="0.25">
      <c r="A2796" s="11">
        <v>46087</v>
      </c>
      <c r="B2796" t="s">
        <v>45</v>
      </c>
      <c r="C2796" t="s">
        <v>32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27</v>
      </c>
      <c r="K2796" s="3">
        <f>I2796-J2796</f>
        <v>15</v>
      </c>
      <c r="L2796" s="3" t="str">
        <f t="shared" si="302"/>
        <v>MUITO BOM</v>
      </c>
      <c r="M2796">
        <v>39</v>
      </c>
      <c r="N2796">
        <v>98.26</v>
      </c>
      <c r="O2796">
        <v>27.54491017964072</v>
      </c>
    </row>
    <row r="2797" spans="1:15" customFormat="1" hidden="1" x14ac:dyDescent="0.25">
      <c r="A2797" s="11">
        <v>46087</v>
      </c>
      <c r="B2797" t="s">
        <v>64</v>
      </c>
      <c r="C2797" t="s">
        <v>23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18</v>
      </c>
      <c r="K2797" s="3">
        <f>I2797-J2797</f>
        <v>-4</v>
      </c>
      <c r="L2797" s="3" t="str">
        <f t="shared" si="302"/>
        <v>ATENÇÃO</v>
      </c>
      <c r="M2797">
        <v>13</v>
      </c>
      <c r="N2797">
        <v>98.55</v>
      </c>
      <c r="O2797">
        <v>25.337837837837839</v>
      </c>
    </row>
    <row r="2798" spans="1:15" customFormat="1" hidden="1" x14ac:dyDescent="0.25">
      <c r="A2798" s="11">
        <v>46087</v>
      </c>
      <c r="B2798" t="s">
        <v>46</v>
      </c>
      <c r="C2798" t="s">
        <v>32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27</v>
      </c>
      <c r="K2798" s="3">
        <f>I2798-J2798</f>
        <v>10</v>
      </c>
      <c r="L2798" s="3" t="str">
        <f t="shared" si="302"/>
        <v>MUITO BOM</v>
      </c>
      <c r="M2798">
        <v>29</v>
      </c>
      <c r="N2798">
        <v>98.39</v>
      </c>
      <c r="O2798">
        <v>25.563909774436091</v>
      </c>
    </row>
    <row r="2799" spans="1:15" customFormat="1" hidden="1" x14ac:dyDescent="0.25">
      <c r="A2799" s="11">
        <v>46090</v>
      </c>
      <c r="B2799" t="s">
        <v>47</v>
      </c>
      <c r="C2799" t="s">
        <v>48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17</v>
      </c>
      <c r="K2799" s="3">
        <f>I2799-J2799</f>
        <v>3</v>
      </c>
      <c r="L2799" s="3" t="str">
        <f t="shared" si="302"/>
        <v>OPORTUNO</v>
      </c>
      <c r="M2799">
        <v>18</v>
      </c>
      <c r="N2799">
        <v>94.29</v>
      </c>
      <c r="O2799">
        <v>25.647668393782389</v>
      </c>
    </row>
    <row r="2800" spans="1:15" customFormat="1" hidden="1" x14ac:dyDescent="0.25">
      <c r="A2800" s="11">
        <v>46090</v>
      </c>
      <c r="B2800" t="s">
        <v>31</v>
      </c>
      <c r="C2800" t="s">
        <v>32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 t="shared" si="302"/>
        <v>OPORTUNO</v>
      </c>
      <c r="M2800">
        <v>24</v>
      </c>
      <c r="N2800">
        <v>98.26</v>
      </c>
      <c r="O2800">
        <v>26.666666666666671</v>
      </c>
    </row>
    <row r="2801" spans="1:15" customFormat="1" hidden="1" x14ac:dyDescent="0.25">
      <c r="A2801" s="11">
        <v>46090</v>
      </c>
      <c r="B2801" t="s">
        <v>59</v>
      </c>
      <c r="C2801" t="s">
        <v>23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14</v>
      </c>
      <c r="K2801" s="3">
        <f>I2801-J2801</f>
        <v>5</v>
      </c>
      <c r="L2801" s="3" t="str">
        <f t="shared" si="302"/>
        <v>OPORTUNO</v>
      </c>
      <c r="M2801">
        <v>18</v>
      </c>
      <c r="N2801">
        <v>98.2</v>
      </c>
      <c r="O2801">
        <v>23.37962962962963</v>
      </c>
    </row>
    <row r="2802" spans="1:15" customFormat="1" hidden="1" x14ac:dyDescent="0.25">
      <c r="A2802" s="11">
        <v>46090</v>
      </c>
      <c r="B2802" t="s">
        <v>33</v>
      </c>
      <c r="C2802" t="s">
        <v>32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21</v>
      </c>
      <c r="K2802" s="3">
        <f>I2802-J2802</f>
        <v>2</v>
      </c>
      <c r="L2802" s="3" t="str">
        <f t="shared" si="302"/>
        <v>OPORTUNO</v>
      </c>
      <c r="M2802">
        <v>19</v>
      </c>
      <c r="N2802">
        <v>97.3</v>
      </c>
      <c r="O2802">
        <v>23.84769539078156</v>
      </c>
    </row>
    <row r="2803" spans="1:15" customFormat="1" hidden="1" x14ac:dyDescent="0.25">
      <c r="A2803" s="11">
        <v>46090</v>
      </c>
      <c r="B2803" t="s">
        <v>15</v>
      </c>
      <c r="C2803" t="s">
        <v>16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 t="shared" si="302"/>
        <v>OPORTUNO</v>
      </c>
      <c r="M2803">
        <v>8</v>
      </c>
      <c r="N2803">
        <v>100</v>
      </c>
      <c r="O2803">
        <v>25.268817204301079</v>
      </c>
    </row>
    <row r="2804" spans="1:15" customFormat="1" hidden="1" x14ac:dyDescent="0.25">
      <c r="A2804" s="11">
        <v>46090</v>
      </c>
      <c r="B2804" t="s">
        <v>49</v>
      </c>
      <c r="C2804" t="s">
        <v>48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19</v>
      </c>
      <c r="L2804" s="3" t="str">
        <f t="shared" si="302"/>
        <v>MUITO BOM</v>
      </c>
      <c r="M2804">
        <v>36</v>
      </c>
      <c r="N2804">
        <v>99.32</v>
      </c>
      <c r="O2804">
        <v>22.822822822822818</v>
      </c>
    </row>
    <row r="2805" spans="1:15" customFormat="1" hidden="1" x14ac:dyDescent="0.25">
      <c r="A2805" s="11">
        <v>46090</v>
      </c>
      <c r="B2805" t="s">
        <v>50</v>
      </c>
      <c r="C2805" t="s">
        <v>48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17</v>
      </c>
      <c r="K2805" s="3">
        <f>I2805-J2805</f>
        <v>-10</v>
      </c>
      <c r="L2805" s="3" t="str">
        <f t="shared" si="302"/>
        <v>CRÍTICO</v>
      </c>
      <c r="M2805">
        <v>9</v>
      </c>
      <c r="N2805">
        <v>100</v>
      </c>
      <c r="O2805">
        <v>27.966101694915249</v>
      </c>
    </row>
    <row r="2806" spans="1:15" customFormat="1" hidden="1" x14ac:dyDescent="0.25">
      <c r="A2806" s="11">
        <v>46090</v>
      </c>
      <c r="B2806" t="s">
        <v>17</v>
      </c>
      <c r="C2806" t="s">
        <v>16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 t="shared" si="302"/>
        <v>OPORTUNO</v>
      </c>
      <c r="M2806">
        <v>0</v>
      </c>
      <c r="N2806">
        <v>100</v>
      </c>
      <c r="O2806">
        <v>30.434782608695659</v>
      </c>
    </row>
    <row r="2807" spans="1:15" customFormat="1" hidden="1" x14ac:dyDescent="0.25">
      <c r="A2807" s="11">
        <v>46090</v>
      </c>
      <c r="B2807" t="s">
        <v>60</v>
      </c>
      <c r="C2807" t="s">
        <v>23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 t="shared" si="302"/>
        <v>OPORTUNO</v>
      </c>
      <c r="M2807">
        <v>18</v>
      </c>
      <c r="N2807">
        <v>96.51</v>
      </c>
      <c r="O2807">
        <v>22.802850356294542</v>
      </c>
    </row>
    <row r="2808" spans="1:15" customFormat="1" hidden="1" x14ac:dyDescent="0.25">
      <c r="A2808" s="11">
        <v>46090</v>
      </c>
      <c r="B2808" t="s">
        <v>34</v>
      </c>
      <c r="C2808" t="s">
        <v>32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21</v>
      </c>
      <c r="K2808" s="3">
        <f>I2808-J2808</f>
        <v>12</v>
      </c>
      <c r="L2808" s="3" t="str">
        <f t="shared" si="302"/>
        <v>MUITO BOM</v>
      </c>
      <c r="M2808">
        <v>29</v>
      </c>
      <c r="N2808">
        <v>92.68</v>
      </c>
      <c r="O2808">
        <v>27.777777777777779</v>
      </c>
    </row>
    <row r="2809" spans="1:15" customFormat="1" hidden="1" x14ac:dyDescent="0.25">
      <c r="A2809" s="11">
        <v>46090</v>
      </c>
      <c r="B2809" t="s">
        <v>51</v>
      </c>
      <c r="C2809" t="s">
        <v>48</v>
      </c>
      <c r="D2809">
        <v>30</v>
      </c>
      <c r="E2809">
        <v>28</v>
      </c>
      <c r="F2809">
        <v>27.06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 t="shared" si="302"/>
        <v>OPORTUNO</v>
      </c>
      <c r="M2809">
        <v>21</v>
      </c>
      <c r="N2809">
        <v>99.03</v>
      </c>
      <c r="O2809">
        <v>23.991507430997881</v>
      </c>
    </row>
    <row r="2810" spans="1:15" customFormat="1" hidden="1" x14ac:dyDescent="0.25">
      <c r="A2810" s="11">
        <v>46090</v>
      </c>
      <c r="B2810" t="s">
        <v>61</v>
      </c>
      <c r="C2810" t="s">
        <v>23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14</v>
      </c>
      <c r="K2810" s="3">
        <f>I2810-J2810</f>
        <v>5</v>
      </c>
      <c r="L2810" s="3" t="str">
        <f t="shared" si="302"/>
        <v>OPORTUNO</v>
      </c>
      <c r="M2810">
        <v>12</v>
      </c>
      <c r="N2810">
        <v>98.41</v>
      </c>
      <c r="O2810">
        <v>28.138528138528141</v>
      </c>
    </row>
    <row r="2811" spans="1:15" customFormat="1" hidden="1" x14ac:dyDescent="0.25">
      <c r="A2811" s="11">
        <v>46090</v>
      </c>
      <c r="B2811" t="s">
        <v>35</v>
      </c>
      <c r="C2811" t="s">
        <v>32</v>
      </c>
      <c r="D2811">
        <v>18</v>
      </c>
      <c r="E2811">
        <v>17</v>
      </c>
      <c r="F2811">
        <v>30.04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 t="shared" ref="L2811:L2874" si="309">IF(K2811&lt;-5,"CRÍTICO",IF(K2811&lt;0,"ATENÇÃO",IF(K2811&lt;=5,"OPORTUNO","MUITO BOM")))</f>
        <v>OPORTUNO</v>
      </c>
      <c r="M2811">
        <v>18</v>
      </c>
      <c r="N2811">
        <v>98.73</v>
      </c>
      <c r="O2811">
        <v>29.142857142857139</v>
      </c>
    </row>
    <row r="2812" spans="1:15" customFormat="1" hidden="1" x14ac:dyDescent="0.25">
      <c r="A2812" s="11">
        <v>46090</v>
      </c>
      <c r="B2812" t="s">
        <v>18</v>
      </c>
      <c r="C2812" t="s">
        <v>16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 t="shared" si="309"/>
        <v>OPORTUNO</v>
      </c>
      <c r="M2812">
        <v>4</v>
      </c>
      <c r="N2812">
        <v>90.48</v>
      </c>
      <c r="O2812">
        <v>20.68965517241379</v>
      </c>
    </row>
    <row r="2813" spans="1:15" customFormat="1" hidden="1" x14ac:dyDescent="0.25">
      <c r="A2813" s="11">
        <v>46090</v>
      </c>
      <c r="B2813" t="s">
        <v>52</v>
      </c>
      <c r="C2813" t="s">
        <v>48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8</v>
      </c>
      <c r="L2813" s="3" t="str">
        <f t="shared" si="309"/>
        <v>MUITO BOM</v>
      </c>
      <c r="M2813">
        <v>23</v>
      </c>
      <c r="N2813">
        <v>98.06</v>
      </c>
      <c r="O2813">
        <v>24.789915966386559</v>
      </c>
    </row>
    <row r="2814" spans="1:15" customFormat="1" hidden="1" x14ac:dyDescent="0.25">
      <c r="A2814" s="11">
        <v>46090</v>
      </c>
      <c r="B2814" t="s">
        <v>36</v>
      </c>
      <c r="C2814" t="s">
        <v>32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21</v>
      </c>
      <c r="K2814" s="3">
        <f>I2814-J2814</f>
        <v>5</v>
      </c>
      <c r="L2814" s="3" t="str">
        <f t="shared" si="309"/>
        <v>OPORTUNO</v>
      </c>
      <c r="M2814">
        <v>23</v>
      </c>
      <c r="N2814">
        <v>97.78</v>
      </c>
      <c r="O2814">
        <v>25.494071146245059</v>
      </c>
    </row>
    <row r="2815" spans="1:15" customFormat="1" hidden="1" x14ac:dyDescent="0.25">
      <c r="A2815" s="11">
        <v>46090</v>
      </c>
      <c r="B2815" t="s">
        <v>53</v>
      </c>
      <c r="C2815" t="s">
        <v>48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 t="shared" si="309"/>
        <v>OPORTUNO</v>
      </c>
      <c r="M2815">
        <v>0</v>
      </c>
      <c r="N2815">
        <v>98.02</v>
      </c>
      <c r="O2815">
        <v>23.484848484848481</v>
      </c>
    </row>
    <row r="2816" spans="1:15" customFormat="1" hidden="1" x14ac:dyDescent="0.25">
      <c r="A2816" s="11">
        <v>46122</v>
      </c>
      <c r="B2816" t="s">
        <v>22</v>
      </c>
      <c r="C2816" t="s">
        <v>23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4</v>
      </c>
      <c r="L2816" s="3" t="str">
        <f t="shared" si="309"/>
        <v>OPORTUNO</v>
      </c>
      <c r="M2816">
        <v>18</v>
      </c>
      <c r="N2816">
        <v>99.28</v>
      </c>
      <c r="O2816">
        <v>27.689243027888441</v>
      </c>
    </row>
    <row r="2817" spans="1:15" customFormat="1" hidden="1" x14ac:dyDescent="0.25">
      <c r="A2817" s="11">
        <v>46090</v>
      </c>
      <c r="B2817" t="s">
        <v>54</v>
      </c>
      <c r="C2817" t="s">
        <v>48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0</v>
      </c>
      <c r="L2817" s="3" t="str">
        <f t="shared" si="309"/>
        <v>OPORTUNO</v>
      </c>
      <c r="M2817">
        <v>16</v>
      </c>
      <c r="N2817">
        <v>100</v>
      </c>
      <c r="O2817">
        <v>27.04918032786885</v>
      </c>
    </row>
    <row r="2818" spans="1:15" customFormat="1" hidden="1" x14ac:dyDescent="0.25">
      <c r="A2818" s="11">
        <v>46090</v>
      </c>
      <c r="B2818" t="s">
        <v>37</v>
      </c>
      <c r="C2818" t="s">
        <v>32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18</v>
      </c>
      <c r="L2818" s="3" t="str">
        <f t="shared" si="309"/>
        <v>MUITO BOM</v>
      </c>
      <c r="M2818">
        <v>41</v>
      </c>
      <c r="N2818">
        <v>97.83</v>
      </c>
      <c r="O2818">
        <v>26.315789473684209</v>
      </c>
    </row>
    <row r="2819" spans="1:15" customFormat="1" hidden="1" x14ac:dyDescent="0.25">
      <c r="A2819" s="11">
        <v>46090</v>
      </c>
      <c r="B2819" t="s">
        <v>38</v>
      </c>
      <c r="C2819" t="s">
        <v>32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21</v>
      </c>
      <c r="K2819" s="3">
        <f>I2819-J2819</f>
        <v>-18</v>
      </c>
      <c r="L2819" s="3" t="str">
        <f t="shared" si="309"/>
        <v>CRÍTICO</v>
      </c>
      <c r="M2819">
        <v>6</v>
      </c>
      <c r="N2819">
        <v>100</v>
      </c>
      <c r="O2819">
        <v>26.701570680628269</v>
      </c>
    </row>
    <row r="2820" spans="1:15" customFormat="1" hidden="1" x14ac:dyDescent="0.25">
      <c r="A2820" s="11">
        <v>46090</v>
      </c>
      <c r="B2820" t="s">
        <v>55</v>
      </c>
      <c r="C2820" t="s">
        <v>48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17</v>
      </c>
      <c r="K2820" s="3">
        <f>I2820-J2820</f>
        <v>9</v>
      </c>
      <c r="L2820" s="3" t="str">
        <f t="shared" si="309"/>
        <v>MUITO BOM</v>
      </c>
      <c r="M2820">
        <v>24</v>
      </c>
      <c r="N2820">
        <v>97.47</v>
      </c>
      <c r="O2820">
        <v>22.887323943661968</v>
      </c>
    </row>
    <row r="2821" spans="1:15" customFormat="1" hidden="1" x14ac:dyDescent="0.25">
      <c r="A2821" s="11">
        <v>46090</v>
      </c>
      <c r="B2821" t="s">
        <v>39</v>
      </c>
      <c r="C2821" t="s">
        <v>32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 t="shared" si="309"/>
        <v>OPORTUNO</v>
      </c>
      <c r="M2821">
        <v>0</v>
      </c>
      <c r="N2821">
        <v>0</v>
      </c>
      <c r="O2821">
        <v>0</v>
      </c>
    </row>
    <row r="2822" spans="1:15" customFormat="1" hidden="1" x14ac:dyDescent="0.25">
      <c r="A2822" s="11">
        <v>46090</v>
      </c>
      <c r="B2822" t="s">
        <v>25</v>
      </c>
      <c r="C2822" t="s">
        <v>26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12</v>
      </c>
      <c r="K2822" s="3">
        <f>I2822-J2822</f>
        <v>-4</v>
      </c>
      <c r="L2822" s="3" t="str">
        <f t="shared" si="309"/>
        <v>ATENÇÃO</v>
      </c>
      <c r="M2822">
        <v>9</v>
      </c>
      <c r="N2822">
        <v>98.31</v>
      </c>
      <c r="O2822">
        <v>24.920127795527151</v>
      </c>
    </row>
    <row r="2823" spans="1:15" customFormat="1" hidden="1" x14ac:dyDescent="0.25">
      <c r="A2823" s="11">
        <v>46090</v>
      </c>
      <c r="B2823" t="s">
        <v>40</v>
      </c>
      <c r="C2823" t="s">
        <v>32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21</v>
      </c>
      <c r="K2823" s="3">
        <f>I2823-J2823</f>
        <v>-7</v>
      </c>
      <c r="L2823" s="3" t="str">
        <f t="shared" si="309"/>
        <v>CRÍTICO</v>
      </c>
      <c r="M2823">
        <v>12</v>
      </c>
      <c r="N2823">
        <v>96.81</v>
      </c>
      <c r="O2823">
        <v>32.365145228215773</v>
      </c>
    </row>
    <row r="2824" spans="1:15" customFormat="1" hidden="1" x14ac:dyDescent="0.25">
      <c r="A2824" s="11">
        <v>46090</v>
      </c>
      <c r="B2824" t="s">
        <v>27</v>
      </c>
      <c r="C2824" t="s">
        <v>26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12</v>
      </c>
      <c r="K2824" s="3">
        <f>I2824-J2824</f>
        <v>-7</v>
      </c>
      <c r="L2824" s="3" t="str">
        <f t="shared" si="309"/>
        <v>CRÍTICO</v>
      </c>
      <c r="M2824">
        <v>3</v>
      </c>
      <c r="N2824">
        <v>100</v>
      </c>
      <c r="O2824">
        <v>26.47058823529412</v>
      </c>
    </row>
    <row r="2825" spans="1:15" customFormat="1" hidden="1" x14ac:dyDescent="0.25">
      <c r="A2825" s="11">
        <v>46090</v>
      </c>
      <c r="B2825" t="s">
        <v>41</v>
      </c>
      <c r="C2825" t="s">
        <v>32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-14</v>
      </c>
      <c r="L2825" s="3" t="str">
        <f t="shared" si="309"/>
        <v>CRÍTICO</v>
      </c>
      <c r="M2825">
        <v>13</v>
      </c>
      <c r="N2825">
        <v>100</v>
      </c>
      <c r="O2825">
        <v>28.490028490028489</v>
      </c>
    </row>
    <row r="2826" spans="1:15" customFormat="1" hidden="1" x14ac:dyDescent="0.25">
      <c r="A2826" s="11">
        <v>46090</v>
      </c>
      <c r="B2826" t="s">
        <v>56</v>
      </c>
      <c r="C2826" t="s">
        <v>48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17</v>
      </c>
      <c r="K2826" s="3">
        <f>I2826-J2826</f>
        <v>4</v>
      </c>
      <c r="L2826" s="3" t="str">
        <f t="shared" si="309"/>
        <v>OPORTUNO</v>
      </c>
      <c r="M2826">
        <v>12</v>
      </c>
      <c r="N2826">
        <v>99.14</v>
      </c>
      <c r="O2826">
        <v>27.2289156626506</v>
      </c>
    </row>
    <row r="2827" spans="1:15" customFormat="1" hidden="1" x14ac:dyDescent="0.25">
      <c r="A2827" s="11">
        <v>46090</v>
      </c>
      <c r="B2827" t="s">
        <v>57</v>
      </c>
      <c r="C2827" t="s">
        <v>48</v>
      </c>
      <c r="D2827">
        <v>9</v>
      </c>
      <c r="E2827">
        <v>8</v>
      </c>
      <c r="F2827">
        <v>32.04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 t="shared" si="309"/>
        <v>OPORTUNO</v>
      </c>
      <c r="M2827">
        <v>8</v>
      </c>
      <c r="N2827">
        <v>97.52</v>
      </c>
      <c r="O2827">
        <v>28.205128205128201</v>
      </c>
    </row>
    <row r="2828" spans="1:15" customFormat="1" hidden="1" x14ac:dyDescent="0.25">
      <c r="A2828" s="11">
        <v>46090</v>
      </c>
      <c r="B2828" t="s">
        <v>42</v>
      </c>
      <c r="C2828" t="s">
        <v>32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21</v>
      </c>
      <c r="K2828" s="3">
        <f>I2828-J2828</f>
        <v>3</v>
      </c>
      <c r="L2828" s="3" t="str">
        <f t="shared" si="309"/>
        <v>OPORTUNO</v>
      </c>
      <c r="M2828">
        <v>15</v>
      </c>
      <c r="N2828">
        <v>90</v>
      </c>
      <c r="O2828">
        <v>24.186046511627911</v>
      </c>
    </row>
    <row r="2829" spans="1:15" customFormat="1" hidden="1" x14ac:dyDescent="0.25">
      <c r="A2829" s="11">
        <v>46090</v>
      </c>
      <c r="B2829" t="s">
        <v>62</v>
      </c>
      <c r="C2829" t="s">
        <v>23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14</v>
      </c>
      <c r="K2829" s="3">
        <f>I2829-J2829</f>
        <v>9</v>
      </c>
      <c r="L2829" s="3" t="str">
        <f t="shared" si="309"/>
        <v>MUITO BOM</v>
      </c>
      <c r="M2829">
        <v>18</v>
      </c>
      <c r="N2829">
        <v>98.9</v>
      </c>
      <c r="O2829">
        <v>26.763990267639901</v>
      </c>
    </row>
    <row r="2830" spans="1:15" customFormat="1" hidden="1" x14ac:dyDescent="0.25">
      <c r="A2830" s="11">
        <v>46090</v>
      </c>
      <c r="B2830" t="s">
        <v>19</v>
      </c>
      <c r="C2830" t="s">
        <v>16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 t="shared" si="309"/>
        <v>OPORTUNO</v>
      </c>
      <c r="M2830">
        <v>0</v>
      </c>
      <c r="N2830">
        <v>88.89</v>
      </c>
      <c r="O2830">
        <v>25.263157894736839</v>
      </c>
    </row>
    <row r="2831" spans="1:15" customFormat="1" hidden="1" x14ac:dyDescent="0.25">
      <c r="A2831" s="11">
        <v>46090</v>
      </c>
      <c r="B2831" t="s">
        <v>43</v>
      </c>
      <c r="C2831" t="s">
        <v>32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14</v>
      </c>
      <c r="L2831" s="3" t="str">
        <f t="shared" si="309"/>
        <v>MUITO BOM</v>
      </c>
      <c r="M2831">
        <v>30</v>
      </c>
      <c r="N2831">
        <v>98.86</v>
      </c>
      <c r="O2831">
        <v>28.959276018099551</v>
      </c>
    </row>
    <row r="2832" spans="1:15" customFormat="1" hidden="1" x14ac:dyDescent="0.25">
      <c r="A2832" s="11">
        <v>46090</v>
      </c>
      <c r="B2832" t="s">
        <v>44</v>
      </c>
      <c r="C2832" t="s">
        <v>32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21</v>
      </c>
      <c r="K2832" s="3">
        <f>I2832-J2832</f>
        <v>2</v>
      </c>
      <c r="L2832" s="3" t="str">
        <f t="shared" si="309"/>
        <v>OPORTUNO</v>
      </c>
      <c r="M2832">
        <v>20</v>
      </c>
      <c r="N2832">
        <v>98.06</v>
      </c>
      <c r="O2832">
        <v>22.40566037735849</v>
      </c>
    </row>
    <row r="2833" spans="1:15" customFormat="1" hidden="1" x14ac:dyDescent="0.25">
      <c r="A2833" s="11">
        <v>46090</v>
      </c>
      <c r="B2833" t="s">
        <v>20</v>
      </c>
      <c r="C2833" t="s">
        <v>16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 t="shared" si="309"/>
        <v>ATENÇÃO</v>
      </c>
      <c r="M2833">
        <v>3</v>
      </c>
      <c r="N2833">
        <v>95.83</v>
      </c>
      <c r="O2833">
        <v>25.773195876288661</v>
      </c>
    </row>
    <row r="2834" spans="1:15" customFormat="1" hidden="1" x14ac:dyDescent="0.25">
      <c r="A2834" s="11">
        <v>46090</v>
      </c>
      <c r="B2834" t="s">
        <v>28</v>
      </c>
      <c r="C2834" t="s">
        <v>26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 t="shared" si="309"/>
        <v>OPORTUNO</v>
      </c>
      <c r="M2834">
        <v>0</v>
      </c>
      <c r="N2834">
        <v>100</v>
      </c>
      <c r="O2834">
        <v>15.38461538461539</v>
      </c>
    </row>
    <row r="2835" spans="1:15" customFormat="1" hidden="1" x14ac:dyDescent="0.25">
      <c r="A2835" s="11">
        <v>46090</v>
      </c>
      <c r="B2835" t="s">
        <v>58</v>
      </c>
      <c r="C2835" t="s">
        <v>48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17</v>
      </c>
      <c r="K2835" s="3">
        <f>I2835-J2835</f>
        <v>-3</v>
      </c>
      <c r="L2835" s="3" t="str">
        <f t="shared" si="309"/>
        <v>ATENÇÃO</v>
      </c>
      <c r="M2835">
        <v>11</v>
      </c>
      <c r="N2835">
        <v>100</v>
      </c>
      <c r="O2835">
        <v>27.514792899408281</v>
      </c>
    </row>
    <row r="2836" spans="1:15" customFormat="1" hidden="1" x14ac:dyDescent="0.25">
      <c r="A2836" s="11">
        <v>46090</v>
      </c>
      <c r="B2836" t="s">
        <v>29</v>
      </c>
      <c r="C2836" t="s">
        <v>26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-8</v>
      </c>
      <c r="L2836" s="3" t="str">
        <f t="shared" si="309"/>
        <v>CRÍTICO</v>
      </c>
      <c r="M2836">
        <v>3</v>
      </c>
      <c r="N2836">
        <v>100</v>
      </c>
      <c r="O2836">
        <v>24.875621890547269</v>
      </c>
    </row>
    <row r="2837" spans="1:15" customFormat="1" hidden="1" x14ac:dyDescent="0.25">
      <c r="A2837" s="11">
        <v>46090</v>
      </c>
      <c r="B2837" t="s">
        <v>30</v>
      </c>
      <c r="C2837" t="s">
        <v>26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12</v>
      </c>
      <c r="K2837" s="3">
        <f>I2837-J2837</f>
        <v>-5</v>
      </c>
      <c r="L2837" s="3" t="str">
        <f t="shared" si="309"/>
        <v>ATENÇÃO</v>
      </c>
      <c r="M2837">
        <v>4</v>
      </c>
      <c r="N2837">
        <v>100</v>
      </c>
      <c r="O2837">
        <v>28.108108108108109</v>
      </c>
    </row>
    <row r="2838" spans="1:15" customFormat="1" hidden="1" x14ac:dyDescent="0.25">
      <c r="A2838" s="11">
        <v>46090</v>
      </c>
      <c r="B2838" t="s">
        <v>21</v>
      </c>
      <c r="C2838" t="s">
        <v>16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 t="shared" si="309"/>
        <v>OPORTUNO</v>
      </c>
      <c r="M2838">
        <v>0</v>
      </c>
      <c r="N2838">
        <v>100</v>
      </c>
      <c r="O2838">
        <v>35</v>
      </c>
    </row>
    <row r="2839" spans="1:15" customFormat="1" hidden="1" x14ac:dyDescent="0.25">
      <c r="A2839" s="11">
        <v>46090</v>
      </c>
      <c r="B2839" t="s">
        <v>63</v>
      </c>
      <c r="C2839" t="s">
        <v>23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14</v>
      </c>
      <c r="K2839" s="3">
        <f>I2839-J2839</f>
        <v>-13</v>
      </c>
      <c r="L2839" s="3" t="str">
        <f t="shared" si="309"/>
        <v>CRÍTICO</v>
      </c>
      <c r="M2839">
        <v>0</v>
      </c>
      <c r="N2839">
        <v>95.35</v>
      </c>
      <c r="O2839">
        <v>28.61538461538461</v>
      </c>
    </row>
    <row r="2840" spans="1:15" customFormat="1" hidden="1" x14ac:dyDescent="0.25">
      <c r="A2840" s="11">
        <v>46090</v>
      </c>
      <c r="B2840" t="s">
        <v>45</v>
      </c>
      <c r="C2840" t="s">
        <v>32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21</v>
      </c>
      <c r="K2840" s="3">
        <f>I2840-J2840</f>
        <v>11</v>
      </c>
      <c r="L2840" s="3" t="str">
        <f t="shared" si="309"/>
        <v>MUITO BOM</v>
      </c>
      <c r="M2840">
        <v>32</v>
      </c>
      <c r="N2840">
        <v>98.26</v>
      </c>
      <c r="O2840">
        <v>27.54491017964072</v>
      </c>
    </row>
    <row r="2841" spans="1:15" customFormat="1" hidden="1" x14ac:dyDescent="0.25">
      <c r="A2841" s="11">
        <v>46090</v>
      </c>
      <c r="B2841" t="s">
        <v>64</v>
      </c>
      <c r="C2841" t="s">
        <v>23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14</v>
      </c>
      <c r="K2841" s="3">
        <f>I2841-J2841</f>
        <v>-5</v>
      </c>
      <c r="L2841" s="3" t="str">
        <f t="shared" si="309"/>
        <v>ATENÇÃO</v>
      </c>
      <c r="M2841">
        <v>8</v>
      </c>
      <c r="N2841">
        <v>98.55</v>
      </c>
      <c r="O2841">
        <v>25.337837837837839</v>
      </c>
    </row>
    <row r="2842" spans="1:15" customFormat="1" hidden="1" x14ac:dyDescent="0.25">
      <c r="A2842" s="11">
        <v>46090</v>
      </c>
      <c r="B2842" t="s">
        <v>46</v>
      </c>
      <c r="C2842" t="s">
        <v>32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21</v>
      </c>
      <c r="K2842" s="3">
        <f>I2842-J2842</f>
        <v>1</v>
      </c>
      <c r="L2842" s="3" t="str">
        <f t="shared" si="309"/>
        <v>OPORTUNO</v>
      </c>
      <c r="M2842">
        <v>22</v>
      </c>
      <c r="N2842">
        <v>98.39</v>
      </c>
      <c r="O2842">
        <v>25.563909774436091</v>
      </c>
    </row>
    <row r="2843" spans="1:15" customFormat="1" hidden="1" x14ac:dyDescent="0.25">
      <c r="A2843" s="11">
        <v>46091</v>
      </c>
      <c r="B2843" t="s">
        <v>47</v>
      </c>
      <c r="C2843" t="s">
        <v>48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17</v>
      </c>
      <c r="K2843" s="3">
        <f>I2843-J2843</f>
        <v>15</v>
      </c>
      <c r="L2843" s="3" t="str">
        <f t="shared" si="309"/>
        <v>MUITO BOM</v>
      </c>
      <c r="M2843">
        <v>20</v>
      </c>
      <c r="N2843">
        <v>94.29</v>
      </c>
      <c r="O2843">
        <v>25.647668393782389</v>
      </c>
    </row>
    <row r="2844" spans="1:15" customFormat="1" hidden="1" x14ac:dyDescent="0.25">
      <c r="A2844" s="11">
        <v>46091</v>
      </c>
      <c r="B2844" t="s">
        <v>31</v>
      </c>
      <c r="C2844" t="s">
        <v>32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 t="shared" si="309"/>
        <v>OPORTUNO</v>
      </c>
      <c r="M2844">
        <v>24</v>
      </c>
      <c r="N2844">
        <v>98.26</v>
      </c>
      <c r="O2844">
        <v>26.666666666666671</v>
      </c>
    </row>
    <row r="2845" spans="1:15" customFormat="1" hidden="1" x14ac:dyDescent="0.25">
      <c r="A2845" s="11">
        <v>46091</v>
      </c>
      <c r="B2845" t="s">
        <v>59</v>
      </c>
      <c r="C2845" t="s">
        <v>23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14</v>
      </c>
      <c r="K2845" s="3">
        <f>I2845-J2845</f>
        <v>4</v>
      </c>
      <c r="L2845" s="3" t="str">
        <f t="shared" si="309"/>
        <v>OPORTUNO</v>
      </c>
      <c r="M2845">
        <v>17</v>
      </c>
      <c r="N2845">
        <v>98.2</v>
      </c>
      <c r="O2845">
        <v>23.37962962962963</v>
      </c>
    </row>
    <row r="2846" spans="1:15" customFormat="1" hidden="1" x14ac:dyDescent="0.25">
      <c r="A2846" s="11">
        <v>46091</v>
      </c>
      <c r="B2846" t="s">
        <v>33</v>
      </c>
      <c r="C2846" t="s">
        <v>32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21</v>
      </c>
      <c r="K2846" s="3">
        <f>I2846-J2846</f>
        <v>-2</v>
      </c>
      <c r="L2846" s="3" t="str">
        <f t="shared" si="309"/>
        <v>ATENÇÃO</v>
      </c>
      <c r="M2846">
        <v>17</v>
      </c>
      <c r="N2846">
        <v>97.3</v>
      </c>
      <c r="O2846">
        <v>23.84769539078156</v>
      </c>
    </row>
    <row r="2847" spans="1:15" customFormat="1" hidden="1" x14ac:dyDescent="0.25">
      <c r="A2847" s="11">
        <v>46091</v>
      </c>
      <c r="B2847" t="s">
        <v>15</v>
      </c>
      <c r="C2847" t="s">
        <v>16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 t="shared" si="309"/>
        <v>OPORTUNO</v>
      </c>
      <c r="M2847">
        <v>7</v>
      </c>
      <c r="N2847">
        <v>100</v>
      </c>
      <c r="O2847">
        <v>25.268817204301079</v>
      </c>
    </row>
    <row r="2848" spans="1:15" customFormat="1" hidden="1" x14ac:dyDescent="0.25">
      <c r="A2848" s="11">
        <v>46091</v>
      </c>
      <c r="B2848" t="s">
        <v>49</v>
      </c>
      <c r="C2848" t="s">
        <v>48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17</v>
      </c>
      <c r="L2848" s="3" t="str">
        <f t="shared" si="309"/>
        <v>MUITO BOM</v>
      </c>
      <c r="M2848">
        <v>33</v>
      </c>
      <c r="N2848">
        <v>99.32</v>
      </c>
      <c r="O2848">
        <v>22.822822822822818</v>
      </c>
    </row>
    <row r="2849" spans="1:15" customFormat="1" hidden="1" x14ac:dyDescent="0.25">
      <c r="A2849" s="11">
        <v>46091</v>
      </c>
      <c r="B2849" t="s">
        <v>50</v>
      </c>
      <c r="C2849" t="s">
        <v>48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17</v>
      </c>
      <c r="K2849" s="3">
        <f>I2849-J2849</f>
        <v>-2</v>
      </c>
      <c r="L2849" s="3" t="str">
        <f t="shared" si="309"/>
        <v>ATENÇÃO</v>
      </c>
      <c r="M2849">
        <v>18</v>
      </c>
      <c r="N2849">
        <v>100</v>
      </c>
      <c r="O2849">
        <v>27.966101694915249</v>
      </c>
    </row>
    <row r="2850" spans="1:15" customFormat="1" hidden="1" x14ac:dyDescent="0.25">
      <c r="A2850" s="11">
        <v>46091</v>
      </c>
      <c r="B2850" t="s">
        <v>17</v>
      </c>
      <c r="C2850" t="s">
        <v>16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 t="shared" si="309"/>
        <v>OPORTUNO</v>
      </c>
      <c r="M2850">
        <v>0</v>
      </c>
      <c r="N2850">
        <v>100</v>
      </c>
      <c r="O2850">
        <v>30.434782608695659</v>
      </c>
    </row>
    <row r="2851" spans="1:15" customFormat="1" hidden="1" x14ac:dyDescent="0.25">
      <c r="A2851" s="11">
        <v>46091</v>
      </c>
      <c r="B2851" t="s">
        <v>60</v>
      </c>
      <c r="C2851" t="s">
        <v>23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10</v>
      </c>
      <c r="L2851" s="3" t="str">
        <f t="shared" si="309"/>
        <v>MUITO BOM</v>
      </c>
      <c r="M2851">
        <v>23</v>
      </c>
      <c r="N2851">
        <v>96.51</v>
      </c>
      <c r="O2851">
        <v>22.802850356294542</v>
      </c>
    </row>
    <row r="2852" spans="1:15" customFormat="1" hidden="1" x14ac:dyDescent="0.25">
      <c r="A2852" s="11">
        <v>46091</v>
      </c>
      <c r="B2852" t="s">
        <v>34</v>
      </c>
      <c r="C2852" t="s">
        <v>32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21</v>
      </c>
      <c r="K2852" s="3">
        <f>I2852-J2852</f>
        <v>-6</v>
      </c>
      <c r="L2852" s="3" t="str">
        <f t="shared" si="309"/>
        <v>CRÍTICO</v>
      </c>
      <c r="M2852">
        <v>20</v>
      </c>
      <c r="N2852">
        <v>92.68</v>
      </c>
      <c r="O2852">
        <v>27.777777777777779</v>
      </c>
    </row>
    <row r="2853" spans="1:15" customFormat="1" hidden="1" x14ac:dyDescent="0.25">
      <c r="A2853" s="11">
        <v>46091</v>
      </c>
      <c r="B2853" t="s">
        <v>51</v>
      </c>
      <c r="C2853" t="s">
        <v>48</v>
      </c>
      <c r="D2853">
        <v>18</v>
      </c>
      <c r="E2853">
        <v>18</v>
      </c>
      <c r="F2853">
        <v>23.31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 t="shared" si="309"/>
        <v>OPORTUNO</v>
      </c>
      <c r="M2853">
        <v>19</v>
      </c>
      <c r="N2853">
        <v>99.03</v>
      </c>
      <c r="O2853">
        <v>23.991507430997881</v>
      </c>
    </row>
    <row r="2854" spans="1:15" customFormat="1" hidden="1" x14ac:dyDescent="0.25">
      <c r="A2854" s="11">
        <v>46091</v>
      </c>
      <c r="B2854" t="s">
        <v>61</v>
      </c>
      <c r="C2854" t="s">
        <v>23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14</v>
      </c>
      <c r="K2854" s="3">
        <f>I2854-J2854</f>
        <v>8</v>
      </c>
      <c r="L2854" s="3" t="str">
        <f t="shared" si="309"/>
        <v>MUITO BOM</v>
      </c>
      <c r="M2854">
        <v>12</v>
      </c>
      <c r="N2854">
        <v>98.41</v>
      </c>
      <c r="O2854">
        <v>28.138528138528141</v>
      </c>
    </row>
    <row r="2855" spans="1:15" customFormat="1" hidden="1" x14ac:dyDescent="0.25">
      <c r="A2855" s="11">
        <v>46091</v>
      </c>
      <c r="B2855" t="s">
        <v>35</v>
      </c>
      <c r="C2855" t="s">
        <v>32</v>
      </c>
      <c r="D2855">
        <v>28</v>
      </c>
      <c r="E2855">
        <v>28</v>
      </c>
      <c r="F2855">
        <v>22.2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 t="shared" si="309"/>
        <v>OPORTUNO</v>
      </c>
      <c r="M2855">
        <v>31</v>
      </c>
      <c r="N2855">
        <v>98.73</v>
      </c>
      <c r="O2855">
        <v>29.142857142857139</v>
      </c>
    </row>
    <row r="2856" spans="1:15" customFormat="1" hidden="1" x14ac:dyDescent="0.25">
      <c r="A2856" s="11">
        <v>46091</v>
      </c>
      <c r="B2856" t="s">
        <v>18</v>
      </c>
      <c r="C2856" t="s">
        <v>16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ref="I2856:I2864" si="310">E2856+G2856+H2856</f>
        <v>6</v>
      </c>
      <c r="J2856" s="3">
        <f t="shared" ref="J2856:J2864" si="311"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 t="shared" ref="K2856:K2864" si="312">I2856-J2856</f>
        <v>0</v>
      </c>
      <c r="L2856" s="3" t="str">
        <f t="shared" si="309"/>
        <v>OPORTUNO</v>
      </c>
      <c r="M2856">
        <v>5</v>
      </c>
      <c r="N2856">
        <v>90.48</v>
      </c>
      <c r="O2856">
        <v>20.68965517241379</v>
      </c>
    </row>
    <row r="2857" spans="1:15" customFormat="1" hidden="1" x14ac:dyDescent="0.25">
      <c r="A2857" s="11">
        <v>46091</v>
      </c>
      <c r="B2857" t="s">
        <v>52</v>
      </c>
      <c r="C2857" t="s">
        <v>48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310"/>
        <v>15</v>
      </c>
      <c r="J2857" s="3">
        <f t="shared" si="311"/>
        <v>17</v>
      </c>
      <c r="K2857" s="3">
        <f t="shared" si="312"/>
        <v>-2</v>
      </c>
      <c r="L2857" s="3" t="str">
        <f t="shared" si="309"/>
        <v>ATENÇÃO</v>
      </c>
      <c r="M2857">
        <v>14</v>
      </c>
      <c r="N2857">
        <v>98.06</v>
      </c>
      <c r="O2857">
        <v>24.789915966386559</v>
      </c>
    </row>
    <row r="2858" spans="1:15" customFormat="1" hidden="1" x14ac:dyDescent="0.25">
      <c r="A2858" s="11">
        <v>46091</v>
      </c>
      <c r="B2858" t="s">
        <v>36</v>
      </c>
      <c r="C2858" t="s">
        <v>32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310"/>
        <v>12</v>
      </c>
      <c r="J2858" s="3">
        <f t="shared" si="311"/>
        <v>21</v>
      </c>
      <c r="K2858" s="3">
        <f t="shared" si="312"/>
        <v>-9</v>
      </c>
      <c r="L2858" s="3" t="str">
        <f t="shared" si="309"/>
        <v>CRÍTICO</v>
      </c>
      <c r="M2858">
        <v>12</v>
      </c>
      <c r="N2858">
        <v>97.78</v>
      </c>
      <c r="O2858">
        <v>25.494071146245059</v>
      </c>
    </row>
    <row r="2859" spans="1:15" customFormat="1" hidden="1" x14ac:dyDescent="0.25">
      <c r="A2859" s="11">
        <v>46091</v>
      </c>
      <c r="B2859" t="s">
        <v>53</v>
      </c>
      <c r="C2859" t="s">
        <v>48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310"/>
        <v>15</v>
      </c>
      <c r="J2859" s="3">
        <f t="shared" si="311"/>
        <v>17</v>
      </c>
      <c r="K2859" s="3">
        <f t="shared" si="312"/>
        <v>-2</v>
      </c>
      <c r="L2859" s="3" t="str">
        <f t="shared" si="309"/>
        <v>ATENÇÃO</v>
      </c>
      <c r="M2859">
        <v>14</v>
      </c>
      <c r="N2859">
        <v>98.02</v>
      </c>
      <c r="O2859">
        <v>23.484848484848481</v>
      </c>
    </row>
    <row r="2860" spans="1:15" customFormat="1" hidden="1" x14ac:dyDescent="0.25">
      <c r="A2860" s="11">
        <v>46125</v>
      </c>
      <c r="B2860" t="s">
        <v>22</v>
      </c>
      <c r="C2860" t="s">
        <v>23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310"/>
        <v>24</v>
      </c>
      <c r="J2860" s="3">
        <f t="shared" si="311"/>
        <v>17</v>
      </c>
      <c r="K2860" s="3">
        <f t="shared" si="312"/>
        <v>7</v>
      </c>
      <c r="L2860" s="3" t="str">
        <f t="shared" si="309"/>
        <v>MUITO BOM</v>
      </c>
      <c r="M2860">
        <v>22</v>
      </c>
      <c r="N2860">
        <v>99.28</v>
      </c>
      <c r="O2860">
        <v>27.689243027888441</v>
      </c>
    </row>
    <row r="2861" spans="1:15" customFormat="1" hidden="1" x14ac:dyDescent="0.25">
      <c r="A2861" s="11">
        <v>46091</v>
      </c>
      <c r="B2861" t="s">
        <v>54</v>
      </c>
      <c r="C2861" t="s">
        <v>48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310"/>
        <v>24</v>
      </c>
      <c r="J2861" s="3">
        <f t="shared" si="311"/>
        <v>17</v>
      </c>
      <c r="K2861" s="3">
        <f t="shared" si="312"/>
        <v>7</v>
      </c>
      <c r="L2861" s="3" t="str">
        <f t="shared" si="309"/>
        <v>MUITO BOM</v>
      </c>
      <c r="M2861">
        <v>23</v>
      </c>
      <c r="N2861">
        <v>100</v>
      </c>
      <c r="O2861">
        <v>27.04918032786885</v>
      </c>
    </row>
    <row r="2862" spans="1:15" customFormat="1" hidden="1" x14ac:dyDescent="0.25">
      <c r="A2862" s="11">
        <v>46091</v>
      </c>
      <c r="B2862" t="s">
        <v>37</v>
      </c>
      <c r="C2862" t="s">
        <v>32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310"/>
        <v>36</v>
      </c>
      <c r="J2862" s="3">
        <f t="shared" si="311"/>
        <v>21</v>
      </c>
      <c r="K2862" s="3">
        <f t="shared" si="312"/>
        <v>15</v>
      </c>
      <c r="L2862" s="3" t="str">
        <f t="shared" si="309"/>
        <v>MUITO BOM</v>
      </c>
      <c r="M2862">
        <v>35</v>
      </c>
      <c r="N2862">
        <v>97.83</v>
      </c>
      <c r="O2862">
        <v>26.315789473684209</v>
      </c>
    </row>
    <row r="2863" spans="1:15" customFormat="1" hidden="1" x14ac:dyDescent="0.25">
      <c r="A2863" s="11">
        <v>46091</v>
      </c>
      <c r="B2863" t="s">
        <v>38</v>
      </c>
      <c r="C2863" t="s">
        <v>32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310"/>
        <v>9</v>
      </c>
      <c r="J2863" s="3">
        <f t="shared" si="311"/>
        <v>21</v>
      </c>
      <c r="K2863" s="3">
        <f t="shared" si="312"/>
        <v>-12</v>
      </c>
      <c r="L2863" s="3" t="str">
        <f t="shared" si="309"/>
        <v>CRÍTICO</v>
      </c>
      <c r="M2863">
        <v>10</v>
      </c>
      <c r="N2863">
        <v>100</v>
      </c>
      <c r="O2863">
        <v>26.701570680628269</v>
      </c>
    </row>
    <row r="2864" spans="1:15" customFormat="1" hidden="1" x14ac:dyDescent="0.25">
      <c r="A2864" s="11">
        <v>46091</v>
      </c>
      <c r="B2864" t="s">
        <v>55</v>
      </c>
      <c r="C2864" t="s">
        <v>48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310"/>
        <v>19</v>
      </c>
      <c r="J2864" s="3">
        <f t="shared" si="311"/>
        <v>17</v>
      </c>
      <c r="K2864" s="3">
        <f t="shared" si="312"/>
        <v>2</v>
      </c>
      <c r="L2864" s="3" t="str">
        <f t="shared" si="309"/>
        <v>OPORTUNO</v>
      </c>
      <c r="M2864">
        <v>16</v>
      </c>
      <c r="N2864">
        <v>97.47</v>
      </c>
      <c r="O2864">
        <v>22.887323943661968</v>
      </c>
    </row>
    <row r="2865" spans="1:15" customFormat="1" hidden="1" x14ac:dyDescent="0.25">
      <c r="A2865" s="11">
        <v>46091</v>
      </c>
      <c r="B2865" t="s">
        <v>39</v>
      </c>
      <c r="C2865" t="s">
        <v>32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 t="shared" si="309"/>
        <v>OPORTUNO</v>
      </c>
      <c r="M2865">
        <v>0</v>
      </c>
      <c r="N2865">
        <v>0</v>
      </c>
      <c r="O2865">
        <v>0</v>
      </c>
    </row>
    <row r="2866" spans="1:15" customFormat="1" hidden="1" x14ac:dyDescent="0.25">
      <c r="A2866" s="11">
        <v>46091</v>
      </c>
      <c r="B2866" t="s">
        <v>25</v>
      </c>
      <c r="C2866" t="s">
        <v>26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12</v>
      </c>
      <c r="K2866" s="3">
        <f>I2866-J2866</f>
        <v>-4</v>
      </c>
      <c r="L2866" s="3" t="str">
        <f t="shared" si="309"/>
        <v>ATENÇÃO</v>
      </c>
      <c r="M2866">
        <v>8</v>
      </c>
      <c r="N2866">
        <v>98.31</v>
      </c>
      <c r="O2866">
        <v>24.920127795527151</v>
      </c>
    </row>
    <row r="2867" spans="1:15" customFormat="1" hidden="1" x14ac:dyDescent="0.25">
      <c r="A2867" s="11">
        <v>46091</v>
      </c>
      <c r="B2867" t="s">
        <v>40</v>
      </c>
      <c r="C2867" t="s">
        <v>32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21</v>
      </c>
      <c r="K2867" s="3">
        <f>I2867-J2867</f>
        <v>-20</v>
      </c>
      <c r="L2867" s="3" t="str">
        <f t="shared" si="309"/>
        <v>CRÍTICO</v>
      </c>
      <c r="M2867">
        <v>14</v>
      </c>
      <c r="N2867">
        <v>96.81</v>
      </c>
      <c r="O2867">
        <v>32.365145228215773</v>
      </c>
    </row>
    <row r="2868" spans="1:15" customFormat="1" hidden="1" x14ac:dyDescent="0.25">
      <c r="A2868" s="11">
        <v>46091</v>
      </c>
      <c r="B2868" t="s">
        <v>27</v>
      </c>
      <c r="C2868" t="s">
        <v>26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12</v>
      </c>
      <c r="K2868" s="3">
        <f>I2868-J2868</f>
        <v>0</v>
      </c>
      <c r="L2868" s="3" t="str">
        <f t="shared" si="309"/>
        <v>OPORTUNO</v>
      </c>
      <c r="M2868">
        <v>10</v>
      </c>
      <c r="N2868">
        <v>100</v>
      </c>
      <c r="O2868">
        <v>26.47058823529412</v>
      </c>
    </row>
    <row r="2869" spans="1:15" customFormat="1" hidden="1" x14ac:dyDescent="0.25">
      <c r="A2869" s="11">
        <v>46091</v>
      </c>
      <c r="B2869" t="s">
        <v>41</v>
      </c>
      <c r="C2869" t="s">
        <v>32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-8</v>
      </c>
      <c r="L2869" s="3" t="str">
        <f t="shared" si="309"/>
        <v>CRÍTICO</v>
      </c>
      <c r="M2869">
        <v>19</v>
      </c>
      <c r="N2869">
        <v>100</v>
      </c>
      <c r="O2869">
        <v>28.490028490028489</v>
      </c>
    </row>
    <row r="2870" spans="1:15" customFormat="1" hidden="1" x14ac:dyDescent="0.25">
      <c r="A2870" s="11">
        <v>46091</v>
      </c>
      <c r="B2870" t="s">
        <v>56</v>
      </c>
      <c r="C2870" t="s">
        <v>48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17</v>
      </c>
      <c r="K2870" s="3">
        <f>I2870-J2870</f>
        <v>5</v>
      </c>
      <c r="L2870" s="3" t="str">
        <f t="shared" si="309"/>
        <v>OPORTUNO</v>
      </c>
      <c r="M2870">
        <v>16</v>
      </c>
      <c r="N2870">
        <v>99.14</v>
      </c>
      <c r="O2870">
        <v>27.2289156626506</v>
      </c>
    </row>
    <row r="2871" spans="1:15" customFormat="1" hidden="1" x14ac:dyDescent="0.25">
      <c r="A2871" s="11">
        <v>46091</v>
      </c>
      <c r="B2871" t="s">
        <v>57</v>
      </c>
      <c r="C2871" t="s">
        <v>48</v>
      </c>
      <c r="D2871">
        <v>30</v>
      </c>
      <c r="E2871">
        <v>29</v>
      </c>
      <c r="F2871">
        <v>21.51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 t="shared" si="309"/>
        <v>OPORTUNO</v>
      </c>
      <c r="M2871">
        <v>27</v>
      </c>
      <c r="N2871">
        <v>97.52</v>
      </c>
      <c r="O2871">
        <v>28.205128205128201</v>
      </c>
    </row>
    <row r="2872" spans="1:15" customFormat="1" hidden="1" x14ac:dyDescent="0.25">
      <c r="A2872" s="11">
        <v>46091</v>
      </c>
      <c r="B2872" t="s">
        <v>42</v>
      </c>
      <c r="C2872" t="s">
        <v>32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ref="I2872:I2877" si="313">E2872+G2872+H2872</f>
        <v>30</v>
      </c>
      <c r="J2872" s="3">
        <f t="shared" ref="J2872:J2877" si="314"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21</v>
      </c>
      <c r="K2872" s="3">
        <f t="shared" ref="K2872:K2877" si="315">I2872-J2872</f>
        <v>9</v>
      </c>
      <c r="L2872" s="3" t="str">
        <f t="shared" si="309"/>
        <v>MUITO BOM</v>
      </c>
      <c r="M2872">
        <v>17</v>
      </c>
      <c r="N2872">
        <v>90</v>
      </c>
      <c r="O2872">
        <v>24.186046511627911</v>
      </c>
    </row>
    <row r="2873" spans="1:15" customFormat="1" hidden="1" x14ac:dyDescent="0.25">
      <c r="A2873" s="11">
        <v>46091</v>
      </c>
      <c r="B2873" t="s">
        <v>62</v>
      </c>
      <c r="C2873" t="s">
        <v>23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313"/>
        <v>19</v>
      </c>
      <c r="J2873" s="3">
        <f t="shared" si="314"/>
        <v>14</v>
      </c>
      <c r="K2873" s="3">
        <f t="shared" si="315"/>
        <v>5</v>
      </c>
      <c r="L2873" s="3" t="str">
        <f t="shared" si="309"/>
        <v>OPORTUNO</v>
      </c>
      <c r="M2873">
        <v>17</v>
      </c>
      <c r="N2873">
        <v>98.9</v>
      </c>
      <c r="O2873">
        <v>26.763990267639901</v>
      </c>
    </row>
    <row r="2874" spans="1:15" customFormat="1" hidden="1" x14ac:dyDescent="0.25">
      <c r="A2874" s="11">
        <v>46091</v>
      </c>
      <c r="B2874" t="s">
        <v>19</v>
      </c>
      <c r="C2874" t="s">
        <v>16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313"/>
        <v>8</v>
      </c>
      <c r="J2874" s="3">
        <f t="shared" si="314"/>
        <v>6</v>
      </c>
      <c r="K2874" s="3">
        <f t="shared" si="315"/>
        <v>2</v>
      </c>
      <c r="L2874" s="3" t="str">
        <f t="shared" si="309"/>
        <v>OPORTUNO</v>
      </c>
      <c r="M2874">
        <v>6</v>
      </c>
      <c r="N2874">
        <v>88.89</v>
      </c>
      <c r="O2874">
        <v>25.263157894736839</v>
      </c>
    </row>
    <row r="2875" spans="1:15" customFormat="1" hidden="1" x14ac:dyDescent="0.25">
      <c r="A2875" s="11">
        <v>46091</v>
      </c>
      <c r="B2875" t="s">
        <v>43</v>
      </c>
      <c r="C2875" t="s">
        <v>32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313"/>
        <v>24</v>
      </c>
      <c r="J2875" s="3">
        <f t="shared" si="314"/>
        <v>21</v>
      </c>
      <c r="K2875" s="3">
        <f t="shared" si="315"/>
        <v>3</v>
      </c>
      <c r="L2875" s="3" t="str">
        <f t="shared" ref="L2875:L2938" si="316">IF(K2875&lt;-5,"CRÍTICO",IF(K2875&lt;0,"ATENÇÃO",IF(K2875&lt;=5,"OPORTUNO","MUITO BOM")))</f>
        <v>OPORTUNO</v>
      </c>
      <c r="M2875">
        <v>22</v>
      </c>
      <c r="N2875">
        <v>98.86</v>
      </c>
      <c r="O2875">
        <v>28.959276018099551</v>
      </c>
    </row>
    <row r="2876" spans="1:15" customFormat="1" hidden="1" x14ac:dyDescent="0.25">
      <c r="A2876" s="11">
        <v>46091</v>
      </c>
      <c r="B2876" t="s">
        <v>44</v>
      </c>
      <c r="C2876" t="s">
        <v>32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313"/>
        <v>30</v>
      </c>
      <c r="J2876" s="3">
        <f t="shared" si="314"/>
        <v>21</v>
      </c>
      <c r="K2876" s="3">
        <f t="shared" si="315"/>
        <v>9</v>
      </c>
      <c r="L2876" s="3" t="str">
        <f t="shared" si="316"/>
        <v>MUITO BOM</v>
      </c>
      <c r="M2876">
        <v>24</v>
      </c>
      <c r="N2876">
        <v>98.06</v>
      </c>
      <c r="O2876">
        <v>22.40566037735849</v>
      </c>
    </row>
    <row r="2877" spans="1:15" customFormat="1" hidden="1" x14ac:dyDescent="0.25">
      <c r="A2877" s="11">
        <v>46091</v>
      </c>
      <c r="B2877" t="s">
        <v>20</v>
      </c>
      <c r="C2877" t="s">
        <v>16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313"/>
        <v>4</v>
      </c>
      <c r="J2877" s="3">
        <f t="shared" si="314"/>
        <v>6</v>
      </c>
      <c r="K2877" s="3">
        <f t="shared" si="315"/>
        <v>-2</v>
      </c>
      <c r="L2877" s="3" t="str">
        <f t="shared" si="316"/>
        <v>ATENÇÃO</v>
      </c>
      <c r="M2877">
        <v>3</v>
      </c>
      <c r="N2877">
        <v>95.83</v>
      </c>
      <c r="O2877">
        <v>25.773195876288661</v>
      </c>
    </row>
    <row r="2878" spans="1:15" customFormat="1" hidden="1" x14ac:dyDescent="0.25">
      <c r="A2878" s="11">
        <v>46091</v>
      </c>
      <c r="B2878" t="s">
        <v>28</v>
      </c>
      <c r="C2878" t="s">
        <v>26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 t="shared" si="316"/>
        <v>OPORTUNO</v>
      </c>
      <c r="M2878">
        <v>0</v>
      </c>
      <c r="N2878">
        <v>100</v>
      </c>
      <c r="O2878">
        <v>15.38461538461539</v>
      </c>
    </row>
    <row r="2879" spans="1:15" customFormat="1" hidden="1" x14ac:dyDescent="0.25">
      <c r="A2879" s="11">
        <v>46091</v>
      </c>
      <c r="B2879" t="s">
        <v>58</v>
      </c>
      <c r="C2879" t="s">
        <v>48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17</v>
      </c>
      <c r="K2879" s="3">
        <f>I2879-J2879</f>
        <v>5</v>
      </c>
      <c r="L2879" s="3" t="str">
        <f t="shared" si="316"/>
        <v>OPORTUNO</v>
      </c>
      <c r="M2879">
        <v>16</v>
      </c>
      <c r="N2879">
        <v>100</v>
      </c>
      <c r="O2879">
        <v>27.514792899408281</v>
      </c>
    </row>
    <row r="2880" spans="1:15" customFormat="1" hidden="1" x14ac:dyDescent="0.25">
      <c r="A2880" s="11">
        <v>46091</v>
      </c>
      <c r="B2880" t="s">
        <v>29</v>
      </c>
      <c r="C2880" t="s">
        <v>26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-6</v>
      </c>
      <c r="L2880" s="3" t="str">
        <f t="shared" si="316"/>
        <v>CRÍTICO</v>
      </c>
      <c r="M2880">
        <v>6</v>
      </c>
      <c r="N2880">
        <v>100</v>
      </c>
      <c r="O2880">
        <v>24.875621890547269</v>
      </c>
    </row>
    <row r="2881" spans="1:15" customFormat="1" hidden="1" x14ac:dyDescent="0.25">
      <c r="A2881" s="11">
        <v>46091</v>
      </c>
      <c r="B2881" t="s">
        <v>30</v>
      </c>
      <c r="C2881" t="s">
        <v>26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12</v>
      </c>
      <c r="K2881" s="3">
        <f>I2881-J2881</f>
        <v>-4</v>
      </c>
      <c r="L2881" s="3" t="str">
        <f t="shared" si="316"/>
        <v>ATENÇÃO</v>
      </c>
      <c r="M2881">
        <v>8</v>
      </c>
      <c r="N2881">
        <v>100</v>
      </c>
      <c r="O2881">
        <v>28.108108108108109</v>
      </c>
    </row>
    <row r="2882" spans="1:15" customFormat="1" hidden="1" x14ac:dyDescent="0.25">
      <c r="A2882" s="11">
        <v>46091</v>
      </c>
      <c r="B2882" t="s">
        <v>21</v>
      </c>
      <c r="C2882" t="s">
        <v>16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16"/>
        <v>OPORTUNO</v>
      </c>
      <c r="M2882">
        <v>0</v>
      </c>
      <c r="N2882">
        <v>100</v>
      </c>
      <c r="O2882">
        <v>35</v>
      </c>
    </row>
    <row r="2883" spans="1:15" customFormat="1" hidden="1" x14ac:dyDescent="0.25">
      <c r="A2883" s="11">
        <v>46091</v>
      </c>
      <c r="B2883" t="s">
        <v>63</v>
      </c>
      <c r="C2883" t="s">
        <v>23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 t="shared" si="316"/>
        <v>OPORTUNO</v>
      </c>
      <c r="M2883">
        <v>0</v>
      </c>
      <c r="N2883">
        <v>95.35</v>
      </c>
      <c r="O2883">
        <v>28.61538461538461</v>
      </c>
    </row>
    <row r="2884" spans="1:15" customFormat="1" hidden="1" x14ac:dyDescent="0.25">
      <c r="A2884" s="11">
        <v>46091</v>
      </c>
      <c r="B2884" t="s">
        <v>45</v>
      </c>
      <c r="C2884" t="s">
        <v>32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21</v>
      </c>
      <c r="K2884" s="3">
        <f>I2884-J2884</f>
        <v>18</v>
      </c>
      <c r="L2884" s="3" t="str">
        <f t="shared" si="316"/>
        <v>MUITO BOM</v>
      </c>
      <c r="M2884">
        <v>38</v>
      </c>
      <c r="N2884">
        <v>98.26</v>
      </c>
      <c r="O2884">
        <v>27.54491017964072</v>
      </c>
    </row>
    <row r="2885" spans="1:15" customFormat="1" hidden="1" x14ac:dyDescent="0.25">
      <c r="A2885" s="11">
        <v>46091</v>
      </c>
      <c r="B2885" t="s">
        <v>64</v>
      </c>
      <c r="C2885" t="s">
        <v>23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14</v>
      </c>
      <c r="K2885" s="3">
        <f>I2885-J2885</f>
        <v>0</v>
      </c>
      <c r="L2885" s="3" t="str">
        <f t="shared" si="316"/>
        <v>OPORTUNO</v>
      </c>
      <c r="M2885">
        <v>14</v>
      </c>
      <c r="N2885">
        <v>98.55</v>
      </c>
      <c r="O2885">
        <v>25.337837837837839</v>
      </c>
    </row>
    <row r="2886" spans="1:15" customFormat="1" hidden="1" x14ac:dyDescent="0.25">
      <c r="A2886" s="11">
        <v>46091</v>
      </c>
      <c r="B2886" t="s">
        <v>46</v>
      </c>
      <c r="C2886" t="s">
        <v>32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21</v>
      </c>
      <c r="K2886" s="3">
        <f>I2886-J2886</f>
        <v>1</v>
      </c>
      <c r="L2886" s="3" t="str">
        <f t="shared" si="316"/>
        <v>OPORTUNO</v>
      </c>
      <c r="M2886">
        <v>18</v>
      </c>
      <c r="N2886">
        <v>98.39</v>
      </c>
      <c r="O2886">
        <v>25.563909774436091</v>
      </c>
    </row>
    <row r="2887" spans="1:15" customFormat="1" hidden="1" x14ac:dyDescent="0.25">
      <c r="A2887" s="11">
        <v>46092</v>
      </c>
      <c r="B2887" t="s">
        <v>47</v>
      </c>
      <c r="C2887" t="s">
        <v>48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20</v>
      </c>
      <c r="K2887" s="3">
        <f>I2887-J2887</f>
        <v>13</v>
      </c>
      <c r="L2887" s="3" t="str">
        <f t="shared" si="316"/>
        <v>MUITO BOM</v>
      </c>
      <c r="M2887">
        <v>24</v>
      </c>
      <c r="N2887">
        <v>94.29</v>
      </c>
      <c r="O2887">
        <v>25.647668393782389</v>
      </c>
    </row>
    <row r="2888" spans="1:15" customFormat="1" hidden="1" x14ac:dyDescent="0.25">
      <c r="A2888" s="11">
        <v>46092</v>
      </c>
      <c r="B2888" t="s">
        <v>31</v>
      </c>
      <c r="C2888" t="s">
        <v>32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 t="shared" si="316"/>
        <v>OPORTUNO</v>
      </c>
      <c r="M2888">
        <v>18</v>
      </c>
      <c r="N2888">
        <v>98.26</v>
      </c>
      <c r="O2888">
        <v>26.666666666666671</v>
      </c>
    </row>
    <row r="2889" spans="1:15" customFormat="1" hidden="1" x14ac:dyDescent="0.25">
      <c r="A2889" s="11">
        <v>46092</v>
      </c>
      <c r="B2889" t="s">
        <v>59</v>
      </c>
      <c r="C2889" t="s">
        <v>23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16</v>
      </c>
      <c r="K2889" s="3">
        <f>I2889-J2889</f>
        <v>1</v>
      </c>
      <c r="L2889" s="3" t="str">
        <f t="shared" si="316"/>
        <v>OPORTUNO</v>
      </c>
      <c r="M2889">
        <v>16</v>
      </c>
      <c r="N2889">
        <v>98.2</v>
      </c>
      <c r="O2889">
        <v>23.37962962962963</v>
      </c>
    </row>
    <row r="2890" spans="1:15" customFormat="1" hidden="1" x14ac:dyDescent="0.25">
      <c r="A2890" s="11">
        <v>46092</v>
      </c>
      <c r="B2890" t="s">
        <v>33</v>
      </c>
      <c r="C2890" t="s">
        <v>32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25</v>
      </c>
      <c r="K2890" s="3">
        <f>I2890-J2890</f>
        <v>4</v>
      </c>
      <c r="L2890" s="3" t="str">
        <f t="shared" si="316"/>
        <v>OPORTUNO</v>
      </c>
      <c r="M2890">
        <v>24</v>
      </c>
      <c r="N2890">
        <v>97.3</v>
      </c>
      <c r="O2890">
        <v>23.84769539078156</v>
      </c>
    </row>
    <row r="2891" spans="1:15" customFormat="1" hidden="1" x14ac:dyDescent="0.25">
      <c r="A2891" s="11">
        <v>46092</v>
      </c>
      <c r="B2891" t="s">
        <v>15</v>
      </c>
      <c r="C2891" t="s">
        <v>16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 t="shared" si="316"/>
        <v>OPORTUNO</v>
      </c>
      <c r="M2891">
        <v>7</v>
      </c>
      <c r="N2891">
        <v>100</v>
      </c>
      <c r="O2891">
        <v>25.268817204301079</v>
      </c>
    </row>
    <row r="2892" spans="1:15" customFormat="1" hidden="1" x14ac:dyDescent="0.25">
      <c r="A2892" s="11">
        <v>46092</v>
      </c>
      <c r="B2892" t="s">
        <v>49</v>
      </c>
      <c r="C2892" t="s">
        <v>48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13</v>
      </c>
      <c r="L2892" s="3" t="str">
        <f t="shared" si="316"/>
        <v>MUITO BOM</v>
      </c>
      <c r="M2892">
        <v>33</v>
      </c>
      <c r="N2892">
        <v>99.32</v>
      </c>
      <c r="O2892">
        <v>22.822822822822818</v>
      </c>
    </row>
    <row r="2893" spans="1:15" customFormat="1" hidden="1" x14ac:dyDescent="0.25">
      <c r="A2893" s="11">
        <v>46092</v>
      </c>
      <c r="B2893" t="s">
        <v>50</v>
      </c>
      <c r="C2893" t="s">
        <v>48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20</v>
      </c>
      <c r="K2893" s="3">
        <f>I2893-J2893</f>
        <v>-9</v>
      </c>
      <c r="L2893" s="3" t="str">
        <f t="shared" si="316"/>
        <v>CRÍTICO</v>
      </c>
      <c r="M2893">
        <v>11</v>
      </c>
      <c r="N2893">
        <v>100</v>
      </c>
      <c r="O2893">
        <v>27.966101694915249</v>
      </c>
    </row>
    <row r="2894" spans="1:15" customFormat="1" hidden="1" x14ac:dyDescent="0.25">
      <c r="A2894" s="11">
        <v>46092</v>
      </c>
      <c r="B2894" t="s">
        <v>17</v>
      </c>
      <c r="C2894" t="s">
        <v>16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 t="shared" si="316"/>
        <v>OPORTUNO</v>
      </c>
      <c r="M2894">
        <v>0</v>
      </c>
      <c r="N2894">
        <v>100</v>
      </c>
      <c r="O2894">
        <v>30.434782608695659</v>
      </c>
    </row>
    <row r="2895" spans="1:15" customFormat="1" hidden="1" x14ac:dyDescent="0.25">
      <c r="A2895" s="11">
        <v>46092</v>
      </c>
      <c r="B2895" t="s">
        <v>60</v>
      </c>
      <c r="C2895" t="s">
        <v>23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2</v>
      </c>
      <c r="L2895" s="3" t="str">
        <f t="shared" si="316"/>
        <v>OPORTUNO</v>
      </c>
      <c r="M2895">
        <v>17</v>
      </c>
      <c r="N2895">
        <v>96.51</v>
      </c>
      <c r="O2895">
        <v>22.802850356294542</v>
      </c>
    </row>
    <row r="2896" spans="1:15" customFormat="1" hidden="1" x14ac:dyDescent="0.25">
      <c r="A2896" s="11">
        <v>46092</v>
      </c>
      <c r="B2896" t="s">
        <v>34</v>
      </c>
      <c r="C2896" t="s">
        <v>32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16"/>
        <v>OPORTUNO</v>
      </c>
      <c r="M2896">
        <v>12</v>
      </c>
      <c r="N2896">
        <v>92.68</v>
      </c>
      <c r="O2896">
        <v>27.777777777777779</v>
      </c>
    </row>
    <row r="2897" spans="1:15" customFormat="1" hidden="1" x14ac:dyDescent="0.25">
      <c r="A2897" s="11">
        <v>46092</v>
      </c>
      <c r="B2897" t="s">
        <v>51</v>
      </c>
      <c r="C2897" t="s">
        <v>48</v>
      </c>
      <c r="D2897">
        <v>25</v>
      </c>
      <c r="E2897">
        <v>22</v>
      </c>
      <c r="F2897">
        <v>24.08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 t="shared" si="316"/>
        <v>OPORTUNO</v>
      </c>
      <c r="M2897">
        <v>18</v>
      </c>
      <c r="N2897">
        <v>99.03</v>
      </c>
      <c r="O2897">
        <v>23.991507430997881</v>
      </c>
    </row>
    <row r="2898" spans="1:15" customFormat="1" hidden="1" x14ac:dyDescent="0.25">
      <c r="A2898" s="11">
        <v>46092</v>
      </c>
      <c r="B2898" t="s">
        <v>61</v>
      </c>
      <c r="C2898" t="s">
        <v>23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16</v>
      </c>
      <c r="K2898" s="3">
        <f>I2898-J2898</f>
        <v>-1</v>
      </c>
      <c r="L2898" s="3" t="str">
        <f t="shared" si="316"/>
        <v>ATENÇÃO</v>
      </c>
      <c r="M2898">
        <v>11</v>
      </c>
      <c r="N2898">
        <v>98.41</v>
      </c>
      <c r="O2898">
        <v>28.138528138528141</v>
      </c>
    </row>
    <row r="2899" spans="1:15" customFormat="1" hidden="1" x14ac:dyDescent="0.25">
      <c r="A2899" s="11">
        <v>46092</v>
      </c>
      <c r="B2899" t="s">
        <v>35</v>
      </c>
      <c r="C2899" t="s">
        <v>32</v>
      </c>
      <c r="D2899">
        <v>28</v>
      </c>
      <c r="E2899">
        <v>26</v>
      </c>
      <c r="F2899">
        <v>26.51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 t="shared" si="316"/>
        <v>OPORTUNO</v>
      </c>
      <c r="M2899">
        <v>28</v>
      </c>
      <c r="N2899">
        <v>98.73</v>
      </c>
      <c r="O2899">
        <v>29.142857142857139</v>
      </c>
    </row>
    <row r="2900" spans="1:15" customFormat="1" hidden="1" x14ac:dyDescent="0.25">
      <c r="A2900" s="11">
        <v>46092</v>
      </c>
      <c r="B2900" t="s">
        <v>18</v>
      </c>
      <c r="C2900" t="s">
        <v>16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ref="I2900:I2906" si="317">E2900+G2900+H2900</f>
        <v>6</v>
      </c>
      <c r="J2900" s="3">
        <f t="shared" ref="J2900:J2906" si="318"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 t="shared" ref="K2900:K2906" si="319">I2900-J2900</f>
        <v>-1</v>
      </c>
      <c r="L2900" s="3" t="str">
        <f t="shared" si="316"/>
        <v>ATENÇÃO</v>
      </c>
      <c r="M2900">
        <v>5</v>
      </c>
      <c r="N2900">
        <v>90.48</v>
      </c>
      <c r="O2900">
        <v>20.68965517241379</v>
      </c>
    </row>
    <row r="2901" spans="1:15" customFormat="1" hidden="1" x14ac:dyDescent="0.25">
      <c r="A2901" s="11">
        <v>46092</v>
      </c>
      <c r="B2901" t="s">
        <v>52</v>
      </c>
      <c r="C2901" t="s">
        <v>48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317"/>
        <v>16</v>
      </c>
      <c r="J2901" s="3">
        <f t="shared" si="318"/>
        <v>20</v>
      </c>
      <c r="K2901" s="3">
        <f t="shared" si="319"/>
        <v>-4</v>
      </c>
      <c r="L2901" s="3" t="str">
        <f t="shared" si="316"/>
        <v>ATENÇÃO</v>
      </c>
      <c r="M2901">
        <v>14</v>
      </c>
      <c r="N2901">
        <v>98.06</v>
      </c>
      <c r="O2901">
        <v>24.789915966386559</v>
      </c>
    </row>
    <row r="2902" spans="1:15" customFormat="1" hidden="1" x14ac:dyDescent="0.25">
      <c r="A2902" s="11">
        <v>46092</v>
      </c>
      <c r="B2902" t="s">
        <v>36</v>
      </c>
      <c r="C2902" t="s">
        <v>32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317"/>
        <v>28</v>
      </c>
      <c r="J2902" s="3">
        <f t="shared" si="318"/>
        <v>25</v>
      </c>
      <c r="K2902" s="3">
        <f t="shared" si="319"/>
        <v>3</v>
      </c>
      <c r="L2902" s="3" t="str">
        <f t="shared" si="316"/>
        <v>OPORTUNO</v>
      </c>
      <c r="M2902">
        <v>26</v>
      </c>
      <c r="N2902">
        <v>97.78</v>
      </c>
      <c r="O2902">
        <v>25.494071146245059</v>
      </c>
    </row>
    <row r="2903" spans="1:15" customFormat="1" hidden="1" x14ac:dyDescent="0.25">
      <c r="A2903" s="11">
        <v>46092</v>
      </c>
      <c r="B2903" t="s">
        <v>53</v>
      </c>
      <c r="C2903" t="s">
        <v>48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317"/>
        <v>33</v>
      </c>
      <c r="J2903" s="3">
        <f t="shared" si="318"/>
        <v>20</v>
      </c>
      <c r="K2903" s="3">
        <f t="shared" si="319"/>
        <v>13</v>
      </c>
      <c r="L2903" s="3" t="str">
        <f t="shared" si="316"/>
        <v>MUITO BOM</v>
      </c>
      <c r="M2903">
        <v>27</v>
      </c>
      <c r="N2903">
        <v>98.02</v>
      </c>
      <c r="O2903">
        <v>23.484848484848481</v>
      </c>
    </row>
    <row r="2904" spans="1:15" customFormat="1" hidden="1" x14ac:dyDescent="0.25">
      <c r="A2904" s="11">
        <v>46126</v>
      </c>
      <c r="B2904" t="s">
        <v>22</v>
      </c>
      <c r="C2904" t="s">
        <v>23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317"/>
        <v>29</v>
      </c>
      <c r="J2904" s="3">
        <f t="shared" si="318"/>
        <v>20</v>
      </c>
      <c r="K2904" s="3">
        <f t="shared" si="319"/>
        <v>9</v>
      </c>
      <c r="L2904" s="3" t="str">
        <f t="shared" si="316"/>
        <v>MUITO BOM</v>
      </c>
      <c r="M2904">
        <v>27</v>
      </c>
      <c r="N2904">
        <v>99.28</v>
      </c>
      <c r="O2904">
        <v>27.689243027888441</v>
      </c>
    </row>
    <row r="2905" spans="1:15" customFormat="1" hidden="1" x14ac:dyDescent="0.25">
      <c r="A2905" s="11">
        <v>46092</v>
      </c>
      <c r="B2905" t="s">
        <v>54</v>
      </c>
      <c r="C2905" t="s">
        <v>48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317"/>
        <v>24</v>
      </c>
      <c r="J2905" s="3">
        <f t="shared" si="318"/>
        <v>20</v>
      </c>
      <c r="K2905" s="3">
        <f t="shared" si="319"/>
        <v>4</v>
      </c>
      <c r="L2905" s="3" t="str">
        <f t="shared" si="316"/>
        <v>OPORTUNO</v>
      </c>
      <c r="M2905">
        <v>20</v>
      </c>
      <c r="N2905">
        <v>100</v>
      </c>
      <c r="O2905">
        <v>27.04918032786885</v>
      </c>
    </row>
    <row r="2906" spans="1:15" customFormat="1" hidden="1" x14ac:dyDescent="0.25">
      <c r="A2906" s="11">
        <v>46092</v>
      </c>
      <c r="B2906" t="s">
        <v>37</v>
      </c>
      <c r="C2906" t="s">
        <v>32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317"/>
        <v>39</v>
      </c>
      <c r="J2906" s="3">
        <f t="shared" si="318"/>
        <v>25</v>
      </c>
      <c r="K2906" s="3">
        <f t="shared" si="319"/>
        <v>14</v>
      </c>
      <c r="L2906" s="3" t="str">
        <f t="shared" si="316"/>
        <v>MUITO BOM</v>
      </c>
      <c r="M2906">
        <v>33</v>
      </c>
      <c r="N2906">
        <v>97.83</v>
      </c>
      <c r="O2906">
        <v>26.315789473684209</v>
      </c>
    </row>
    <row r="2907" spans="1:15" customFormat="1" hidden="1" x14ac:dyDescent="0.25">
      <c r="A2907" s="11">
        <v>46092</v>
      </c>
      <c r="B2907" t="s">
        <v>38</v>
      </c>
      <c r="C2907" t="s">
        <v>32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 t="shared" si="316"/>
        <v>OPORTUNO</v>
      </c>
      <c r="M2907">
        <v>6</v>
      </c>
      <c r="N2907">
        <v>100</v>
      </c>
      <c r="O2907">
        <v>26.701570680628269</v>
      </c>
    </row>
    <row r="2908" spans="1:15" customFormat="1" hidden="1" x14ac:dyDescent="0.25">
      <c r="A2908" s="11">
        <v>46092</v>
      </c>
      <c r="B2908" t="s">
        <v>55</v>
      </c>
      <c r="C2908" t="s">
        <v>48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20</v>
      </c>
      <c r="K2908" s="3">
        <f>I2908-J2908</f>
        <v>4</v>
      </c>
      <c r="L2908" s="3" t="str">
        <f t="shared" si="316"/>
        <v>OPORTUNO</v>
      </c>
      <c r="M2908">
        <v>19</v>
      </c>
      <c r="N2908">
        <v>97.47</v>
      </c>
      <c r="O2908">
        <v>22.887323943661968</v>
      </c>
    </row>
    <row r="2909" spans="1:15" customFormat="1" hidden="1" x14ac:dyDescent="0.25">
      <c r="A2909" s="11">
        <v>46092</v>
      </c>
      <c r="B2909" t="s">
        <v>39</v>
      </c>
      <c r="C2909" t="s">
        <v>32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 t="shared" si="316"/>
        <v>OPORTUNO</v>
      </c>
      <c r="M2909">
        <v>0</v>
      </c>
      <c r="N2909">
        <v>0</v>
      </c>
      <c r="O2909">
        <v>0</v>
      </c>
    </row>
    <row r="2910" spans="1:15" customFormat="1" hidden="1" x14ac:dyDescent="0.25">
      <c r="A2910" s="11">
        <v>46092</v>
      </c>
      <c r="B2910" t="s">
        <v>25</v>
      </c>
      <c r="C2910" t="s">
        <v>26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14</v>
      </c>
      <c r="K2910" s="3">
        <f>I2910-J2910</f>
        <v>-8</v>
      </c>
      <c r="L2910" s="3" t="str">
        <f t="shared" si="316"/>
        <v>CRÍTICO</v>
      </c>
      <c r="M2910">
        <v>6</v>
      </c>
      <c r="N2910">
        <v>98.31</v>
      </c>
      <c r="O2910">
        <v>24.920127795527151</v>
      </c>
    </row>
    <row r="2911" spans="1:15" customFormat="1" hidden="1" x14ac:dyDescent="0.25">
      <c r="A2911" s="11">
        <v>46092</v>
      </c>
      <c r="B2911" t="s">
        <v>40</v>
      </c>
      <c r="C2911" t="s">
        <v>32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 t="shared" si="316"/>
        <v>OPORTUNO</v>
      </c>
      <c r="M2911">
        <v>1</v>
      </c>
      <c r="N2911">
        <v>96.81</v>
      </c>
      <c r="O2911">
        <v>32.365145228215773</v>
      </c>
    </row>
    <row r="2912" spans="1:15" customFormat="1" hidden="1" x14ac:dyDescent="0.25">
      <c r="A2912" s="11">
        <v>46092</v>
      </c>
      <c r="B2912" t="s">
        <v>27</v>
      </c>
      <c r="C2912" t="s">
        <v>26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14</v>
      </c>
      <c r="K2912" s="3">
        <f>I2912-J2912</f>
        <v>-3</v>
      </c>
      <c r="L2912" s="3" t="str">
        <f t="shared" si="316"/>
        <v>ATENÇÃO</v>
      </c>
      <c r="M2912">
        <v>7</v>
      </c>
      <c r="N2912">
        <v>100</v>
      </c>
      <c r="O2912">
        <v>26.47058823529412</v>
      </c>
    </row>
    <row r="2913" spans="1:15" customFormat="1" hidden="1" x14ac:dyDescent="0.25">
      <c r="A2913" s="11">
        <v>46092</v>
      </c>
      <c r="B2913" t="s">
        <v>41</v>
      </c>
      <c r="C2913" t="s">
        <v>32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 t="shared" si="316"/>
        <v>OPORTUNO</v>
      </c>
      <c r="M2913">
        <v>5</v>
      </c>
      <c r="N2913">
        <v>100</v>
      </c>
      <c r="O2913">
        <v>28.490028490028489</v>
      </c>
    </row>
    <row r="2914" spans="1:15" customFormat="1" hidden="1" x14ac:dyDescent="0.25">
      <c r="A2914" s="11">
        <v>46092</v>
      </c>
      <c r="B2914" t="s">
        <v>56</v>
      </c>
      <c r="C2914" t="s">
        <v>48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20</v>
      </c>
      <c r="K2914" s="3">
        <f>I2914-J2914</f>
        <v>14</v>
      </c>
      <c r="L2914" s="3" t="str">
        <f t="shared" si="316"/>
        <v>MUITO BOM</v>
      </c>
      <c r="M2914">
        <v>18</v>
      </c>
      <c r="N2914">
        <v>99.14</v>
      </c>
      <c r="O2914">
        <v>27.2289156626506</v>
      </c>
    </row>
    <row r="2915" spans="1:15" customFormat="1" hidden="1" x14ac:dyDescent="0.25">
      <c r="A2915" s="11">
        <v>46092</v>
      </c>
      <c r="B2915" t="s">
        <v>57</v>
      </c>
      <c r="C2915" t="s">
        <v>48</v>
      </c>
      <c r="D2915">
        <v>29</v>
      </c>
      <c r="E2915">
        <v>26</v>
      </c>
      <c r="F2915">
        <v>20.59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 t="shared" si="316"/>
        <v>OPORTUNO</v>
      </c>
      <c r="M2915">
        <v>18</v>
      </c>
      <c r="N2915">
        <v>97.52</v>
      </c>
      <c r="O2915">
        <v>28.205128205128201</v>
      </c>
    </row>
    <row r="2916" spans="1:15" customFormat="1" hidden="1" x14ac:dyDescent="0.25">
      <c r="A2916" s="11">
        <v>46092</v>
      </c>
      <c r="B2916" t="s">
        <v>42</v>
      </c>
      <c r="C2916" t="s">
        <v>32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25</v>
      </c>
      <c r="K2916" s="3">
        <f>I2916-J2916</f>
        <v>25</v>
      </c>
      <c r="L2916" s="3" t="str">
        <f t="shared" si="316"/>
        <v>MUITO BOM</v>
      </c>
      <c r="M2916">
        <v>25</v>
      </c>
      <c r="N2916">
        <v>90</v>
      </c>
      <c r="O2916">
        <v>24.186046511627911</v>
      </c>
    </row>
    <row r="2917" spans="1:15" customFormat="1" hidden="1" x14ac:dyDescent="0.25">
      <c r="A2917" s="11">
        <v>46092</v>
      </c>
      <c r="B2917" t="s">
        <v>62</v>
      </c>
      <c r="C2917" t="s">
        <v>23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16</v>
      </c>
      <c r="K2917" s="3">
        <f>I2917-J2917</f>
        <v>-2</v>
      </c>
      <c r="L2917" s="3" t="str">
        <f t="shared" si="316"/>
        <v>ATENÇÃO</v>
      </c>
      <c r="M2917">
        <v>12</v>
      </c>
      <c r="N2917">
        <v>98.9</v>
      </c>
      <c r="O2917">
        <v>26.763990267639901</v>
      </c>
    </row>
    <row r="2918" spans="1:15" customFormat="1" hidden="1" x14ac:dyDescent="0.25">
      <c r="A2918" s="11">
        <v>46092</v>
      </c>
      <c r="B2918" t="s">
        <v>19</v>
      </c>
      <c r="C2918" t="s">
        <v>16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 t="shared" si="316"/>
        <v>OPORTUNO</v>
      </c>
      <c r="M2918">
        <v>0</v>
      </c>
      <c r="N2918">
        <v>88.89</v>
      </c>
      <c r="O2918">
        <v>25.263157894736839</v>
      </c>
    </row>
    <row r="2919" spans="1:15" customFormat="1" hidden="1" x14ac:dyDescent="0.25">
      <c r="A2919" s="11">
        <v>46092</v>
      </c>
      <c r="B2919" t="s">
        <v>43</v>
      </c>
      <c r="C2919" t="s">
        <v>32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11</v>
      </c>
      <c r="L2919" s="3" t="str">
        <f t="shared" si="316"/>
        <v>MUITO BOM</v>
      </c>
      <c r="M2919">
        <v>33</v>
      </c>
      <c r="N2919">
        <v>98.86</v>
      </c>
      <c r="O2919">
        <v>28.959276018099551</v>
      </c>
    </row>
    <row r="2920" spans="1:15" customFormat="1" hidden="1" x14ac:dyDescent="0.25">
      <c r="A2920" s="11">
        <v>46092</v>
      </c>
      <c r="B2920" t="s">
        <v>44</v>
      </c>
      <c r="C2920" t="s">
        <v>32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25</v>
      </c>
      <c r="K2920" s="3">
        <f>I2920-J2920</f>
        <v>4</v>
      </c>
      <c r="L2920" s="3" t="str">
        <f t="shared" si="316"/>
        <v>OPORTUNO</v>
      </c>
      <c r="M2920">
        <v>23</v>
      </c>
      <c r="N2920">
        <v>98.06</v>
      </c>
      <c r="O2920">
        <v>22.40566037735849</v>
      </c>
    </row>
    <row r="2921" spans="1:15" customFormat="1" hidden="1" x14ac:dyDescent="0.25">
      <c r="A2921" s="11">
        <v>46092</v>
      </c>
      <c r="B2921" t="s">
        <v>20</v>
      </c>
      <c r="C2921" t="s">
        <v>16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 t="shared" si="316"/>
        <v>ATENÇÃO</v>
      </c>
      <c r="M2921">
        <v>5</v>
      </c>
      <c r="N2921">
        <v>95.83</v>
      </c>
      <c r="O2921">
        <v>25.773195876288661</v>
      </c>
    </row>
    <row r="2922" spans="1:15" customFormat="1" hidden="1" x14ac:dyDescent="0.25">
      <c r="A2922" s="11">
        <v>46092</v>
      </c>
      <c r="B2922" t="s">
        <v>28</v>
      </c>
      <c r="C2922" t="s">
        <v>26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 t="shared" si="316"/>
        <v>OPORTUNO</v>
      </c>
      <c r="M2922">
        <v>0</v>
      </c>
      <c r="N2922">
        <v>100</v>
      </c>
      <c r="O2922">
        <v>15.38461538461539</v>
      </c>
    </row>
    <row r="2923" spans="1:15" customFormat="1" hidden="1" x14ac:dyDescent="0.25">
      <c r="A2923" s="11">
        <v>46092</v>
      </c>
      <c r="B2923" t="s">
        <v>58</v>
      </c>
      <c r="C2923" t="s">
        <v>48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20</v>
      </c>
      <c r="K2923" s="3">
        <f>I2923-J2923</f>
        <v>-9</v>
      </c>
      <c r="L2923" s="3" t="str">
        <f t="shared" si="316"/>
        <v>CRÍTICO</v>
      </c>
      <c r="M2923">
        <v>9</v>
      </c>
      <c r="N2923">
        <v>100</v>
      </c>
      <c r="O2923">
        <v>27.514792899408281</v>
      </c>
    </row>
    <row r="2924" spans="1:15" customFormat="1" hidden="1" x14ac:dyDescent="0.25">
      <c r="A2924" s="11">
        <v>46092</v>
      </c>
      <c r="B2924" t="s">
        <v>29</v>
      </c>
      <c r="C2924" t="s">
        <v>26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-6</v>
      </c>
      <c r="L2924" s="3" t="str">
        <f t="shared" si="316"/>
        <v>CRÍTICO</v>
      </c>
      <c r="M2924">
        <v>7</v>
      </c>
      <c r="N2924">
        <v>100</v>
      </c>
      <c r="O2924">
        <v>24.875621890547269</v>
      </c>
    </row>
    <row r="2925" spans="1:15" customFormat="1" hidden="1" x14ac:dyDescent="0.25">
      <c r="A2925" s="11">
        <v>46092</v>
      </c>
      <c r="B2925" t="s">
        <v>30</v>
      </c>
      <c r="C2925" t="s">
        <v>26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14</v>
      </c>
      <c r="K2925" s="3">
        <f>I2925-J2925</f>
        <v>-1</v>
      </c>
      <c r="L2925" s="3" t="str">
        <f t="shared" si="316"/>
        <v>ATENÇÃO</v>
      </c>
      <c r="M2925">
        <v>10</v>
      </c>
      <c r="N2925">
        <v>100</v>
      </c>
      <c r="O2925">
        <v>28.108108108108109</v>
      </c>
    </row>
    <row r="2926" spans="1:15" customFormat="1" hidden="1" x14ac:dyDescent="0.25">
      <c r="A2926" s="11">
        <v>46092</v>
      </c>
      <c r="B2926" t="s">
        <v>21</v>
      </c>
      <c r="C2926" t="s">
        <v>16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 t="shared" si="316"/>
        <v>OPORTUNO</v>
      </c>
      <c r="M2926">
        <v>0</v>
      </c>
      <c r="N2926">
        <v>100</v>
      </c>
      <c r="O2926">
        <v>35</v>
      </c>
    </row>
    <row r="2927" spans="1:15" customFormat="1" hidden="1" x14ac:dyDescent="0.25">
      <c r="A2927" s="11">
        <v>46092</v>
      </c>
      <c r="B2927" t="s">
        <v>63</v>
      </c>
      <c r="C2927" t="s">
        <v>23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16</v>
      </c>
      <c r="K2927" s="3">
        <f>I2927-J2927</f>
        <v>11</v>
      </c>
      <c r="L2927" s="3" t="str">
        <f t="shared" si="316"/>
        <v>MUITO BOM</v>
      </c>
      <c r="M2927">
        <v>19</v>
      </c>
      <c r="N2927">
        <v>95.35</v>
      </c>
      <c r="O2927">
        <v>28.61538461538461</v>
      </c>
    </row>
    <row r="2928" spans="1:15" customFormat="1" hidden="1" x14ac:dyDescent="0.25">
      <c r="A2928" s="11">
        <v>46092</v>
      </c>
      <c r="B2928" t="s">
        <v>45</v>
      </c>
      <c r="C2928" t="s">
        <v>32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25</v>
      </c>
      <c r="K2928" s="3">
        <f>I2928-J2928</f>
        <v>19</v>
      </c>
      <c r="L2928" s="3" t="str">
        <f t="shared" si="316"/>
        <v>MUITO BOM</v>
      </c>
      <c r="M2928">
        <v>27</v>
      </c>
      <c r="N2928">
        <v>98.26</v>
      </c>
      <c r="O2928">
        <v>27.54491017964072</v>
      </c>
    </row>
    <row r="2929" spans="1:15" customFormat="1" hidden="1" x14ac:dyDescent="0.25">
      <c r="A2929" s="11">
        <v>46092</v>
      </c>
      <c r="B2929" t="s">
        <v>64</v>
      </c>
      <c r="C2929" t="s">
        <v>23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16</v>
      </c>
      <c r="K2929" s="3">
        <f>I2929-J2929</f>
        <v>1</v>
      </c>
      <c r="L2929" s="3" t="str">
        <f t="shared" si="316"/>
        <v>OPORTUNO</v>
      </c>
      <c r="M2929">
        <v>15</v>
      </c>
      <c r="N2929">
        <v>98.55</v>
      </c>
      <c r="O2929">
        <v>25.337837837837839</v>
      </c>
    </row>
    <row r="2930" spans="1:15" customFormat="1" hidden="1" x14ac:dyDescent="0.25">
      <c r="A2930" s="11">
        <v>46092</v>
      </c>
      <c r="B2930" t="s">
        <v>46</v>
      </c>
      <c r="C2930" t="s">
        <v>32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25</v>
      </c>
      <c r="K2930" s="3">
        <f>I2930-J2930</f>
        <v>7</v>
      </c>
      <c r="L2930" s="3" t="str">
        <f t="shared" si="316"/>
        <v>MUITO BOM</v>
      </c>
      <c r="M2930">
        <v>27</v>
      </c>
      <c r="N2930">
        <v>98.39</v>
      </c>
      <c r="O2930">
        <v>25.563909774436091</v>
      </c>
    </row>
    <row r="2931" spans="1:15" customFormat="1" hidden="1" x14ac:dyDescent="0.25">
      <c r="A2931" s="11">
        <v>46093</v>
      </c>
      <c r="B2931" t="s">
        <v>47</v>
      </c>
      <c r="C2931" t="s">
        <v>48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18</v>
      </c>
      <c r="K2931" s="3">
        <f>I2931-J2931</f>
        <v>-7</v>
      </c>
      <c r="L2931" s="3" t="str">
        <f t="shared" si="316"/>
        <v>CRÍTICO</v>
      </c>
      <c r="M2931">
        <v>8</v>
      </c>
      <c r="N2931">
        <v>94.29</v>
      </c>
      <c r="O2931">
        <v>25.647668393782389</v>
      </c>
    </row>
    <row r="2932" spans="1:15" customFormat="1" hidden="1" x14ac:dyDescent="0.25">
      <c r="A2932" s="11">
        <v>46093</v>
      </c>
      <c r="B2932" t="s">
        <v>31</v>
      </c>
      <c r="C2932" t="s">
        <v>32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 t="shared" si="316"/>
        <v>OPORTUNO</v>
      </c>
      <c r="M2932">
        <v>22</v>
      </c>
      <c r="N2932">
        <v>98.26</v>
      </c>
      <c r="O2932">
        <v>26.666666666666671</v>
      </c>
    </row>
    <row r="2933" spans="1:15" customFormat="1" hidden="1" x14ac:dyDescent="0.25">
      <c r="A2933" s="11">
        <v>46093</v>
      </c>
      <c r="B2933" t="s">
        <v>59</v>
      </c>
      <c r="C2933" t="s">
        <v>23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15</v>
      </c>
      <c r="K2933" s="3">
        <f>I2933-J2933</f>
        <v>2</v>
      </c>
      <c r="L2933" s="3" t="str">
        <f t="shared" si="316"/>
        <v>OPORTUNO</v>
      </c>
      <c r="M2933">
        <v>15</v>
      </c>
      <c r="N2933">
        <v>98.2</v>
      </c>
      <c r="O2933">
        <v>23.37962962962963</v>
      </c>
    </row>
    <row r="2934" spans="1:15" customFormat="1" hidden="1" x14ac:dyDescent="0.25">
      <c r="A2934" s="11">
        <v>46093</v>
      </c>
      <c r="B2934" t="s">
        <v>33</v>
      </c>
      <c r="C2934" t="s">
        <v>32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22</v>
      </c>
      <c r="K2934" s="3">
        <f>I2934-J2934</f>
        <v>2</v>
      </c>
      <c r="L2934" s="3" t="str">
        <f t="shared" si="316"/>
        <v>OPORTUNO</v>
      </c>
      <c r="M2934">
        <v>23</v>
      </c>
      <c r="N2934">
        <v>97.3</v>
      </c>
      <c r="O2934">
        <v>23.84769539078156</v>
      </c>
    </row>
    <row r="2935" spans="1:15" customFormat="1" hidden="1" x14ac:dyDescent="0.25">
      <c r="A2935" s="11">
        <v>46093</v>
      </c>
      <c r="B2935" t="s">
        <v>15</v>
      </c>
      <c r="C2935" t="s">
        <v>16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 t="shared" si="316"/>
        <v>OPORTUNO</v>
      </c>
      <c r="M2935">
        <v>8</v>
      </c>
      <c r="N2935">
        <v>100</v>
      </c>
      <c r="O2935">
        <v>25.268817204301079</v>
      </c>
    </row>
    <row r="2936" spans="1:15" customFormat="1" hidden="1" x14ac:dyDescent="0.25">
      <c r="A2936" s="11">
        <v>46093</v>
      </c>
      <c r="B2936" t="s">
        <v>49</v>
      </c>
      <c r="C2936" t="s">
        <v>48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17</v>
      </c>
      <c r="L2936" s="3" t="str">
        <f t="shared" si="316"/>
        <v>MUITO BOM</v>
      </c>
      <c r="M2936">
        <v>34</v>
      </c>
      <c r="N2936">
        <v>99.32</v>
      </c>
      <c r="O2936">
        <v>22.822822822822818</v>
      </c>
    </row>
    <row r="2937" spans="1:15" customFormat="1" hidden="1" x14ac:dyDescent="0.25">
      <c r="A2937" s="11">
        <v>46093</v>
      </c>
      <c r="B2937" t="s">
        <v>50</v>
      </c>
      <c r="C2937" t="s">
        <v>48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18</v>
      </c>
      <c r="K2937" s="3">
        <f>I2937-J2937</f>
        <v>-9</v>
      </c>
      <c r="L2937" s="3" t="str">
        <f t="shared" si="316"/>
        <v>CRÍTICO</v>
      </c>
      <c r="M2937">
        <v>13</v>
      </c>
      <c r="N2937">
        <v>100</v>
      </c>
      <c r="O2937">
        <v>27.966101694915249</v>
      </c>
    </row>
    <row r="2938" spans="1:15" customFormat="1" hidden="1" x14ac:dyDescent="0.25">
      <c r="A2938" s="11">
        <v>46093</v>
      </c>
      <c r="B2938" t="s">
        <v>17</v>
      </c>
      <c r="C2938" t="s">
        <v>16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 t="shared" si="316"/>
        <v>OPORTUNO</v>
      </c>
      <c r="M2938">
        <v>0</v>
      </c>
      <c r="N2938">
        <v>100</v>
      </c>
      <c r="O2938">
        <v>30.434782608695659</v>
      </c>
    </row>
    <row r="2939" spans="1:15" customFormat="1" hidden="1" x14ac:dyDescent="0.25">
      <c r="A2939" s="11">
        <v>46093</v>
      </c>
      <c r="B2939" t="s">
        <v>60</v>
      </c>
      <c r="C2939" t="s">
        <v>23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-1</v>
      </c>
      <c r="L2939" s="3" t="str">
        <f t="shared" ref="L2939:L3002" si="320">IF(K2939&lt;-5,"CRÍTICO",IF(K2939&lt;0,"ATENÇÃO",IF(K2939&lt;=5,"OPORTUNO","MUITO BOM")))</f>
        <v>ATENÇÃO</v>
      </c>
      <c r="M2939">
        <v>14</v>
      </c>
      <c r="N2939">
        <v>96.51</v>
      </c>
      <c r="O2939">
        <v>22.802850356294542</v>
      </c>
    </row>
    <row r="2940" spans="1:15" customFormat="1" hidden="1" x14ac:dyDescent="0.25">
      <c r="A2940" s="11">
        <v>46093</v>
      </c>
      <c r="B2940" t="s">
        <v>34</v>
      </c>
      <c r="C2940" t="s">
        <v>32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20"/>
        <v>OPORTUNO</v>
      </c>
      <c r="M2940">
        <v>12</v>
      </c>
      <c r="N2940">
        <v>92.68</v>
      </c>
      <c r="O2940">
        <v>27.777777777777779</v>
      </c>
    </row>
    <row r="2941" spans="1:15" customFormat="1" hidden="1" x14ac:dyDescent="0.25">
      <c r="A2941" s="11">
        <v>46093</v>
      </c>
      <c r="B2941" t="s">
        <v>51</v>
      </c>
      <c r="C2941" t="s">
        <v>48</v>
      </c>
      <c r="D2941">
        <v>30</v>
      </c>
      <c r="E2941">
        <v>28</v>
      </c>
      <c r="F2941">
        <v>20.079999999999998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 t="shared" si="320"/>
        <v>OPORTUNO</v>
      </c>
      <c r="M2941">
        <v>25</v>
      </c>
      <c r="N2941">
        <v>99.03</v>
      </c>
      <c r="O2941">
        <v>23.991507430997881</v>
      </c>
    </row>
    <row r="2942" spans="1:15" customFormat="1" hidden="1" x14ac:dyDescent="0.25">
      <c r="A2942" s="11">
        <v>46093</v>
      </c>
      <c r="B2942" t="s">
        <v>61</v>
      </c>
      <c r="C2942" t="s">
        <v>23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15</v>
      </c>
      <c r="K2942" s="3">
        <f>I2942-J2942</f>
        <v>11</v>
      </c>
      <c r="L2942" s="3" t="str">
        <f t="shared" si="320"/>
        <v>MUITO BOM</v>
      </c>
      <c r="M2942">
        <v>13</v>
      </c>
      <c r="N2942">
        <v>98.41</v>
      </c>
      <c r="O2942">
        <v>28.138528138528141</v>
      </c>
    </row>
    <row r="2943" spans="1:15" customFormat="1" hidden="1" x14ac:dyDescent="0.25">
      <c r="A2943" s="11">
        <v>46093</v>
      </c>
      <c r="B2943" t="s">
        <v>35</v>
      </c>
      <c r="C2943" t="s">
        <v>32</v>
      </c>
      <c r="D2943">
        <v>29</v>
      </c>
      <c r="E2943">
        <v>28</v>
      </c>
      <c r="F2943">
        <v>25.59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 t="shared" si="320"/>
        <v>OPORTUNO</v>
      </c>
      <c r="M2943">
        <v>29</v>
      </c>
      <c r="N2943">
        <v>98.73</v>
      </c>
      <c r="O2943">
        <v>29.142857142857139</v>
      </c>
    </row>
    <row r="2944" spans="1:15" customFormat="1" hidden="1" x14ac:dyDescent="0.25">
      <c r="A2944" s="11">
        <v>46093</v>
      </c>
      <c r="B2944" t="s">
        <v>18</v>
      </c>
      <c r="C2944" t="s">
        <v>16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ref="I2944:I2950" si="321">E2944+G2944+H2944</f>
        <v>9</v>
      </c>
      <c r="J2944" s="3">
        <f t="shared" ref="J2944:J2950" si="322"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 t="shared" ref="K2944:K2950" si="323">I2944-J2944</f>
        <v>3</v>
      </c>
      <c r="L2944" s="3" t="str">
        <f t="shared" si="320"/>
        <v>OPORTUNO</v>
      </c>
      <c r="M2944">
        <v>7</v>
      </c>
      <c r="N2944">
        <v>90.48</v>
      </c>
      <c r="O2944">
        <v>20.68965517241379</v>
      </c>
    </row>
    <row r="2945" spans="1:15" customFormat="1" hidden="1" x14ac:dyDescent="0.25">
      <c r="A2945" s="11">
        <v>46093</v>
      </c>
      <c r="B2945" t="s">
        <v>52</v>
      </c>
      <c r="C2945" t="s">
        <v>48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321"/>
        <v>24</v>
      </c>
      <c r="J2945" s="3">
        <f t="shared" si="322"/>
        <v>18</v>
      </c>
      <c r="K2945" s="3">
        <f t="shared" si="323"/>
        <v>6</v>
      </c>
      <c r="L2945" s="3" t="str">
        <f t="shared" si="320"/>
        <v>MUITO BOM</v>
      </c>
      <c r="M2945">
        <v>19</v>
      </c>
      <c r="N2945">
        <v>98.06</v>
      </c>
      <c r="O2945">
        <v>24.789915966386559</v>
      </c>
    </row>
    <row r="2946" spans="1:15" customFormat="1" hidden="1" x14ac:dyDescent="0.25">
      <c r="A2946" s="11">
        <v>46093</v>
      </c>
      <c r="B2946" t="s">
        <v>36</v>
      </c>
      <c r="C2946" t="s">
        <v>32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321"/>
        <v>27</v>
      </c>
      <c r="J2946" s="3">
        <f t="shared" si="322"/>
        <v>22</v>
      </c>
      <c r="K2946" s="3">
        <f t="shared" si="323"/>
        <v>5</v>
      </c>
      <c r="L2946" s="3" t="str">
        <f t="shared" si="320"/>
        <v>OPORTUNO</v>
      </c>
      <c r="M2946">
        <v>27</v>
      </c>
      <c r="N2946">
        <v>97.78</v>
      </c>
      <c r="O2946">
        <v>25.494071146245059</v>
      </c>
    </row>
    <row r="2947" spans="1:15" customFormat="1" hidden="1" x14ac:dyDescent="0.25">
      <c r="A2947" s="11">
        <v>46093</v>
      </c>
      <c r="B2947" t="s">
        <v>53</v>
      </c>
      <c r="C2947" t="s">
        <v>48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321"/>
        <v>25</v>
      </c>
      <c r="J2947" s="3">
        <f t="shared" si="322"/>
        <v>18</v>
      </c>
      <c r="K2947" s="3">
        <f t="shared" si="323"/>
        <v>7</v>
      </c>
      <c r="L2947" s="3" t="str">
        <f t="shared" si="320"/>
        <v>MUITO BOM</v>
      </c>
      <c r="M2947">
        <v>20</v>
      </c>
      <c r="N2947">
        <v>98.02</v>
      </c>
      <c r="O2947">
        <v>23.484848484848481</v>
      </c>
    </row>
    <row r="2948" spans="1:15" customFormat="1" hidden="1" x14ac:dyDescent="0.25">
      <c r="A2948" s="11">
        <v>46127</v>
      </c>
      <c r="B2948" t="s">
        <v>22</v>
      </c>
      <c r="C2948" t="s">
        <v>23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321"/>
        <v>38</v>
      </c>
      <c r="J2948" s="3">
        <f t="shared" si="322"/>
        <v>21</v>
      </c>
      <c r="K2948" s="3">
        <f t="shared" si="323"/>
        <v>17</v>
      </c>
      <c r="L2948" s="3" t="str">
        <f t="shared" si="320"/>
        <v>MUITO BOM</v>
      </c>
      <c r="M2948">
        <v>39</v>
      </c>
      <c r="N2948">
        <v>99.28</v>
      </c>
      <c r="O2948">
        <v>27.689243027888441</v>
      </c>
    </row>
    <row r="2949" spans="1:15" customFormat="1" hidden="1" x14ac:dyDescent="0.25">
      <c r="A2949" s="11">
        <v>46093</v>
      </c>
      <c r="B2949" t="s">
        <v>54</v>
      </c>
      <c r="C2949" t="s">
        <v>48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321"/>
        <v>21</v>
      </c>
      <c r="J2949" s="3">
        <f t="shared" si="322"/>
        <v>18</v>
      </c>
      <c r="K2949" s="3">
        <f t="shared" si="323"/>
        <v>3</v>
      </c>
      <c r="L2949" s="3" t="str">
        <f t="shared" si="320"/>
        <v>OPORTUNO</v>
      </c>
      <c r="M2949">
        <v>17</v>
      </c>
      <c r="N2949">
        <v>100</v>
      </c>
      <c r="O2949">
        <v>27.04918032786885</v>
      </c>
    </row>
    <row r="2950" spans="1:15" customFormat="1" hidden="1" x14ac:dyDescent="0.25">
      <c r="A2950" s="11">
        <v>46093</v>
      </c>
      <c r="B2950" t="s">
        <v>37</v>
      </c>
      <c r="C2950" t="s">
        <v>32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321"/>
        <v>42</v>
      </c>
      <c r="J2950" s="3">
        <f t="shared" si="322"/>
        <v>22</v>
      </c>
      <c r="K2950" s="3">
        <f t="shared" si="323"/>
        <v>20</v>
      </c>
      <c r="L2950" s="3" t="str">
        <f t="shared" si="320"/>
        <v>MUITO BOM</v>
      </c>
      <c r="M2950">
        <v>39</v>
      </c>
      <c r="N2950">
        <v>97.83</v>
      </c>
      <c r="O2950">
        <v>26.315789473684209</v>
      </c>
    </row>
    <row r="2951" spans="1:15" customFormat="1" hidden="1" x14ac:dyDescent="0.25">
      <c r="A2951" s="11">
        <v>46093</v>
      </c>
      <c r="B2951" t="s">
        <v>38</v>
      </c>
      <c r="C2951" t="s">
        <v>32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 t="shared" si="320"/>
        <v>OPORTUNO</v>
      </c>
      <c r="M2951">
        <v>6</v>
      </c>
      <c r="N2951">
        <v>100</v>
      </c>
      <c r="O2951">
        <v>26.701570680628269</v>
      </c>
    </row>
    <row r="2952" spans="1:15" customFormat="1" hidden="1" x14ac:dyDescent="0.25">
      <c r="A2952" s="11">
        <v>46093</v>
      </c>
      <c r="B2952" t="s">
        <v>55</v>
      </c>
      <c r="C2952" t="s">
        <v>48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18</v>
      </c>
      <c r="K2952" s="3">
        <f>I2952-J2952</f>
        <v>5</v>
      </c>
      <c r="L2952" s="3" t="str">
        <f t="shared" si="320"/>
        <v>OPORTUNO</v>
      </c>
      <c r="M2952">
        <v>21</v>
      </c>
      <c r="N2952">
        <v>97.47</v>
      </c>
      <c r="O2952">
        <v>22.887323943661968</v>
      </c>
    </row>
    <row r="2953" spans="1:15" customFormat="1" hidden="1" x14ac:dyDescent="0.25">
      <c r="A2953" s="11">
        <v>46093</v>
      </c>
      <c r="B2953" t="s">
        <v>39</v>
      </c>
      <c r="C2953" t="s">
        <v>32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 t="shared" si="320"/>
        <v>OPORTUNO</v>
      </c>
      <c r="M2953">
        <v>0</v>
      </c>
      <c r="N2953">
        <v>0</v>
      </c>
      <c r="O2953">
        <v>0</v>
      </c>
    </row>
    <row r="2954" spans="1:15" customFormat="1" hidden="1" x14ac:dyDescent="0.25">
      <c r="A2954" s="11">
        <v>46093</v>
      </c>
      <c r="B2954" t="s">
        <v>25</v>
      </c>
      <c r="C2954" t="s">
        <v>26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13</v>
      </c>
      <c r="K2954" s="3">
        <f>I2954-J2954</f>
        <v>-2</v>
      </c>
      <c r="L2954" s="3" t="str">
        <f t="shared" si="320"/>
        <v>ATENÇÃO</v>
      </c>
      <c r="M2954">
        <v>10</v>
      </c>
      <c r="N2954">
        <v>98.31</v>
      </c>
      <c r="O2954">
        <v>24.920127795527151</v>
      </c>
    </row>
    <row r="2955" spans="1:15" customFormat="1" hidden="1" x14ac:dyDescent="0.25">
      <c r="A2955" s="11">
        <v>46093</v>
      </c>
      <c r="B2955" t="s">
        <v>40</v>
      </c>
      <c r="C2955" t="s">
        <v>32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 t="shared" si="320"/>
        <v>OPORTUNO</v>
      </c>
      <c r="M2955">
        <v>1</v>
      </c>
      <c r="N2955">
        <v>96.81</v>
      </c>
      <c r="O2955">
        <v>32.365145228215773</v>
      </c>
    </row>
    <row r="2956" spans="1:15" customFormat="1" hidden="1" x14ac:dyDescent="0.25">
      <c r="A2956" s="11">
        <v>46093</v>
      </c>
      <c r="B2956" t="s">
        <v>27</v>
      </c>
      <c r="C2956" t="s">
        <v>26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13</v>
      </c>
      <c r="K2956" s="3">
        <f>I2956-J2956</f>
        <v>-1</v>
      </c>
      <c r="L2956" s="3" t="str">
        <f t="shared" si="320"/>
        <v>ATENÇÃO</v>
      </c>
      <c r="M2956">
        <v>7</v>
      </c>
      <c r="N2956">
        <v>100</v>
      </c>
      <c r="O2956">
        <v>26.47058823529412</v>
      </c>
    </row>
    <row r="2957" spans="1:15" customFormat="1" hidden="1" x14ac:dyDescent="0.25">
      <c r="A2957" s="11">
        <v>46093</v>
      </c>
      <c r="B2957" t="s">
        <v>41</v>
      </c>
      <c r="C2957" t="s">
        <v>32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 t="shared" si="320"/>
        <v>OPORTUNO</v>
      </c>
      <c r="M2957">
        <v>8</v>
      </c>
      <c r="N2957">
        <v>100</v>
      </c>
      <c r="O2957">
        <v>28.490028490028489</v>
      </c>
    </row>
    <row r="2958" spans="1:15" customFormat="1" hidden="1" x14ac:dyDescent="0.25">
      <c r="A2958" s="11">
        <v>46093</v>
      </c>
      <c r="B2958" t="s">
        <v>56</v>
      </c>
      <c r="C2958" t="s">
        <v>48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18</v>
      </c>
      <c r="K2958" s="3">
        <f>I2958-J2958</f>
        <v>-4</v>
      </c>
      <c r="L2958" s="3" t="str">
        <f t="shared" si="320"/>
        <v>ATENÇÃO</v>
      </c>
      <c r="M2958">
        <v>14</v>
      </c>
      <c r="N2958">
        <v>99.14</v>
      </c>
      <c r="O2958">
        <v>27.2289156626506</v>
      </c>
    </row>
    <row r="2959" spans="1:15" customFormat="1" hidden="1" x14ac:dyDescent="0.25">
      <c r="A2959" s="11">
        <v>46093</v>
      </c>
      <c r="B2959" t="s">
        <v>57</v>
      </c>
      <c r="C2959" t="s">
        <v>48</v>
      </c>
      <c r="D2959">
        <v>16</v>
      </c>
      <c r="E2959">
        <v>16</v>
      </c>
      <c r="F2959">
        <v>33.42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 t="shared" si="320"/>
        <v>OPORTUNO</v>
      </c>
      <c r="M2959">
        <v>16</v>
      </c>
      <c r="N2959">
        <v>97.52</v>
      </c>
      <c r="O2959">
        <v>28.205128205128201</v>
      </c>
    </row>
    <row r="2960" spans="1:15" customFormat="1" hidden="1" x14ac:dyDescent="0.25">
      <c r="A2960" s="11">
        <v>46093</v>
      </c>
      <c r="B2960" t="s">
        <v>42</v>
      </c>
      <c r="C2960" t="s">
        <v>32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ref="I2960:I2965" si="324">E2960+G2960+H2960</f>
        <v>21</v>
      </c>
      <c r="J2960" s="3">
        <f t="shared" ref="J2960:J2965" si="325"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22</v>
      </c>
      <c r="K2960" s="3">
        <f t="shared" ref="K2960:K2965" si="326">I2960-J2960</f>
        <v>-1</v>
      </c>
      <c r="L2960" s="3" t="str">
        <f t="shared" si="320"/>
        <v>ATENÇÃO</v>
      </c>
      <c r="M2960">
        <v>17</v>
      </c>
      <c r="N2960">
        <v>90</v>
      </c>
      <c r="O2960">
        <v>24.186046511627911</v>
      </c>
    </row>
    <row r="2961" spans="1:15" customFormat="1" hidden="1" x14ac:dyDescent="0.25">
      <c r="A2961" s="11">
        <v>46093</v>
      </c>
      <c r="B2961" t="s">
        <v>62</v>
      </c>
      <c r="C2961" t="s">
        <v>23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324"/>
        <v>21</v>
      </c>
      <c r="J2961" s="3">
        <f t="shared" si="325"/>
        <v>15</v>
      </c>
      <c r="K2961" s="3">
        <f t="shared" si="326"/>
        <v>6</v>
      </c>
      <c r="L2961" s="3" t="str">
        <f t="shared" si="320"/>
        <v>MUITO BOM</v>
      </c>
      <c r="M2961">
        <v>17</v>
      </c>
      <c r="N2961">
        <v>98.9</v>
      </c>
      <c r="O2961">
        <v>26.763990267639901</v>
      </c>
    </row>
    <row r="2962" spans="1:15" customFormat="1" hidden="1" x14ac:dyDescent="0.25">
      <c r="A2962" s="11">
        <v>46093</v>
      </c>
      <c r="B2962" t="s">
        <v>19</v>
      </c>
      <c r="C2962" t="s">
        <v>16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324"/>
        <v>4</v>
      </c>
      <c r="J2962" s="3">
        <f t="shared" si="325"/>
        <v>6</v>
      </c>
      <c r="K2962" s="3">
        <f t="shared" si="326"/>
        <v>-2</v>
      </c>
      <c r="L2962" s="3" t="str">
        <f t="shared" si="320"/>
        <v>ATENÇÃO</v>
      </c>
      <c r="M2962">
        <v>3</v>
      </c>
      <c r="N2962">
        <v>88.89</v>
      </c>
      <c r="O2962">
        <v>25.263157894736839</v>
      </c>
    </row>
    <row r="2963" spans="1:15" customFormat="1" hidden="1" x14ac:dyDescent="0.25">
      <c r="A2963" s="11">
        <v>46093</v>
      </c>
      <c r="B2963" t="s">
        <v>43</v>
      </c>
      <c r="C2963" t="s">
        <v>32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si="324"/>
        <v>25</v>
      </c>
      <c r="J2963" s="3">
        <f t="shared" si="325"/>
        <v>22</v>
      </c>
      <c r="K2963" s="3">
        <f t="shared" si="326"/>
        <v>3</v>
      </c>
      <c r="L2963" s="3" t="str">
        <f t="shared" si="320"/>
        <v>OPORTUNO</v>
      </c>
      <c r="M2963">
        <v>22</v>
      </c>
      <c r="N2963">
        <v>98.86</v>
      </c>
      <c r="O2963">
        <v>28.959276018099551</v>
      </c>
    </row>
    <row r="2964" spans="1:15" customFormat="1" hidden="1" x14ac:dyDescent="0.25">
      <c r="A2964" s="11">
        <v>46093</v>
      </c>
      <c r="B2964" t="s">
        <v>44</v>
      </c>
      <c r="C2964" t="s">
        <v>32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324"/>
        <v>26</v>
      </c>
      <c r="J2964" s="3">
        <f t="shared" si="325"/>
        <v>22</v>
      </c>
      <c r="K2964" s="3">
        <f t="shared" si="326"/>
        <v>4</v>
      </c>
      <c r="L2964" s="3" t="str">
        <f t="shared" si="320"/>
        <v>OPORTUNO</v>
      </c>
      <c r="M2964">
        <v>22</v>
      </c>
      <c r="N2964">
        <v>98.06</v>
      </c>
      <c r="O2964">
        <v>22.40566037735849</v>
      </c>
    </row>
    <row r="2965" spans="1:15" customFormat="1" hidden="1" x14ac:dyDescent="0.25">
      <c r="A2965" s="11">
        <v>46093</v>
      </c>
      <c r="B2965" t="s">
        <v>20</v>
      </c>
      <c r="C2965" t="s">
        <v>16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324"/>
        <v>6</v>
      </c>
      <c r="J2965" s="3">
        <f t="shared" si="325"/>
        <v>6</v>
      </c>
      <c r="K2965" s="3">
        <f t="shared" si="326"/>
        <v>0</v>
      </c>
      <c r="L2965" s="3" t="str">
        <f t="shared" si="320"/>
        <v>OPORTUNO</v>
      </c>
      <c r="M2965">
        <v>3</v>
      </c>
      <c r="N2965">
        <v>95.83</v>
      </c>
      <c r="O2965">
        <v>25.773195876288661</v>
      </c>
    </row>
    <row r="2966" spans="1:15" customFormat="1" hidden="1" x14ac:dyDescent="0.25">
      <c r="A2966" s="11">
        <v>46093</v>
      </c>
      <c r="B2966" t="s">
        <v>28</v>
      </c>
      <c r="C2966" t="s">
        <v>26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 t="shared" si="320"/>
        <v>OPORTUNO</v>
      </c>
      <c r="M2966">
        <v>0</v>
      </c>
      <c r="N2966">
        <v>100</v>
      </c>
      <c r="O2966">
        <v>15.38461538461539</v>
      </c>
    </row>
    <row r="2967" spans="1:15" customFormat="1" hidden="1" x14ac:dyDescent="0.25">
      <c r="A2967" s="11">
        <v>46093</v>
      </c>
      <c r="B2967" t="s">
        <v>58</v>
      </c>
      <c r="C2967" t="s">
        <v>48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18</v>
      </c>
      <c r="K2967" s="3">
        <f>I2967-J2967</f>
        <v>-6</v>
      </c>
      <c r="L2967" s="3" t="str">
        <f t="shared" si="320"/>
        <v>CRÍTICO</v>
      </c>
      <c r="M2967">
        <v>11</v>
      </c>
      <c r="N2967">
        <v>100</v>
      </c>
      <c r="O2967">
        <v>27.514792899408281</v>
      </c>
    </row>
    <row r="2968" spans="1:15" customFormat="1" hidden="1" x14ac:dyDescent="0.25">
      <c r="A2968" s="11">
        <v>46093</v>
      </c>
      <c r="B2968" t="s">
        <v>29</v>
      </c>
      <c r="C2968" t="s">
        <v>26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 t="shared" si="320"/>
        <v>ATENÇÃO</v>
      </c>
      <c r="M2968">
        <v>10</v>
      </c>
      <c r="N2968">
        <v>100</v>
      </c>
      <c r="O2968">
        <v>24.875621890547269</v>
      </c>
    </row>
    <row r="2969" spans="1:15" customFormat="1" hidden="1" x14ac:dyDescent="0.25">
      <c r="A2969" s="11">
        <v>46093</v>
      </c>
      <c r="B2969" t="s">
        <v>30</v>
      </c>
      <c r="C2969" t="s">
        <v>26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13</v>
      </c>
      <c r="K2969" s="3">
        <f>I2969-J2969</f>
        <v>-2</v>
      </c>
      <c r="L2969" s="3" t="str">
        <f t="shared" si="320"/>
        <v>ATENÇÃO</v>
      </c>
      <c r="M2969">
        <v>6</v>
      </c>
      <c r="N2969">
        <v>100</v>
      </c>
      <c r="O2969">
        <v>28.108108108108109</v>
      </c>
    </row>
    <row r="2970" spans="1:15" customFormat="1" hidden="1" x14ac:dyDescent="0.25">
      <c r="A2970" s="11">
        <v>46093</v>
      </c>
      <c r="B2970" t="s">
        <v>21</v>
      </c>
      <c r="C2970" t="s">
        <v>16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 t="shared" si="320"/>
        <v>OPORTUNO</v>
      </c>
      <c r="M2970">
        <v>0</v>
      </c>
      <c r="N2970">
        <v>100</v>
      </c>
      <c r="O2970">
        <v>35</v>
      </c>
    </row>
    <row r="2971" spans="1:15" customFormat="1" hidden="1" x14ac:dyDescent="0.25">
      <c r="A2971" s="11">
        <v>46093</v>
      </c>
      <c r="B2971" t="s">
        <v>63</v>
      </c>
      <c r="C2971" t="s">
        <v>23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15</v>
      </c>
      <c r="K2971" s="3">
        <f>I2971-J2971</f>
        <v>10</v>
      </c>
      <c r="L2971" s="3" t="str">
        <f t="shared" si="320"/>
        <v>MUITO BOM</v>
      </c>
      <c r="M2971">
        <v>21</v>
      </c>
      <c r="N2971">
        <v>95.35</v>
      </c>
      <c r="O2971">
        <v>28.61538461538461</v>
      </c>
    </row>
    <row r="2972" spans="1:15" customFormat="1" hidden="1" x14ac:dyDescent="0.25">
      <c r="A2972" s="11">
        <v>46093</v>
      </c>
      <c r="B2972" t="s">
        <v>45</v>
      </c>
      <c r="C2972" t="s">
        <v>32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22</v>
      </c>
      <c r="K2972" s="3">
        <f>I2972-J2972</f>
        <v>20</v>
      </c>
      <c r="L2972" s="3" t="str">
        <f t="shared" si="320"/>
        <v>MUITO BOM</v>
      </c>
      <c r="M2972">
        <v>34</v>
      </c>
      <c r="N2972">
        <v>98.26</v>
      </c>
      <c r="O2972">
        <v>27.54491017964072</v>
      </c>
    </row>
    <row r="2973" spans="1:15" customFormat="1" hidden="1" x14ac:dyDescent="0.25">
      <c r="A2973" s="11">
        <v>46093</v>
      </c>
      <c r="B2973" t="s">
        <v>64</v>
      </c>
      <c r="C2973" t="s">
        <v>23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15</v>
      </c>
      <c r="K2973" s="3">
        <f>I2973-J2973</f>
        <v>1</v>
      </c>
      <c r="L2973" s="3" t="str">
        <f t="shared" si="320"/>
        <v>OPORTUNO</v>
      </c>
      <c r="M2973">
        <v>16</v>
      </c>
      <c r="N2973">
        <v>98.55</v>
      </c>
      <c r="O2973">
        <v>25.337837837837839</v>
      </c>
    </row>
    <row r="2974" spans="1:15" customFormat="1" hidden="1" x14ac:dyDescent="0.25">
      <c r="A2974" s="11">
        <v>46093</v>
      </c>
      <c r="B2974" t="s">
        <v>46</v>
      </c>
      <c r="C2974" t="s">
        <v>32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22</v>
      </c>
      <c r="K2974" s="3">
        <f>I2974-J2974</f>
        <v>13</v>
      </c>
      <c r="L2974" s="3" t="str">
        <f t="shared" si="320"/>
        <v>MUITO BOM</v>
      </c>
      <c r="M2974">
        <v>28</v>
      </c>
      <c r="N2974">
        <v>98.39</v>
      </c>
      <c r="O2974">
        <v>25.563909774436091</v>
      </c>
    </row>
    <row r="2975" spans="1:15" customFormat="1" hidden="1" x14ac:dyDescent="0.25">
      <c r="A2975" s="11">
        <v>46094</v>
      </c>
      <c r="B2975" t="s">
        <v>47</v>
      </c>
      <c r="C2975" t="s">
        <v>48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16</v>
      </c>
      <c r="K2975" s="3">
        <f>I2975-J2975</f>
        <v>16</v>
      </c>
      <c r="L2975" s="3" t="str">
        <f t="shared" si="320"/>
        <v>MUITO BOM</v>
      </c>
      <c r="M2975">
        <v>22</v>
      </c>
      <c r="N2975">
        <v>94.29</v>
      </c>
      <c r="O2975">
        <v>25.647668393782389</v>
      </c>
    </row>
    <row r="2976" spans="1:15" customFormat="1" hidden="1" x14ac:dyDescent="0.25">
      <c r="A2976" s="11">
        <v>46094</v>
      </c>
      <c r="B2976" t="s">
        <v>31</v>
      </c>
      <c r="C2976" t="s">
        <v>32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 t="shared" si="320"/>
        <v>OPORTUNO</v>
      </c>
      <c r="M2976">
        <v>15</v>
      </c>
      <c r="N2976">
        <v>98.26</v>
      </c>
      <c r="O2976">
        <v>26.666666666666671</v>
      </c>
    </row>
    <row r="2977" spans="1:15" customFormat="1" hidden="1" x14ac:dyDescent="0.25">
      <c r="A2977" s="11">
        <v>46094</v>
      </c>
      <c r="B2977" t="s">
        <v>59</v>
      </c>
      <c r="C2977" t="s">
        <v>23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 t="shared" si="320"/>
        <v>OPORTUNO</v>
      </c>
      <c r="M2977">
        <v>15</v>
      </c>
      <c r="N2977">
        <v>98.2</v>
      </c>
      <c r="O2977">
        <v>23.37962962962963</v>
      </c>
    </row>
    <row r="2978" spans="1:15" customFormat="1" hidden="1" x14ac:dyDescent="0.25">
      <c r="A2978" s="11">
        <v>46094</v>
      </c>
      <c r="B2978" t="s">
        <v>33</v>
      </c>
      <c r="C2978" t="s">
        <v>32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20</v>
      </c>
      <c r="K2978" s="3">
        <f>I2978-J2978</f>
        <v>1</v>
      </c>
      <c r="L2978" s="3" t="str">
        <f t="shared" si="320"/>
        <v>OPORTUNO</v>
      </c>
      <c r="M2978">
        <v>17</v>
      </c>
      <c r="N2978">
        <v>97.3</v>
      </c>
      <c r="O2978">
        <v>23.84769539078156</v>
      </c>
    </row>
    <row r="2979" spans="1:15" customFormat="1" hidden="1" x14ac:dyDescent="0.25">
      <c r="A2979" s="11">
        <v>46094</v>
      </c>
      <c r="B2979" t="s">
        <v>15</v>
      </c>
      <c r="C2979" t="s">
        <v>16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 t="shared" si="320"/>
        <v>OPORTUNO</v>
      </c>
      <c r="M2979">
        <v>0</v>
      </c>
      <c r="N2979">
        <v>100</v>
      </c>
      <c r="O2979">
        <v>25.268817204301079</v>
      </c>
    </row>
    <row r="2980" spans="1:15" customFormat="1" hidden="1" x14ac:dyDescent="0.25">
      <c r="A2980" s="11">
        <v>46094</v>
      </c>
      <c r="B2980" t="s">
        <v>49</v>
      </c>
      <c r="C2980" t="s">
        <v>48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21</v>
      </c>
      <c r="L2980" s="3" t="str">
        <f t="shared" si="320"/>
        <v>MUITO BOM</v>
      </c>
      <c r="M2980">
        <v>40</v>
      </c>
      <c r="N2980">
        <v>99.32</v>
      </c>
      <c r="O2980">
        <v>22.822822822822818</v>
      </c>
    </row>
    <row r="2981" spans="1:15" customFormat="1" hidden="1" x14ac:dyDescent="0.25">
      <c r="A2981" s="11">
        <v>46094</v>
      </c>
      <c r="B2981" t="s">
        <v>50</v>
      </c>
      <c r="C2981" t="s">
        <v>48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16</v>
      </c>
      <c r="K2981" s="3">
        <f>I2981-J2981</f>
        <v>0</v>
      </c>
      <c r="L2981" s="3" t="str">
        <f t="shared" si="320"/>
        <v>OPORTUNO</v>
      </c>
      <c r="M2981">
        <v>14</v>
      </c>
      <c r="N2981">
        <v>100</v>
      </c>
      <c r="O2981">
        <v>27.966101694915249</v>
      </c>
    </row>
    <row r="2982" spans="1:15" customFormat="1" hidden="1" x14ac:dyDescent="0.25">
      <c r="A2982" s="11">
        <v>46094</v>
      </c>
      <c r="B2982" t="s">
        <v>17</v>
      </c>
      <c r="C2982" t="s">
        <v>16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 t="shared" si="320"/>
        <v>OPORTUNO</v>
      </c>
      <c r="M2982">
        <v>0</v>
      </c>
      <c r="N2982">
        <v>100</v>
      </c>
      <c r="O2982">
        <v>30.434782608695659</v>
      </c>
    </row>
    <row r="2983" spans="1:15" customFormat="1" hidden="1" x14ac:dyDescent="0.25">
      <c r="A2983" s="11">
        <v>46094</v>
      </c>
      <c r="B2983" t="s">
        <v>60</v>
      </c>
      <c r="C2983" t="s">
        <v>23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 t="shared" si="320"/>
        <v>MUITO BOM</v>
      </c>
      <c r="M2983">
        <v>19</v>
      </c>
      <c r="N2983">
        <v>96.51</v>
      </c>
      <c r="O2983">
        <v>22.802850356294542</v>
      </c>
    </row>
    <row r="2984" spans="1:15" customFormat="1" hidden="1" x14ac:dyDescent="0.25">
      <c r="A2984" s="11">
        <v>46094</v>
      </c>
      <c r="B2984" t="s">
        <v>34</v>
      </c>
      <c r="C2984" t="s">
        <v>32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20"/>
        <v>OPORTUNO</v>
      </c>
      <c r="M2984">
        <v>6</v>
      </c>
      <c r="N2984">
        <v>92.68</v>
      </c>
      <c r="O2984">
        <v>27.777777777777779</v>
      </c>
    </row>
    <row r="2985" spans="1:15" customFormat="1" hidden="1" x14ac:dyDescent="0.25">
      <c r="A2985" s="11">
        <v>46094</v>
      </c>
      <c r="B2985" t="s">
        <v>51</v>
      </c>
      <c r="C2985" t="s">
        <v>48</v>
      </c>
      <c r="D2985">
        <v>21</v>
      </c>
      <c r="E2985">
        <v>17</v>
      </c>
      <c r="F2985">
        <v>34.19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 t="shared" si="320"/>
        <v>OPORTUNO</v>
      </c>
      <c r="M2985">
        <v>17</v>
      </c>
      <c r="N2985">
        <v>99.03</v>
      </c>
      <c r="O2985">
        <v>23.991507430997881</v>
      </c>
    </row>
    <row r="2986" spans="1:15" customFormat="1" hidden="1" x14ac:dyDescent="0.25">
      <c r="A2986" s="11">
        <v>46094</v>
      </c>
      <c r="B2986" t="s">
        <v>61</v>
      </c>
      <c r="C2986" t="s">
        <v>23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 t="shared" si="320"/>
        <v>OPORTUNO</v>
      </c>
      <c r="M2986">
        <v>11</v>
      </c>
      <c r="N2986">
        <v>98.41</v>
      </c>
      <c r="O2986">
        <v>28.138528138528141</v>
      </c>
    </row>
    <row r="2987" spans="1:15" customFormat="1" hidden="1" x14ac:dyDescent="0.25">
      <c r="A2987" s="11">
        <v>46094</v>
      </c>
      <c r="B2987" t="s">
        <v>35</v>
      </c>
      <c r="C2987" t="s">
        <v>32</v>
      </c>
      <c r="D2987">
        <v>22</v>
      </c>
      <c r="E2987">
        <v>21</v>
      </c>
      <c r="F2987">
        <v>34.03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 t="shared" si="320"/>
        <v>OPORTUNO</v>
      </c>
      <c r="M2987">
        <v>22</v>
      </c>
      <c r="N2987">
        <v>98.73</v>
      </c>
      <c r="O2987">
        <v>29.142857142857139</v>
      </c>
    </row>
    <row r="2988" spans="1:15" customFormat="1" hidden="1" x14ac:dyDescent="0.25">
      <c r="A2988" s="11">
        <v>46094</v>
      </c>
      <c r="B2988" t="s">
        <v>18</v>
      </c>
      <c r="C2988" t="s">
        <v>16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ref="I2988:I2994" si="327">E2988+G2988+H2988</f>
        <v>8</v>
      </c>
      <c r="J2988" s="3">
        <f t="shared" ref="J2988:J2994" si="328"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6</v>
      </c>
      <c r="K2988" s="3">
        <f t="shared" ref="K2988:K2994" si="329">I2988-J2988</f>
        <v>2</v>
      </c>
      <c r="L2988" s="3" t="str">
        <f t="shared" si="320"/>
        <v>OPORTUNO</v>
      </c>
      <c r="M2988">
        <v>5</v>
      </c>
      <c r="N2988">
        <v>90.48</v>
      </c>
      <c r="O2988">
        <v>20.68965517241379</v>
      </c>
    </row>
    <row r="2989" spans="1:15" customFormat="1" hidden="1" x14ac:dyDescent="0.25">
      <c r="A2989" s="11">
        <v>46094</v>
      </c>
      <c r="B2989" t="s">
        <v>52</v>
      </c>
      <c r="C2989" t="s">
        <v>48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327"/>
        <v>13</v>
      </c>
      <c r="J2989" s="3">
        <f t="shared" si="328"/>
        <v>16</v>
      </c>
      <c r="K2989" s="3">
        <f t="shared" si="329"/>
        <v>-3</v>
      </c>
      <c r="L2989" s="3" t="str">
        <f t="shared" si="320"/>
        <v>ATENÇÃO</v>
      </c>
      <c r="M2989">
        <v>15</v>
      </c>
      <c r="N2989">
        <v>98.06</v>
      </c>
      <c r="O2989">
        <v>24.789915966386559</v>
      </c>
    </row>
    <row r="2990" spans="1:15" customFormat="1" hidden="1" x14ac:dyDescent="0.25">
      <c r="A2990" s="11">
        <v>46094</v>
      </c>
      <c r="B2990" t="s">
        <v>36</v>
      </c>
      <c r="C2990" t="s">
        <v>32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327"/>
        <v>22</v>
      </c>
      <c r="J2990" s="3">
        <f t="shared" si="328"/>
        <v>20</v>
      </c>
      <c r="K2990" s="3">
        <f t="shared" si="329"/>
        <v>2</v>
      </c>
      <c r="L2990" s="3" t="str">
        <f t="shared" si="320"/>
        <v>OPORTUNO</v>
      </c>
      <c r="M2990">
        <v>24</v>
      </c>
      <c r="N2990">
        <v>97.78</v>
      </c>
      <c r="O2990">
        <v>25.494071146245059</v>
      </c>
    </row>
    <row r="2991" spans="1:15" customFormat="1" hidden="1" x14ac:dyDescent="0.25">
      <c r="A2991" s="11">
        <v>46094</v>
      </c>
      <c r="B2991" t="s">
        <v>53</v>
      </c>
      <c r="C2991" t="s">
        <v>48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327"/>
        <v>14</v>
      </c>
      <c r="J2991" s="3">
        <f t="shared" si="328"/>
        <v>16</v>
      </c>
      <c r="K2991" s="3">
        <f t="shared" si="329"/>
        <v>-2</v>
      </c>
      <c r="L2991" s="3" t="str">
        <f t="shared" si="320"/>
        <v>ATENÇÃO</v>
      </c>
      <c r="M2991">
        <v>13</v>
      </c>
      <c r="N2991">
        <v>98.02</v>
      </c>
      <c r="O2991">
        <v>23.484848484848481</v>
      </c>
    </row>
    <row r="2992" spans="1:15" customFormat="1" hidden="1" x14ac:dyDescent="0.25">
      <c r="A2992" s="11">
        <v>46128</v>
      </c>
      <c r="B2992" t="s">
        <v>22</v>
      </c>
      <c r="C2992" t="s">
        <v>23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327"/>
        <v>30</v>
      </c>
      <c r="J2992" s="3">
        <f t="shared" si="328"/>
        <v>19</v>
      </c>
      <c r="K2992" s="3">
        <f t="shared" si="329"/>
        <v>11</v>
      </c>
      <c r="L2992" s="3" t="str">
        <f t="shared" si="320"/>
        <v>MUITO BOM</v>
      </c>
      <c r="M2992">
        <v>32</v>
      </c>
      <c r="N2992">
        <v>99.28</v>
      </c>
      <c r="O2992">
        <v>27.689243027888441</v>
      </c>
    </row>
    <row r="2993" spans="1:15" customFormat="1" hidden="1" x14ac:dyDescent="0.25">
      <c r="A2993" s="11">
        <v>46094</v>
      </c>
      <c r="B2993" t="s">
        <v>54</v>
      </c>
      <c r="C2993" t="s">
        <v>48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327"/>
        <v>23</v>
      </c>
      <c r="J2993" s="3">
        <f t="shared" si="328"/>
        <v>16</v>
      </c>
      <c r="K2993" s="3">
        <f t="shared" si="329"/>
        <v>7</v>
      </c>
      <c r="L2993" s="3" t="str">
        <f t="shared" si="320"/>
        <v>MUITO BOM</v>
      </c>
      <c r="M2993">
        <v>22</v>
      </c>
      <c r="N2993">
        <v>100</v>
      </c>
      <c r="O2993">
        <v>27.04918032786885</v>
      </c>
    </row>
    <row r="2994" spans="1:15" customFormat="1" hidden="1" x14ac:dyDescent="0.25">
      <c r="A2994" s="11">
        <v>46094</v>
      </c>
      <c r="B2994" t="s">
        <v>37</v>
      </c>
      <c r="C2994" t="s">
        <v>32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327"/>
        <v>35</v>
      </c>
      <c r="J2994" s="3">
        <f t="shared" si="328"/>
        <v>20</v>
      </c>
      <c r="K2994" s="3">
        <f t="shared" si="329"/>
        <v>15</v>
      </c>
      <c r="L2994" s="3" t="str">
        <f t="shared" si="320"/>
        <v>MUITO BOM</v>
      </c>
      <c r="M2994">
        <v>34</v>
      </c>
      <c r="N2994">
        <v>97.83</v>
      </c>
      <c r="O2994">
        <v>26.315789473684209</v>
      </c>
    </row>
    <row r="2995" spans="1:15" customFormat="1" hidden="1" x14ac:dyDescent="0.25">
      <c r="A2995" s="11">
        <v>46094</v>
      </c>
      <c r="B2995" t="s">
        <v>38</v>
      </c>
      <c r="C2995" t="s">
        <v>32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 t="shared" si="320"/>
        <v>OPORTUNO</v>
      </c>
      <c r="M2995">
        <v>8</v>
      </c>
      <c r="N2995">
        <v>100</v>
      </c>
      <c r="O2995">
        <v>26.701570680628269</v>
      </c>
    </row>
    <row r="2996" spans="1:15" customFormat="1" hidden="1" x14ac:dyDescent="0.25">
      <c r="A2996" s="11">
        <v>46094</v>
      </c>
      <c r="B2996" t="s">
        <v>55</v>
      </c>
      <c r="C2996" t="s">
        <v>48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16</v>
      </c>
      <c r="K2996" s="3">
        <f>I2996-J2996</f>
        <v>2</v>
      </c>
      <c r="L2996" s="3" t="str">
        <f t="shared" si="320"/>
        <v>OPORTUNO</v>
      </c>
      <c r="M2996">
        <v>19</v>
      </c>
      <c r="N2996">
        <v>97.47</v>
      </c>
      <c r="O2996">
        <v>22.887323943661968</v>
      </c>
    </row>
    <row r="2997" spans="1:15" customFormat="1" hidden="1" x14ac:dyDescent="0.25">
      <c r="A2997" s="11">
        <v>46094</v>
      </c>
      <c r="B2997" t="s">
        <v>39</v>
      </c>
      <c r="C2997" t="s">
        <v>32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 t="shared" si="320"/>
        <v>OPORTUNO</v>
      </c>
      <c r="M2997">
        <v>0</v>
      </c>
      <c r="N2997">
        <v>0</v>
      </c>
      <c r="O2997">
        <v>0</v>
      </c>
    </row>
    <row r="2998" spans="1:15" customFormat="1" hidden="1" x14ac:dyDescent="0.25">
      <c r="A2998" s="11">
        <v>46094</v>
      </c>
      <c r="B2998" t="s">
        <v>25</v>
      </c>
      <c r="C2998" t="s">
        <v>26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12</v>
      </c>
      <c r="K2998" s="3">
        <f>I2998-J2998</f>
        <v>-7</v>
      </c>
      <c r="L2998" s="3" t="str">
        <f t="shared" si="320"/>
        <v>CRÍTICO</v>
      </c>
      <c r="M2998">
        <v>5</v>
      </c>
      <c r="N2998">
        <v>98.31</v>
      </c>
      <c r="O2998">
        <v>24.920127795527151</v>
      </c>
    </row>
    <row r="2999" spans="1:15" customFormat="1" hidden="1" x14ac:dyDescent="0.25">
      <c r="A2999" s="11">
        <v>46094</v>
      </c>
      <c r="B2999" t="s">
        <v>40</v>
      </c>
      <c r="C2999" t="s">
        <v>32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 t="shared" si="320"/>
        <v>OPORTUNO</v>
      </c>
      <c r="M2999">
        <v>0</v>
      </c>
      <c r="N2999">
        <v>96.81</v>
      </c>
      <c r="O2999">
        <v>32.365145228215773</v>
      </c>
    </row>
    <row r="3000" spans="1:15" customFormat="1" hidden="1" x14ac:dyDescent="0.25">
      <c r="A3000" s="11">
        <v>46094</v>
      </c>
      <c r="B3000" t="s">
        <v>27</v>
      </c>
      <c r="C3000" t="s">
        <v>26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12</v>
      </c>
      <c r="K3000" s="3">
        <f>I3000-J3000</f>
        <v>2</v>
      </c>
      <c r="L3000" s="3" t="str">
        <f t="shared" si="320"/>
        <v>OPORTUNO</v>
      </c>
      <c r="M3000">
        <v>12</v>
      </c>
      <c r="N3000">
        <v>100</v>
      </c>
      <c r="O3000">
        <v>26.47058823529412</v>
      </c>
    </row>
    <row r="3001" spans="1:15" customFormat="1" hidden="1" x14ac:dyDescent="0.25">
      <c r="A3001" s="11">
        <v>46094</v>
      </c>
      <c r="B3001" t="s">
        <v>41</v>
      </c>
      <c r="C3001" t="s">
        <v>32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 t="shared" si="320"/>
        <v>OPORTUNO</v>
      </c>
      <c r="M3001">
        <v>8</v>
      </c>
      <c r="N3001">
        <v>100</v>
      </c>
      <c r="O3001">
        <v>28.490028490028489</v>
      </c>
    </row>
    <row r="3002" spans="1:15" customFormat="1" hidden="1" x14ac:dyDescent="0.25">
      <c r="A3002" s="11">
        <v>46094</v>
      </c>
      <c r="B3002" t="s">
        <v>56</v>
      </c>
      <c r="C3002" t="s">
        <v>48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16</v>
      </c>
      <c r="K3002" s="3">
        <f>I3002-J3002</f>
        <v>14</v>
      </c>
      <c r="L3002" s="3" t="str">
        <f t="shared" si="320"/>
        <v>MUITO BOM</v>
      </c>
      <c r="M3002">
        <v>11</v>
      </c>
      <c r="N3002">
        <v>99.14</v>
      </c>
      <c r="O3002">
        <v>27.2289156626506</v>
      </c>
    </row>
    <row r="3003" spans="1:15" customFormat="1" hidden="1" x14ac:dyDescent="0.25">
      <c r="A3003" s="11">
        <v>46094</v>
      </c>
      <c r="B3003" t="s">
        <v>57</v>
      </c>
      <c r="C3003" t="s">
        <v>48</v>
      </c>
      <c r="D3003">
        <v>25</v>
      </c>
      <c r="E3003">
        <v>23</v>
      </c>
      <c r="F3003">
        <v>27.26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 t="shared" ref="L3003:L3066" si="330">IF(K3003&lt;-5,"CRÍTICO",IF(K3003&lt;0,"ATENÇÃO",IF(K3003&lt;=5,"OPORTUNO","MUITO BOM")))</f>
        <v>OPORTUNO</v>
      </c>
      <c r="M3003">
        <v>20</v>
      </c>
      <c r="N3003">
        <v>97.52</v>
      </c>
      <c r="O3003">
        <v>28.205128205128201</v>
      </c>
    </row>
    <row r="3004" spans="1:15" customFormat="1" hidden="1" x14ac:dyDescent="0.25">
      <c r="A3004" s="11">
        <v>46094</v>
      </c>
      <c r="B3004" t="s">
        <v>42</v>
      </c>
      <c r="C3004" t="s">
        <v>32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ref="I3004:I3009" si="331">E3004+G3004+H3004</f>
        <v>22</v>
      </c>
      <c r="J3004" s="3">
        <f t="shared" ref="J3004:J3009" si="332"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20</v>
      </c>
      <c r="K3004" s="3">
        <f t="shared" ref="K3004:K3009" si="333">I3004-J3004</f>
        <v>2</v>
      </c>
      <c r="L3004" s="3" t="str">
        <f t="shared" si="330"/>
        <v>OPORTUNO</v>
      </c>
      <c r="M3004">
        <v>15</v>
      </c>
      <c r="N3004">
        <v>90</v>
      </c>
      <c r="O3004">
        <v>24.186046511627911</v>
      </c>
    </row>
    <row r="3005" spans="1:15" customFormat="1" hidden="1" x14ac:dyDescent="0.25">
      <c r="A3005" s="11">
        <v>46094</v>
      </c>
      <c r="B3005" t="s">
        <v>62</v>
      </c>
      <c r="C3005" t="s">
        <v>23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331"/>
        <v>12</v>
      </c>
      <c r="J3005" s="3">
        <f t="shared" si="332"/>
        <v>13</v>
      </c>
      <c r="K3005" s="3">
        <f t="shared" si="333"/>
        <v>-1</v>
      </c>
      <c r="L3005" s="3" t="str">
        <f t="shared" si="330"/>
        <v>ATENÇÃO</v>
      </c>
      <c r="M3005">
        <v>11</v>
      </c>
      <c r="N3005">
        <v>98.9</v>
      </c>
      <c r="O3005">
        <v>26.763990267639901</v>
      </c>
    </row>
    <row r="3006" spans="1:15" customFormat="1" hidden="1" x14ac:dyDescent="0.25">
      <c r="A3006" s="11">
        <v>46094</v>
      </c>
      <c r="B3006" t="s">
        <v>19</v>
      </c>
      <c r="C3006" t="s">
        <v>16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331"/>
        <v>4</v>
      </c>
      <c r="J3006" s="3">
        <f t="shared" si="332"/>
        <v>6</v>
      </c>
      <c r="K3006" s="3">
        <f t="shared" si="333"/>
        <v>-2</v>
      </c>
      <c r="L3006" s="3" t="str">
        <f t="shared" si="330"/>
        <v>ATENÇÃO</v>
      </c>
      <c r="M3006">
        <v>3</v>
      </c>
      <c r="N3006">
        <v>88.89</v>
      </c>
      <c r="O3006">
        <v>25.263157894736839</v>
      </c>
    </row>
    <row r="3007" spans="1:15" customFormat="1" hidden="1" x14ac:dyDescent="0.25">
      <c r="A3007" s="11">
        <v>46094</v>
      </c>
      <c r="B3007" t="s">
        <v>43</v>
      </c>
      <c r="C3007" t="s">
        <v>32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331"/>
        <v>17</v>
      </c>
      <c r="J3007" s="3">
        <f t="shared" si="332"/>
        <v>20</v>
      </c>
      <c r="K3007" s="3">
        <f t="shared" si="333"/>
        <v>-3</v>
      </c>
      <c r="L3007" s="3" t="str">
        <f t="shared" si="330"/>
        <v>ATENÇÃO</v>
      </c>
      <c r="M3007">
        <v>22</v>
      </c>
      <c r="N3007">
        <v>98.86</v>
      </c>
      <c r="O3007">
        <v>28.959276018099551</v>
      </c>
    </row>
    <row r="3008" spans="1:15" customFormat="1" hidden="1" x14ac:dyDescent="0.25">
      <c r="A3008" s="11">
        <v>46094</v>
      </c>
      <c r="B3008" t="s">
        <v>44</v>
      </c>
      <c r="C3008" t="s">
        <v>32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331"/>
        <v>28</v>
      </c>
      <c r="J3008" s="3">
        <f t="shared" si="332"/>
        <v>20</v>
      </c>
      <c r="K3008" s="3">
        <f t="shared" si="333"/>
        <v>8</v>
      </c>
      <c r="L3008" s="3" t="str">
        <f t="shared" si="330"/>
        <v>MUITO BOM</v>
      </c>
      <c r="M3008">
        <v>25</v>
      </c>
      <c r="N3008">
        <v>98.06</v>
      </c>
      <c r="O3008">
        <v>22.40566037735849</v>
      </c>
    </row>
    <row r="3009" spans="1:15" customFormat="1" hidden="1" x14ac:dyDescent="0.25">
      <c r="A3009" s="11">
        <v>46094</v>
      </c>
      <c r="B3009" t="s">
        <v>20</v>
      </c>
      <c r="C3009" t="s">
        <v>16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331"/>
        <v>6</v>
      </c>
      <c r="J3009" s="3">
        <f t="shared" si="332"/>
        <v>6</v>
      </c>
      <c r="K3009" s="3">
        <f t="shared" si="333"/>
        <v>0</v>
      </c>
      <c r="L3009" s="3" t="str">
        <f t="shared" si="330"/>
        <v>OPORTUNO</v>
      </c>
      <c r="M3009">
        <v>5</v>
      </c>
      <c r="N3009">
        <v>95.83</v>
      </c>
      <c r="O3009">
        <v>25.773195876288661</v>
      </c>
    </row>
    <row r="3010" spans="1:15" customFormat="1" hidden="1" x14ac:dyDescent="0.25">
      <c r="A3010" s="11">
        <v>46094</v>
      </c>
      <c r="B3010" t="s">
        <v>28</v>
      </c>
      <c r="C3010" t="s">
        <v>26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 t="shared" si="330"/>
        <v>OPORTUNO</v>
      </c>
      <c r="M3010">
        <v>0</v>
      </c>
      <c r="N3010">
        <v>100</v>
      </c>
      <c r="O3010">
        <v>15.38461538461539</v>
      </c>
    </row>
    <row r="3011" spans="1:15" customFormat="1" hidden="1" x14ac:dyDescent="0.25">
      <c r="A3011" s="11">
        <v>46094</v>
      </c>
      <c r="B3011" t="s">
        <v>58</v>
      </c>
      <c r="C3011" t="s">
        <v>48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16</v>
      </c>
      <c r="K3011" s="3">
        <f>I3011-J3011</f>
        <v>10</v>
      </c>
      <c r="L3011" s="3" t="str">
        <f t="shared" si="330"/>
        <v>MUITO BOM</v>
      </c>
      <c r="M3011">
        <v>23</v>
      </c>
      <c r="N3011">
        <v>100</v>
      </c>
      <c r="O3011">
        <v>27.514792899408281</v>
      </c>
    </row>
    <row r="3012" spans="1:15" customFormat="1" hidden="1" x14ac:dyDescent="0.25">
      <c r="A3012" s="11">
        <v>46094</v>
      </c>
      <c r="B3012" t="s">
        <v>29</v>
      </c>
      <c r="C3012" t="s">
        <v>26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0</v>
      </c>
      <c r="L3012" s="3" t="str">
        <f t="shared" si="330"/>
        <v>OPORTUNO</v>
      </c>
      <c r="M3012">
        <v>7</v>
      </c>
      <c r="N3012">
        <v>100</v>
      </c>
      <c r="O3012">
        <v>24.875621890547269</v>
      </c>
    </row>
    <row r="3013" spans="1:15" customFormat="1" hidden="1" x14ac:dyDescent="0.25">
      <c r="A3013" s="11">
        <v>46094</v>
      </c>
      <c r="B3013" t="s">
        <v>30</v>
      </c>
      <c r="C3013" t="s">
        <v>26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12</v>
      </c>
      <c r="K3013" s="3">
        <f>I3013-J3013</f>
        <v>2</v>
      </c>
      <c r="L3013" s="3" t="str">
        <f t="shared" si="330"/>
        <v>OPORTUNO</v>
      </c>
      <c r="M3013">
        <v>13</v>
      </c>
      <c r="N3013">
        <v>100</v>
      </c>
      <c r="O3013">
        <v>28.108108108108109</v>
      </c>
    </row>
    <row r="3014" spans="1:15" customFormat="1" hidden="1" x14ac:dyDescent="0.25">
      <c r="A3014" s="11">
        <v>46094</v>
      </c>
      <c r="B3014" t="s">
        <v>21</v>
      </c>
      <c r="C3014" t="s">
        <v>16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 t="shared" si="330"/>
        <v>OPORTUNO</v>
      </c>
      <c r="M3014">
        <v>0</v>
      </c>
      <c r="N3014">
        <v>100</v>
      </c>
      <c r="O3014">
        <v>35</v>
      </c>
    </row>
    <row r="3015" spans="1:15" customFormat="1" hidden="1" x14ac:dyDescent="0.25">
      <c r="A3015" s="11">
        <v>46094</v>
      </c>
      <c r="B3015" t="s">
        <v>63</v>
      </c>
      <c r="C3015" t="s">
        <v>23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 t="shared" si="330"/>
        <v>MUITO BOM</v>
      </c>
      <c r="M3015">
        <v>12</v>
      </c>
      <c r="N3015">
        <v>95.35</v>
      </c>
      <c r="O3015">
        <v>28.61538461538461</v>
      </c>
    </row>
    <row r="3016" spans="1:15" customFormat="1" hidden="1" x14ac:dyDescent="0.25">
      <c r="A3016" s="11">
        <v>46094</v>
      </c>
      <c r="B3016" t="s">
        <v>45</v>
      </c>
      <c r="C3016" t="s">
        <v>32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20</v>
      </c>
      <c r="K3016" s="3">
        <f>I3016-J3016</f>
        <v>16</v>
      </c>
      <c r="L3016" s="3" t="str">
        <f t="shared" si="330"/>
        <v>MUITO BOM</v>
      </c>
      <c r="M3016">
        <v>33</v>
      </c>
      <c r="N3016">
        <v>98.26</v>
      </c>
      <c r="O3016">
        <v>27.54491017964072</v>
      </c>
    </row>
    <row r="3017" spans="1:15" customFormat="1" hidden="1" x14ac:dyDescent="0.25">
      <c r="A3017" s="11">
        <v>46094</v>
      </c>
      <c r="B3017" t="s">
        <v>64</v>
      </c>
      <c r="C3017" t="s">
        <v>23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 t="shared" si="330"/>
        <v>OPORTUNO</v>
      </c>
      <c r="M3017">
        <v>13</v>
      </c>
      <c r="N3017">
        <v>98.55</v>
      </c>
      <c r="O3017">
        <v>25.337837837837839</v>
      </c>
    </row>
    <row r="3018" spans="1:15" customFormat="1" hidden="1" x14ac:dyDescent="0.25">
      <c r="A3018" s="11">
        <v>46094</v>
      </c>
      <c r="B3018" t="s">
        <v>46</v>
      </c>
      <c r="C3018" t="s">
        <v>32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20</v>
      </c>
      <c r="K3018" s="3">
        <f>I3018-J3018</f>
        <v>8</v>
      </c>
      <c r="L3018" s="3" t="str">
        <f t="shared" si="330"/>
        <v>MUITO BOM</v>
      </c>
      <c r="M3018">
        <v>25</v>
      </c>
      <c r="N3018">
        <v>98.39</v>
      </c>
      <c r="O3018">
        <v>25.563909774436091</v>
      </c>
    </row>
    <row r="3019" spans="1:15" customFormat="1" hidden="1" x14ac:dyDescent="0.25">
      <c r="A3019" s="11">
        <v>46097</v>
      </c>
      <c r="B3019" t="s">
        <v>47</v>
      </c>
      <c r="C3019" t="s">
        <v>48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18</v>
      </c>
      <c r="K3019" s="3">
        <f>I3019-J3019</f>
        <v>9</v>
      </c>
      <c r="L3019" s="3" t="str">
        <f t="shared" si="330"/>
        <v>MUITO BOM</v>
      </c>
      <c r="M3019">
        <v>15</v>
      </c>
      <c r="N3019">
        <v>94.29</v>
      </c>
      <c r="O3019">
        <v>25.647668393782389</v>
      </c>
    </row>
    <row r="3020" spans="1:15" customFormat="1" hidden="1" x14ac:dyDescent="0.25">
      <c r="A3020" s="11">
        <v>46097</v>
      </c>
      <c r="B3020" t="s">
        <v>31</v>
      </c>
      <c r="C3020" t="s">
        <v>32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 t="shared" si="330"/>
        <v>OPORTUNO</v>
      </c>
      <c r="M3020">
        <v>22</v>
      </c>
      <c r="N3020">
        <v>98.26</v>
      </c>
      <c r="O3020">
        <v>26.666666666666671</v>
      </c>
    </row>
    <row r="3021" spans="1:15" customFormat="1" hidden="1" x14ac:dyDescent="0.25">
      <c r="A3021" s="11">
        <v>46097</v>
      </c>
      <c r="B3021" t="s">
        <v>59</v>
      </c>
      <c r="C3021" t="s">
        <v>23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15</v>
      </c>
      <c r="K3021" s="3">
        <f>I3021-J3021</f>
        <v>14</v>
      </c>
      <c r="L3021" s="3" t="str">
        <f t="shared" si="330"/>
        <v>MUITO BOM</v>
      </c>
      <c r="M3021">
        <v>30</v>
      </c>
      <c r="N3021">
        <v>98.2</v>
      </c>
      <c r="O3021">
        <v>23.37962962962963</v>
      </c>
    </row>
    <row r="3022" spans="1:15" customFormat="1" hidden="1" x14ac:dyDescent="0.25">
      <c r="A3022" s="11">
        <v>46097</v>
      </c>
      <c r="B3022" t="s">
        <v>33</v>
      </c>
      <c r="C3022" t="s">
        <v>32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23</v>
      </c>
      <c r="K3022" s="3">
        <f>I3022-J3022</f>
        <v>8</v>
      </c>
      <c r="L3022" s="3" t="str">
        <f t="shared" si="330"/>
        <v>MUITO BOM</v>
      </c>
      <c r="M3022">
        <v>23</v>
      </c>
      <c r="N3022">
        <v>97.3</v>
      </c>
      <c r="O3022">
        <v>23.84769539078156</v>
      </c>
    </row>
    <row r="3023" spans="1:15" customFormat="1" hidden="1" x14ac:dyDescent="0.25">
      <c r="A3023" s="11">
        <v>46097</v>
      </c>
      <c r="B3023" t="s">
        <v>15</v>
      </c>
      <c r="C3023" t="s">
        <v>16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 t="shared" si="330"/>
        <v>OPORTUNO</v>
      </c>
      <c r="M3023">
        <v>6</v>
      </c>
      <c r="N3023">
        <v>100</v>
      </c>
      <c r="O3023">
        <v>25.268817204301079</v>
      </c>
    </row>
    <row r="3024" spans="1:15" customFormat="1" hidden="1" x14ac:dyDescent="0.25">
      <c r="A3024" s="11">
        <v>46097</v>
      </c>
      <c r="B3024" t="s">
        <v>49</v>
      </c>
      <c r="C3024" t="s">
        <v>48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0</v>
      </c>
      <c r="L3024" s="3" t="str">
        <f t="shared" si="330"/>
        <v>OPORTUNO</v>
      </c>
      <c r="M3024">
        <v>20</v>
      </c>
      <c r="N3024">
        <v>99.32</v>
      </c>
      <c r="O3024">
        <v>22.822822822822818</v>
      </c>
    </row>
    <row r="3025" spans="1:15" customFormat="1" hidden="1" x14ac:dyDescent="0.25">
      <c r="A3025" s="11">
        <v>46097</v>
      </c>
      <c r="B3025" t="s">
        <v>50</v>
      </c>
      <c r="C3025" t="s">
        <v>48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18</v>
      </c>
      <c r="K3025" s="3">
        <f>I3025-J3025</f>
        <v>1</v>
      </c>
      <c r="L3025" s="3" t="str">
        <f t="shared" si="330"/>
        <v>OPORTUNO</v>
      </c>
      <c r="M3025">
        <v>23</v>
      </c>
      <c r="N3025">
        <v>100</v>
      </c>
      <c r="O3025">
        <v>27.966101694915249</v>
      </c>
    </row>
    <row r="3026" spans="1:15" customFormat="1" hidden="1" x14ac:dyDescent="0.25">
      <c r="A3026" s="11">
        <v>46097</v>
      </c>
      <c r="B3026" t="s">
        <v>17</v>
      </c>
      <c r="C3026" t="s">
        <v>16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 t="shared" si="330"/>
        <v>OPORTUNO</v>
      </c>
      <c r="M3026">
        <v>0</v>
      </c>
      <c r="N3026">
        <v>100</v>
      </c>
      <c r="O3026">
        <v>30.434782608695659</v>
      </c>
    </row>
    <row r="3027" spans="1:15" customFormat="1" hidden="1" x14ac:dyDescent="0.25">
      <c r="A3027" s="11">
        <v>46097</v>
      </c>
      <c r="B3027" t="s">
        <v>60</v>
      </c>
      <c r="C3027" t="s">
        <v>23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 t="shared" si="330"/>
        <v>OPORTUNO</v>
      </c>
      <c r="M3027">
        <v>20</v>
      </c>
      <c r="N3027">
        <v>96.51</v>
      </c>
      <c r="O3027">
        <v>22.802850356294542</v>
      </c>
    </row>
    <row r="3028" spans="1:15" customFormat="1" hidden="1" x14ac:dyDescent="0.25">
      <c r="A3028" s="11">
        <v>46097</v>
      </c>
      <c r="B3028" t="s">
        <v>34</v>
      </c>
      <c r="C3028" t="s">
        <v>32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23</v>
      </c>
      <c r="K3028" s="3">
        <f>I3028-J3028</f>
        <v>4</v>
      </c>
      <c r="L3028" s="3" t="str">
        <f t="shared" si="330"/>
        <v>OPORTUNO</v>
      </c>
      <c r="M3028">
        <v>23</v>
      </c>
      <c r="N3028">
        <v>92.68</v>
      </c>
      <c r="O3028">
        <v>27.777777777777779</v>
      </c>
    </row>
    <row r="3029" spans="1:15" customFormat="1" hidden="1" x14ac:dyDescent="0.25">
      <c r="A3029" s="11">
        <v>46097</v>
      </c>
      <c r="B3029" t="s">
        <v>51</v>
      </c>
      <c r="C3029" t="s">
        <v>48</v>
      </c>
      <c r="D3029">
        <v>24</v>
      </c>
      <c r="E3029">
        <v>24</v>
      </c>
      <c r="F3029">
        <v>21.47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 t="shared" si="330"/>
        <v>OPORTUNO</v>
      </c>
      <c r="M3029">
        <v>23</v>
      </c>
      <c r="N3029">
        <v>99.03</v>
      </c>
      <c r="O3029">
        <v>23.991507430997881</v>
      </c>
    </row>
    <row r="3030" spans="1:15" customFormat="1" hidden="1" x14ac:dyDescent="0.25">
      <c r="A3030" s="11">
        <v>46097</v>
      </c>
      <c r="B3030" t="s">
        <v>61</v>
      </c>
      <c r="C3030" t="s">
        <v>23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15</v>
      </c>
      <c r="K3030" s="3">
        <f>I3030-J3030</f>
        <v>4</v>
      </c>
      <c r="L3030" s="3" t="str">
        <f t="shared" si="330"/>
        <v>OPORTUNO</v>
      </c>
      <c r="M3030">
        <v>12</v>
      </c>
      <c r="N3030">
        <v>98.41</v>
      </c>
      <c r="O3030">
        <v>28.138528138528141</v>
      </c>
    </row>
    <row r="3031" spans="1:15" customFormat="1" hidden="1" x14ac:dyDescent="0.25">
      <c r="A3031" s="11">
        <v>46097</v>
      </c>
      <c r="B3031" t="s">
        <v>35</v>
      </c>
      <c r="C3031" t="s">
        <v>32</v>
      </c>
      <c r="D3031">
        <v>17</v>
      </c>
      <c r="E3031">
        <v>17</v>
      </c>
      <c r="F3031">
        <v>40.31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30"/>
        <v>OPORTUNO</v>
      </c>
      <c r="M3031">
        <v>17</v>
      </c>
      <c r="N3031">
        <v>98.73</v>
      </c>
      <c r="O3031">
        <v>29.142857142857139</v>
      </c>
    </row>
    <row r="3032" spans="1:15" customFormat="1" hidden="1" x14ac:dyDescent="0.25">
      <c r="A3032" s="11">
        <v>46097</v>
      </c>
      <c r="B3032" t="s">
        <v>18</v>
      </c>
      <c r="C3032" t="s">
        <v>16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 t="shared" si="330"/>
        <v>OPORTUNO</v>
      </c>
      <c r="M3032">
        <v>0</v>
      </c>
      <c r="N3032">
        <v>90.48</v>
      </c>
      <c r="O3032">
        <v>20.68965517241379</v>
      </c>
    </row>
    <row r="3033" spans="1:15" customFormat="1" hidden="1" x14ac:dyDescent="0.25">
      <c r="A3033" s="11">
        <v>46097</v>
      </c>
      <c r="B3033" t="s">
        <v>52</v>
      </c>
      <c r="C3033" t="s">
        <v>48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ref="I3033:I3040" si="334">E3033+G3033+H3033</f>
        <v>24</v>
      </c>
      <c r="J3033" s="3">
        <f t="shared" ref="J3033:J3040" si="335"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 t="shared" ref="K3033:K3040" si="336">I3033-J3033</f>
        <v>6</v>
      </c>
      <c r="L3033" s="3" t="str">
        <f t="shared" si="330"/>
        <v>MUITO BOM</v>
      </c>
      <c r="M3033">
        <v>22</v>
      </c>
      <c r="N3033">
        <v>98.06</v>
      </c>
      <c r="O3033">
        <v>24.789915966386559</v>
      </c>
    </row>
    <row r="3034" spans="1:15" customFormat="1" hidden="1" x14ac:dyDescent="0.25">
      <c r="A3034" s="11">
        <v>46097</v>
      </c>
      <c r="B3034" t="s">
        <v>36</v>
      </c>
      <c r="C3034" t="s">
        <v>32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334"/>
        <v>24</v>
      </c>
      <c r="J3034" s="3">
        <f t="shared" si="335"/>
        <v>23</v>
      </c>
      <c r="K3034" s="3">
        <f t="shared" si="336"/>
        <v>1</v>
      </c>
      <c r="L3034" s="3" t="str">
        <f t="shared" si="330"/>
        <v>OPORTUNO</v>
      </c>
      <c r="M3034">
        <v>25</v>
      </c>
      <c r="N3034">
        <v>97.78</v>
      </c>
      <c r="O3034">
        <v>25.494071146245059</v>
      </c>
    </row>
    <row r="3035" spans="1:15" customFormat="1" hidden="1" x14ac:dyDescent="0.25">
      <c r="A3035" s="11">
        <v>46097</v>
      </c>
      <c r="B3035" t="s">
        <v>53</v>
      </c>
      <c r="C3035" t="s">
        <v>48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334"/>
        <v>11</v>
      </c>
      <c r="J3035" s="3">
        <f t="shared" si="335"/>
        <v>18</v>
      </c>
      <c r="K3035" s="3">
        <f t="shared" si="336"/>
        <v>-7</v>
      </c>
      <c r="L3035" s="3" t="str">
        <f t="shared" si="330"/>
        <v>CRÍTICO</v>
      </c>
      <c r="M3035">
        <v>11</v>
      </c>
      <c r="N3035">
        <v>98.02</v>
      </c>
      <c r="O3035">
        <v>23.484848484848481</v>
      </c>
    </row>
    <row r="3036" spans="1:15" customFormat="1" hidden="1" x14ac:dyDescent="0.25">
      <c r="A3036" s="11">
        <v>46129</v>
      </c>
      <c r="B3036" t="s">
        <v>22</v>
      </c>
      <c r="C3036" t="s">
        <v>23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334"/>
        <v>21</v>
      </c>
      <c r="J3036" s="3">
        <f t="shared" si="335"/>
        <v>18</v>
      </c>
      <c r="K3036" s="3">
        <f t="shared" si="336"/>
        <v>3</v>
      </c>
      <c r="L3036" s="3" t="str">
        <f t="shared" si="330"/>
        <v>OPORTUNO</v>
      </c>
      <c r="M3036">
        <v>23</v>
      </c>
      <c r="N3036">
        <v>99.28</v>
      </c>
      <c r="O3036">
        <v>27.689243027888441</v>
      </c>
    </row>
    <row r="3037" spans="1:15" customFormat="1" hidden="1" x14ac:dyDescent="0.25">
      <c r="A3037" s="11">
        <v>46097</v>
      </c>
      <c r="B3037" t="s">
        <v>54</v>
      </c>
      <c r="C3037" t="s">
        <v>48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334"/>
        <v>22</v>
      </c>
      <c r="J3037" s="3">
        <f t="shared" si="335"/>
        <v>18</v>
      </c>
      <c r="K3037" s="3">
        <f t="shared" si="336"/>
        <v>4</v>
      </c>
      <c r="L3037" s="3" t="str">
        <f t="shared" si="330"/>
        <v>OPORTUNO</v>
      </c>
      <c r="M3037">
        <v>21</v>
      </c>
      <c r="N3037">
        <v>100</v>
      </c>
      <c r="O3037">
        <v>27.04918032786885</v>
      </c>
    </row>
    <row r="3038" spans="1:15" customFormat="1" hidden="1" x14ac:dyDescent="0.25">
      <c r="A3038" s="11">
        <v>46097</v>
      </c>
      <c r="B3038" t="s">
        <v>37</v>
      </c>
      <c r="C3038" t="s">
        <v>32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334"/>
        <v>44</v>
      </c>
      <c r="J3038" s="3">
        <f t="shared" si="335"/>
        <v>23</v>
      </c>
      <c r="K3038" s="3">
        <f t="shared" si="336"/>
        <v>21</v>
      </c>
      <c r="L3038" s="3" t="str">
        <f t="shared" si="330"/>
        <v>MUITO BOM</v>
      </c>
      <c r="M3038">
        <v>43</v>
      </c>
      <c r="N3038">
        <v>97.83</v>
      </c>
      <c r="O3038">
        <v>26.315789473684209</v>
      </c>
    </row>
    <row r="3039" spans="1:15" customFormat="1" hidden="1" x14ac:dyDescent="0.25">
      <c r="A3039" s="11">
        <v>46097</v>
      </c>
      <c r="B3039" t="s">
        <v>38</v>
      </c>
      <c r="C3039" t="s">
        <v>32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334"/>
        <v>19</v>
      </c>
      <c r="J3039" s="3">
        <f t="shared" si="335"/>
        <v>23</v>
      </c>
      <c r="K3039" s="3">
        <f t="shared" si="336"/>
        <v>-4</v>
      </c>
      <c r="L3039" s="3" t="str">
        <f t="shared" si="330"/>
        <v>ATENÇÃO</v>
      </c>
      <c r="M3039">
        <v>16</v>
      </c>
      <c r="N3039">
        <v>100</v>
      </c>
      <c r="O3039">
        <v>26.701570680628269</v>
      </c>
    </row>
    <row r="3040" spans="1:15" customFormat="1" hidden="1" x14ac:dyDescent="0.25">
      <c r="A3040" s="11">
        <v>46097</v>
      </c>
      <c r="B3040" t="s">
        <v>55</v>
      </c>
      <c r="C3040" t="s">
        <v>48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334"/>
        <v>7</v>
      </c>
      <c r="J3040" s="3">
        <f t="shared" si="335"/>
        <v>18</v>
      </c>
      <c r="K3040" s="3">
        <f t="shared" si="336"/>
        <v>-11</v>
      </c>
      <c r="L3040" s="3" t="str">
        <f t="shared" si="330"/>
        <v>CRÍTICO</v>
      </c>
      <c r="M3040">
        <v>7</v>
      </c>
      <c r="N3040">
        <v>97.47</v>
      </c>
      <c r="O3040">
        <v>22.887323943661968</v>
      </c>
    </row>
    <row r="3041" spans="1:15" customFormat="1" hidden="1" x14ac:dyDescent="0.25">
      <c r="A3041" s="11">
        <v>46097</v>
      </c>
      <c r="B3041" t="s">
        <v>39</v>
      </c>
      <c r="C3041" t="s">
        <v>32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 t="shared" si="330"/>
        <v>OPORTUNO</v>
      </c>
      <c r="M3041">
        <v>0</v>
      </c>
      <c r="N3041">
        <v>0</v>
      </c>
      <c r="O3041">
        <v>0</v>
      </c>
    </row>
    <row r="3042" spans="1:15" customFormat="1" hidden="1" x14ac:dyDescent="0.25">
      <c r="A3042" s="11">
        <v>46097</v>
      </c>
      <c r="B3042" t="s">
        <v>25</v>
      </c>
      <c r="C3042" t="s">
        <v>26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13</v>
      </c>
      <c r="K3042" s="3">
        <f>I3042-J3042</f>
        <v>-7</v>
      </c>
      <c r="L3042" s="3" t="str">
        <f t="shared" si="330"/>
        <v>CRÍTICO</v>
      </c>
      <c r="M3042">
        <v>6</v>
      </c>
      <c r="N3042">
        <v>98.31</v>
      </c>
      <c r="O3042">
        <v>24.920127795527151</v>
      </c>
    </row>
    <row r="3043" spans="1:15" customFormat="1" hidden="1" x14ac:dyDescent="0.25">
      <c r="A3043" s="11">
        <v>46097</v>
      </c>
      <c r="B3043" t="s">
        <v>40</v>
      </c>
      <c r="C3043" t="s">
        <v>32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23</v>
      </c>
      <c r="K3043" s="3">
        <f>I3043-J3043</f>
        <v>-20</v>
      </c>
      <c r="L3043" s="3" t="str">
        <f t="shared" si="330"/>
        <v>CRÍTICO</v>
      </c>
      <c r="M3043">
        <v>2</v>
      </c>
      <c r="N3043">
        <v>96.81</v>
      </c>
      <c r="O3043">
        <v>32.365145228215773</v>
      </c>
    </row>
    <row r="3044" spans="1:15" customFormat="1" hidden="1" x14ac:dyDescent="0.25">
      <c r="A3044" s="11">
        <v>46097</v>
      </c>
      <c r="B3044" t="s">
        <v>27</v>
      </c>
      <c r="C3044" t="s">
        <v>26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13</v>
      </c>
      <c r="K3044" s="3">
        <f>I3044-J3044</f>
        <v>-5</v>
      </c>
      <c r="L3044" s="3" t="str">
        <f t="shared" si="330"/>
        <v>ATENÇÃO</v>
      </c>
      <c r="M3044">
        <v>7</v>
      </c>
      <c r="N3044">
        <v>100</v>
      </c>
      <c r="O3044">
        <v>26.47058823529412</v>
      </c>
    </row>
    <row r="3045" spans="1:15" customFormat="1" hidden="1" x14ac:dyDescent="0.25">
      <c r="A3045" s="11">
        <v>46097</v>
      </c>
      <c r="B3045" t="s">
        <v>41</v>
      </c>
      <c r="C3045" t="s">
        <v>32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23</v>
      </c>
      <c r="K3045" s="3">
        <f>I3045-J3045</f>
        <v>-6</v>
      </c>
      <c r="L3045" s="3" t="str">
        <f t="shared" si="330"/>
        <v>CRÍTICO</v>
      </c>
      <c r="M3045">
        <v>18</v>
      </c>
      <c r="N3045">
        <v>100</v>
      </c>
      <c r="O3045">
        <v>28.490028490028489</v>
      </c>
    </row>
    <row r="3046" spans="1:15" customFormat="1" hidden="1" x14ac:dyDescent="0.25">
      <c r="A3046" s="11">
        <v>46097</v>
      </c>
      <c r="B3046" t="s">
        <v>56</v>
      </c>
      <c r="C3046" t="s">
        <v>48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18</v>
      </c>
      <c r="K3046" s="3">
        <f>I3046-J3046</f>
        <v>9</v>
      </c>
      <c r="L3046" s="3" t="str">
        <f t="shared" si="330"/>
        <v>MUITO BOM</v>
      </c>
      <c r="M3046">
        <v>15</v>
      </c>
      <c r="N3046">
        <v>99.14</v>
      </c>
      <c r="O3046">
        <v>27.2289156626506</v>
      </c>
    </row>
    <row r="3047" spans="1:15" customFormat="1" hidden="1" x14ac:dyDescent="0.25">
      <c r="A3047" s="11">
        <v>46097</v>
      </c>
      <c r="B3047" t="s">
        <v>57</v>
      </c>
      <c r="C3047" t="s">
        <v>48</v>
      </c>
      <c r="D3047">
        <v>36</v>
      </c>
      <c r="E3047">
        <v>35</v>
      </c>
      <c r="F3047">
        <v>16.47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30"/>
        <v>OPORTUNO</v>
      </c>
      <c r="M3047">
        <v>29</v>
      </c>
      <c r="N3047">
        <v>97.52</v>
      </c>
      <c r="O3047">
        <v>28.205128205128201</v>
      </c>
    </row>
    <row r="3048" spans="1:15" customFormat="1" hidden="1" x14ac:dyDescent="0.25">
      <c r="A3048" s="11">
        <v>46097</v>
      </c>
      <c r="B3048" t="s">
        <v>42</v>
      </c>
      <c r="C3048" t="s">
        <v>32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 t="shared" si="330"/>
        <v>OPORTUNO</v>
      </c>
      <c r="M3048">
        <v>0</v>
      </c>
      <c r="N3048">
        <v>90</v>
      </c>
      <c r="O3048">
        <v>24.186046511627911</v>
      </c>
    </row>
    <row r="3049" spans="1:15" customFormat="1" hidden="1" x14ac:dyDescent="0.25">
      <c r="A3049" s="11">
        <v>46097</v>
      </c>
      <c r="B3049" t="s">
        <v>62</v>
      </c>
      <c r="C3049" t="s">
        <v>23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15</v>
      </c>
      <c r="K3049" s="3">
        <f>I3049-J3049</f>
        <v>-4</v>
      </c>
      <c r="L3049" s="3" t="str">
        <f t="shared" si="330"/>
        <v>ATENÇÃO</v>
      </c>
      <c r="M3049">
        <v>9</v>
      </c>
      <c r="N3049">
        <v>98.9</v>
      </c>
      <c r="O3049">
        <v>26.763990267639901</v>
      </c>
    </row>
    <row r="3050" spans="1:15" customFormat="1" hidden="1" x14ac:dyDescent="0.25">
      <c r="A3050" s="11">
        <v>46097</v>
      </c>
      <c r="B3050" t="s">
        <v>19</v>
      </c>
      <c r="C3050" t="s">
        <v>16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 t="shared" si="330"/>
        <v>OPORTUNO</v>
      </c>
      <c r="M3050">
        <v>4</v>
      </c>
      <c r="N3050">
        <v>88.89</v>
      </c>
      <c r="O3050">
        <v>25.263157894736839</v>
      </c>
    </row>
    <row r="3051" spans="1:15" customFormat="1" hidden="1" x14ac:dyDescent="0.25">
      <c r="A3051" s="11">
        <v>46097</v>
      </c>
      <c r="B3051" t="s">
        <v>43</v>
      </c>
      <c r="C3051" t="s">
        <v>32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6</v>
      </c>
      <c r="L3051" s="3" t="str">
        <f t="shared" si="330"/>
        <v>MUITO BOM</v>
      </c>
      <c r="M3051">
        <v>31</v>
      </c>
      <c r="N3051">
        <v>98.86</v>
      </c>
      <c r="O3051">
        <v>28.959276018099551</v>
      </c>
    </row>
    <row r="3052" spans="1:15" customFormat="1" hidden="1" x14ac:dyDescent="0.25">
      <c r="A3052" s="11">
        <v>46097</v>
      </c>
      <c r="B3052" t="s">
        <v>44</v>
      </c>
      <c r="C3052" t="s">
        <v>32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23</v>
      </c>
      <c r="K3052" s="3">
        <f>I3052-J3052</f>
        <v>7</v>
      </c>
      <c r="L3052" s="3" t="str">
        <f t="shared" si="330"/>
        <v>MUITO BOM</v>
      </c>
      <c r="M3052">
        <v>29</v>
      </c>
      <c r="N3052">
        <v>98.06</v>
      </c>
      <c r="O3052">
        <v>22.40566037735849</v>
      </c>
    </row>
    <row r="3053" spans="1:15" customFormat="1" hidden="1" x14ac:dyDescent="0.25">
      <c r="A3053" s="11">
        <v>46097</v>
      </c>
      <c r="B3053" t="s">
        <v>20</v>
      </c>
      <c r="C3053" t="s">
        <v>16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 t="shared" si="330"/>
        <v>ATENÇÃO</v>
      </c>
      <c r="M3053">
        <v>2</v>
      </c>
      <c r="N3053">
        <v>95.83</v>
      </c>
      <c r="O3053">
        <v>25.773195876288661</v>
      </c>
    </row>
    <row r="3054" spans="1:15" customFormat="1" hidden="1" x14ac:dyDescent="0.25">
      <c r="A3054" s="11">
        <v>46097</v>
      </c>
      <c r="B3054" t="s">
        <v>28</v>
      </c>
      <c r="C3054" t="s">
        <v>26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 t="shared" si="330"/>
        <v>OPORTUNO</v>
      </c>
      <c r="M3054">
        <v>0</v>
      </c>
      <c r="N3054">
        <v>100</v>
      </c>
      <c r="O3054">
        <v>15.38461538461539</v>
      </c>
    </row>
    <row r="3055" spans="1:15" customFormat="1" hidden="1" x14ac:dyDescent="0.25">
      <c r="A3055" s="11">
        <v>46097</v>
      </c>
      <c r="B3055" t="s">
        <v>58</v>
      </c>
      <c r="C3055" t="s">
        <v>48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18</v>
      </c>
      <c r="K3055" s="3">
        <f>I3055-J3055</f>
        <v>-15</v>
      </c>
      <c r="L3055" s="3" t="str">
        <f t="shared" si="330"/>
        <v>CRÍTICO</v>
      </c>
      <c r="M3055">
        <v>3</v>
      </c>
      <c r="N3055">
        <v>100</v>
      </c>
      <c r="O3055">
        <v>27.514792899408281</v>
      </c>
    </row>
    <row r="3056" spans="1:15" customFormat="1" hidden="1" x14ac:dyDescent="0.25">
      <c r="A3056" s="11">
        <v>46097</v>
      </c>
      <c r="B3056" t="s">
        <v>29</v>
      </c>
      <c r="C3056" t="s">
        <v>26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-10</v>
      </c>
      <c r="L3056" s="3" t="str">
        <f t="shared" si="330"/>
        <v>CRÍTICO</v>
      </c>
      <c r="M3056">
        <v>5</v>
      </c>
      <c r="N3056">
        <v>100</v>
      </c>
      <c r="O3056">
        <v>24.875621890547269</v>
      </c>
    </row>
    <row r="3057" spans="1:15" customFormat="1" hidden="1" x14ac:dyDescent="0.25">
      <c r="A3057" s="11">
        <v>46097</v>
      </c>
      <c r="B3057" t="s">
        <v>30</v>
      </c>
      <c r="C3057" t="s">
        <v>26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13</v>
      </c>
      <c r="K3057" s="3">
        <f>I3057-J3057</f>
        <v>-7</v>
      </c>
      <c r="L3057" s="3" t="str">
        <f t="shared" si="330"/>
        <v>CRÍTICO</v>
      </c>
      <c r="M3057">
        <v>6</v>
      </c>
      <c r="N3057">
        <v>100</v>
      </c>
      <c r="O3057">
        <v>28.108108108108109</v>
      </c>
    </row>
    <row r="3058" spans="1:15" customFormat="1" hidden="1" x14ac:dyDescent="0.25">
      <c r="A3058" s="11">
        <v>46097</v>
      </c>
      <c r="B3058" t="s">
        <v>21</v>
      </c>
      <c r="C3058" t="s">
        <v>16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 t="shared" si="330"/>
        <v>OPORTUNO</v>
      </c>
      <c r="M3058">
        <v>0</v>
      </c>
      <c r="N3058">
        <v>100</v>
      </c>
      <c r="O3058">
        <v>35</v>
      </c>
    </row>
    <row r="3059" spans="1:15" customFormat="1" hidden="1" x14ac:dyDescent="0.25">
      <c r="A3059" s="11">
        <v>46097</v>
      </c>
      <c r="B3059" t="s">
        <v>63</v>
      </c>
      <c r="C3059" t="s">
        <v>23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15</v>
      </c>
      <c r="K3059" s="3">
        <f>I3059-J3059</f>
        <v>-1</v>
      </c>
      <c r="L3059" s="3" t="str">
        <f t="shared" si="330"/>
        <v>ATENÇÃO</v>
      </c>
      <c r="M3059">
        <v>11</v>
      </c>
      <c r="N3059">
        <v>95.35</v>
      </c>
      <c r="O3059">
        <v>28.61538461538461</v>
      </c>
    </row>
    <row r="3060" spans="1:15" customFormat="1" hidden="1" x14ac:dyDescent="0.25">
      <c r="A3060" s="11">
        <v>46097</v>
      </c>
      <c r="B3060" t="s">
        <v>45</v>
      </c>
      <c r="C3060" t="s">
        <v>32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23</v>
      </c>
      <c r="K3060" s="3">
        <f>I3060-J3060</f>
        <v>9</v>
      </c>
      <c r="L3060" s="3" t="str">
        <f t="shared" si="330"/>
        <v>MUITO BOM</v>
      </c>
      <c r="M3060">
        <v>29</v>
      </c>
      <c r="N3060">
        <v>98.26</v>
      </c>
      <c r="O3060">
        <v>27.54491017964072</v>
      </c>
    </row>
    <row r="3061" spans="1:15" customFormat="1" hidden="1" x14ac:dyDescent="0.25">
      <c r="A3061" s="11">
        <v>46097</v>
      </c>
      <c r="B3061" t="s">
        <v>64</v>
      </c>
      <c r="C3061" t="s">
        <v>23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15</v>
      </c>
      <c r="K3061" s="3">
        <f>I3061-J3061</f>
        <v>0</v>
      </c>
      <c r="L3061" s="3" t="str">
        <f t="shared" si="330"/>
        <v>OPORTUNO</v>
      </c>
      <c r="M3061">
        <v>13</v>
      </c>
      <c r="N3061">
        <v>98.55</v>
      </c>
      <c r="O3061">
        <v>25.337837837837839</v>
      </c>
    </row>
    <row r="3062" spans="1:15" customFormat="1" hidden="1" x14ac:dyDescent="0.25">
      <c r="A3062" s="11">
        <v>46097</v>
      </c>
      <c r="B3062" t="s">
        <v>46</v>
      </c>
      <c r="C3062" t="s">
        <v>32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23</v>
      </c>
      <c r="K3062" s="3">
        <f>I3062-J3062</f>
        <v>5</v>
      </c>
      <c r="L3062" s="3" t="str">
        <f t="shared" si="330"/>
        <v>OPORTUNO</v>
      </c>
      <c r="M3062">
        <v>25</v>
      </c>
      <c r="N3062">
        <v>98.39</v>
      </c>
      <c r="O3062">
        <v>25.563909774436091</v>
      </c>
    </row>
    <row r="3063" spans="1:15" customFormat="1" hidden="1" x14ac:dyDescent="0.25">
      <c r="A3063" s="11">
        <v>46098</v>
      </c>
      <c r="B3063" t="s">
        <v>47</v>
      </c>
      <c r="C3063" t="s">
        <v>48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18</v>
      </c>
      <c r="K3063" s="3">
        <f>I3063-J3063</f>
        <v>9</v>
      </c>
      <c r="L3063" s="3" t="str">
        <f t="shared" si="330"/>
        <v>MUITO BOM</v>
      </c>
      <c r="M3063">
        <v>19</v>
      </c>
      <c r="N3063">
        <v>94.29</v>
      </c>
      <c r="O3063">
        <v>25.647668393782389</v>
      </c>
    </row>
    <row r="3064" spans="1:15" customFormat="1" hidden="1" x14ac:dyDescent="0.25">
      <c r="A3064" s="11">
        <v>46098</v>
      </c>
      <c r="B3064" t="s">
        <v>31</v>
      </c>
      <c r="C3064" t="s">
        <v>32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 t="shared" si="330"/>
        <v>OPORTUNO</v>
      </c>
      <c r="M3064">
        <v>24</v>
      </c>
      <c r="N3064">
        <v>98.26</v>
      </c>
      <c r="O3064">
        <v>26.666666666666671</v>
      </c>
    </row>
    <row r="3065" spans="1:15" customFormat="1" hidden="1" x14ac:dyDescent="0.25">
      <c r="A3065" s="11">
        <v>46098</v>
      </c>
      <c r="B3065" t="s">
        <v>59</v>
      </c>
      <c r="C3065" t="s">
        <v>23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15</v>
      </c>
      <c r="K3065" s="3">
        <f>I3065-J3065</f>
        <v>-3</v>
      </c>
      <c r="L3065" s="3" t="str">
        <f t="shared" si="330"/>
        <v>ATENÇÃO</v>
      </c>
      <c r="M3065">
        <v>13</v>
      </c>
      <c r="N3065">
        <v>98.2</v>
      </c>
      <c r="O3065">
        <v>23.37962962962963</v>
      </c>
    </row>
    <row r="3066" spans="1:15" customFormat="1" hidden="1" x14ac:dyDescent="0.25">
      <c r="A3066" s="11">
        <v>46098</v>
      </c>
      <c r="B3066" t="s">
        <v>33</v>
      </c>
      <c r="C3066" t="s">
        <v>32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23</v>
      </c>
      <c r="K3066" s="3">
        <f>I3066-J3066</f>
        <v>4</v>
      </c>
      <c r="L3066" s="3" t="str">
        <f t="shared" si="330"/>
        <v>OPORTUNO</v>
      </c>
      <c r="M3066">
        <v>28</v>
      </c>
      <c r="N3066">
        <v>97.3</v>
      </c>
      <c r="O3066">
        <v>23.84769539078156</v>
      </c>
    </row>
    <row r="3067" spans="1:15" customFormat="1" hidden="1" x14ac:dyDescent="0.25">
      <c r="A3067" s="11">
        <v>46098</v>
      </c>
      <c r="B3067" t="s">
        <v>15</v>
      </c>
      <c r="C3067" t="s">
        <v>16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7</v>
      </c>
      <c r="K3067" s="3">
        <f>I3067-J3067</f>
        <v>8</v>
      </c>
      <c r="L3067" s="3" t="str">
        <f t="shared" ref="L3067:L3130" si="337">IF(K3067&lt;-5,"CRÍTICO",IF(K3067&lt;0,"ATENÇÃO",IF(K3067&lt;=5,"OPORTUNO","MUITO BOM")))</f>
        <v>MUITO BOM</v>
      </c>
      <c r="M3067">
        <v>13</v>
      </c>
      <c r="N3067">
        <v>100</v>
      </c>
      <c r="O3067">
        <v>25.268817204301079</v>
      </c>
    </row>
    <row r="3068" spans="1:15" customFormat="1" hidden="1" x14ac:dyDescent="0.25">
      <c r="A3068" s="11">
        <v>46098</v>
      </c>
      <c r="B3068" t="s">
        <v>49</v>
      </c>
      <c r="C3068" t="s">
        <v>48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17</v>
      </c>
      <c r="L3068" s="3" t="str">
        <f t="shared" si="337"/>
        <v>MUITO BOM</v>
      </c>
      <c r="M3068">
        <v>30</v>
      </c>
      <c r="N3068">
        <v>99.32</v>
      </c>
      <c r="O3068">
        <v>22.822822822822818</v>
      </c>
    </row>
    <row r="3069" spans="1:15" customFormat="1" hidden="1" x14ac:dyDescent="0.25">
      <c r="A3069" s="11">
        <v>46098</v>
      </c>
      <c r="B3069" t="s">
        <v>50</v>
      </c>
      <c r="C3069" t="s">
        <v>48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18</v>
      </c>
      <c r="K3069" s="3">
        <f>I3069-J3069</f>
        <v>-14</v>
      </c>
      <c r="L3069" s="3" t="str">
        <f t="shared" si="337"/>
        <v>CRÍTICO</v>
      </c>
      <c r="M3069">
        <v>5</v>
      </c>
      <c r="N3069">
        <v>100</v>
      </c>
      <c r="O3069">
        <v>27.966101694915249</v>
      </c>
    </row>
    <row r="3070" spans="1:15" customFormat="1" hidden="1" x14ac:dyDescent="0.25">
      <c r="A3070" s="11">
        <v>46098</v>
      </c>
      <c r="B3070" t="s">
        <v>17</v>
      </c>
      <c r="C3070" t="s">
        <v>16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 t="shared" si="337"/>
        <v>OPORTUNO</v>
      </c>
      <c r="M3070">
        <v>0</v>
      </c>
      <c r="N3070">
        <v>100</v>
      </c>
      <c r="O3070">
        <v>30.434782608695659</v>
      </c>
    </row>
    <row r="3071" spans="1:15" customFormat="1" hidden="1" x14ac:dyDescent="0.25">
      <c r="A3071" s="11">
        <v>46098</v>
      </c>
      <c r="B3071" t="s">
        <v>60</v>
      </c>
      <c r="C3071" t="s">
        <v>23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9</v>
      </c>
      <c r="L3071" s="3" t="str">
        <f t="shared" si="337"/>
        <v>MUITO BOM</v>
      </c>
      <c r="M3071">
        <v>22</v>
      </c>
      <c r="N3071">
        <v>96.51</v>
      </c>
      <c r="O3071">
        <v>22.802850356294542</v>
      </c>
    </row>
    <row r="3072" spans="1:15" customFormat="1" hidden="1" x14ac:dyDescent="0.25">
      <c r="A3072" s="11">
        <v>46098</v>
      </c>
      <c r="B3072" t="s">
        <v>34</v>
      </c>
      <c r="C3072" t="s">
        <v>32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37"/>
        <v>OPORTUNO</v>
      </c>
      <c r="M3072">
        <v>9</v>
      </c>
      <c r="N3072">
        <v>92.68</v>
      </c>
      <c r="O3072">
        <v>27.777777777777779</v>
      </c>
    </row>
    <row r="3073" spans="1:15" customFormat="1" hidden="1" x14ac:dyDescent="0.25">
      <c r="A3073" s="11">
        <v>46098</v>
      </c>
      <c r="B3073" t="s">
        <v>51</v>
      </c>
      <c r="C3073" t="s">
        <v>48</v>
      </c>
      <c r="D3073">
        <v>29</v>
      </c>
      <c r="E3073">
        <v>26</v>
      </c>
      <c r="F3073">
        <v>21.42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 t="shared" si="337"/>
        <v>OPORTUNO</v>
      </c>
      <c r="M3073">
        <v>26</v>
      </c>
      <c r="N3073">
        <v>99.03</v>
      </c>
      <c r="O3073">
        <v>23.991507430997881</v>
      </c>
    </row>
    <row r="3074" spans="1:15" customFormat="1" hidden="1" x14ac:dyDescent="0.25">
      <c r="A3074" s="11">
        <v>46098</v>
      </c>
      <c r="B3074" t="s">
        <v>61</v>
      </c>
      <c r="C3074" t="s">
        <v>23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15</v>
      </c>
      <c r="K3074" s="3">
        <f>I3074-J3074</f>
        <v>7</v>
      </c>
      <c r="L3074" s="3" t="str">
        <f t="shared" si="337"/>
        <v>MUITO BOM</v>
      </c>
      <c r="M3074">
        <v>13</v>
      </c>
      <c r="N3074">
        <v>98.41</v>
      </c>
      <c r="O3074">
        <v>28.138528138528141</v>
      </c>
    </row>
    <row r="3075" spans="1:15" customFormat="1" hidden="1" x14ac:dyDescent="0.25">
      <c r="A3075" s="11">
        <v>46098</v>
      </c>
      <c r="B3075" t="s">
        <v>35</v>
      </c>
      <c r="C3075" t="s">
        <v>32</v>
      </c>
      <c r="D3075">
        <v>20</v>
      </c>
      <c r="E3075">
        <v>20</v>
      </c>
      <c r="F3075">
        <v>31.55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 t="shared" si="337"/>
        <v>OPORTUNO</v>
      </c>
      <c r="M3075">
        <v>20</v>
      </c>
      <c r="N3075">
        <v>98.73</v>
      </c>
      <c r="O3075">
        <v>29.142857142857139</v>
      </c>
    </row>
    <row r="3076" spans="1:15" customFormat="1" hidden="1" x14ac:dyDescent="0.25">
      <c r="A3076" s="11">
        <v>46098</v>
      </c>
      <c r="B3076" t="s">
        <v>18</v>
      </c>
      <c r="C3076" t="s">
        <v>16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ref="I3076:I3084" si="338">E3076+G3076+H3076</f>
        <v>8</v>
      </c>
      <c r="J3076" s="3">
        <f t="shared" ref="J3076:J3084" si="339"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7</v>
      </c>
      <c r="K3076" s="3">
        <f t="shared" ref="K3076:K3084" si="340">I3076-J3076</f>
        <v>1</v>
      </c>
      <c r="L3076" s="3" t="str">
        <f t="shared" si="337"/>
        <v>OPORTUNO</v>
      </c>
      <c r="M3076">
        <v>5</v>
      </c>
      <c r="N3076">
        <v>90.48</v>
      </c>
      <c r="O3076">
        <v>20.68965517241379</v>
      </c>
    </row>
    <row r="3077" spans="1:15" customFormat="1" hidden="1" x14ac:dyDescent="0.25">
      <c r="A3077" s="11">
        <v>46098</v>
      </c>
      <c r="B3077" t="s">
        <v>52</v>
      </c>
      <c r="C3077" t="s">
        <v>48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338"/>
        <v>25</v>
      </c>
      <c r="J3077" s="3">
        <f t="shared" si="339"/>
        <v>18</v>
      </c>
      <c r="K3077" s="3">
        <f t="shared" si="340"/>
        <v>7</v>
      </c>
      <c r="L3077" s="3" t="str">
        <f t="shared" si="337"/>
        <v>MUITO BOM</v>
      </c>
      <c r="M3077">
        <v>25</v>
      </c>
      <c r="N3077">
        <v>98.06</v>
      </c>
      <c r="O3077">
        <v>24.789915966386559</v>
      </c>
    </row>
    <row r="3078" spans="1:15" customFormat="1" hidden="1" x14ac:dyDescent="0.25">
      <c r="A3078" s="11">
        <v>46098</v>
      </c>
      <c r="B3078" t="s">
        <v>36</v>
      </c>
      <c r="C3078" t="s">
        <v>32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338"/>
        <v>29</v>
      </c>
      <c r="J3078" s="3">
        <f t="shared" si="339"/>
        <v>23</v>
      </c>
      <c r="K3078" s="3">
        <f t="shared" si="340"/>
        <v>6</v>
      </c>
      <c r="L3078" s="3" t="str">
        <f t="shared" si="337"/>
        <v>MUITO BOM</v>
      </c>
      <c r="M3078">
        <v>27</v>
      </c>
      <c r="N3078">
        <v>97.78</v>
      </c>
      <c r="O3078">
        <v>25.494071146245059</v>
      </c>
    </row>
    <row r="3079" spans="1:15" customFormat="1" hidden="1" x14ac:dyDescent="0.25">
      <c r="A3079" s="11">
        <v>46098</v>
      </c>
      <c r="B3079" t="s">
        <v>53</v>
      </c>
      <c r="C3079" t="s">
        <v>48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338"/>
        <v>20</v>
      </c>
      <c r="J3079" s="3">
        <f t="shared" si="339"/>
        <v>18</v>
      </c>
      <c r="K3079" s="3">
        <f t="shared" si="340"/>
        <v>2</v>
      </c>
      <c r="L3079" s="3" t="str">
        <f t="shared" si="337"/>
        <v>OPORTUNO</v>
      </c>
      <c r="M3079">
        <v>18</v>
      </c>
      <c r="N3079">
        <v>98.02</v>
      </c>
      <c r="O3079">
        <v>23.484848484848481</v>
      </c>
    </row>
    <row r="3080" spans="1:15" customFormat="1" hidden="1" x14ac:dyDescent="0.25">
      <c r="A3080" s="11">
        <v>46132</v>
      </c>
      <c r="B3080" t="s">
        <v>22</v>
      </c>
      <c r="C3080" t="s">
        <v>23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338"/>
        <v>9</v>
      </c>
      <c r="J3080" s="3">
        <f t="shared" si="339"/>
        <v>14</v>
      </c>
      <c r="K3080" s="3">
        <f t="shared" si="340"/>
        <v>-5</v>
      </c>
      <c r="L3080" s="3" t="str">
        <f t="shared" si="337"/>
        <v>ATENÇÃO</v>
      </c>
      <c r="M3080">
        <v>11</v>
      </c>
      <c r="N3080">
        <v>99.28</v>
      </c>
      <c r="O3080">
        <v>27.689243027888441</v>
      </c>
    </row>
    <row r="3081" spans="1:15" customFormat="1" hidden="1" x14ac:dyDescent="0.25">
      <c r="A3081" s="11">
        <v>46098</v>
      </c>
      <c r="B3081" t="s">
        <v>54</v>
      </c>
      <c r="C3081" t="s">
        <v>48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338"/>
        <v>31</v>
      </c>
      <c r="J3081" s="3">
        <f t="shared" si="339"/>
        <v>18</v>
      </c>
      <c r="K3081" s="3">
        <f t="shared" si="340"/>
        <v>13</v>
      </c>
      <c r="L3081" s="3" t="str">
        <f t="shared" si="337"/>
        <v>MUITO BOM</v>
      </c>
      <c r="M3081">
        <v>26</v>
      </c>
      <c r="N3081">
        <v>100</v>
      </c>
      <c r="O3081">
        <v>27.04918032786885</v>
      </c>
    </row>
    <row r="3082" spans="1:15" customFormat="1" hidden="1" x14ac:dyDescent="0.25">
      <c r="A3082" s="11">
        <v>46098</v>
      </c>
      <c r="B3082" t="s">
        <v>37</v>
      </c>
      <c r="C3082" t="s">
        <v>32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338"/>
        <v>39</v>
      </c>
      <c r="J3082" s="3">
        <f t="shared" si="339"/>
        <v>23</v>
      </c>
      <c r="K3082" s="3">
        <f t="shared" si="340"/>
        <v>16</v>
      </c>
      <c r="L3082" s="3" t="str">
        <f t="shared" si="337"/>
        <v>MUITO BOM</v>
      </c>
      <c r="M3082">
        <v>38</v>
      </c>
      <c r="N3082">
        <v>97.83</v>
      </c>
      <c r="O3082">
        <v>26.315789473684209</v>
      </c>
    </row>
    <row r="3083" spans="1:15" customFormat="1" hidden="1" x14ac:dyDescent="0.25">
      <c r="A3083" s="11">
        <v>46098</v>
      </c>
      <c r="B3083" t="s">
        <v>38</v>
      </c>
      <c r="C3083" t="s">
        <v>32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338"/>
        <v>8</v>
      </c>
      <c r="J3083" s="3">
        <f t="shared" si="339"/>
        <v>23</v>
      </c>
      <c r="K3083" s="3">
        <f t="shared" si="340"/>
        <v>-15</v>
      </c>
      <c r="L3083" s="3" t="str">
        <f t="shared" si="337"/>
        <v>CRÍTICO</v>
      </c>
      <c r="M3083">
        <v>16</v>
      </c>
      <c r="N3083">
        <v>100</v>
      </c>
      <c r="O3083">
        <v>26.701570680628269</v>
      </c>
    </row>
    <row r="3084" spans="1:15" customFormat="1" hidden="1" x14ac:dyDescent="0.25">
      <c r="A3084" s="11">
        <v>46098</v>
      </c>
      <c r="B3084" t="s">
        <v>55</v>
      </c>
      <c r="C3084" t="s">
        <v>48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338"/>
        <v>26</v>
      </c>
      <c r="J3084" s="3">
        <f t="shared" si="339"/>
        <v>18</v>
      </c>
      <c r="K3084" s="3">
        <f t="shared" si="340"/>
        <v>8</v>
      </c>
      <c r="L3084" s="3" t="str">
        <f t="shared" si="337"/>
        <v>MUITO BOM</v>
      </c>
      <c r="M3084">
        <v>24</v>
      </c>
      <c r="N3084">
        <v>97.47</v>
      </c>
      <c r="O3084">
        <v>22.887323943661968</v>
      </c>
    </row>
    <row r="3085" spans="1:15" customFormat="1" hidden="1" x14ac:dyDescent="0.25">
      <c r="A3085" s="11">
        <v>46098</v>
      </c>
      <c r="B3085" t="s">
        <v>39</v>
      </c>
      <c r="C3085" t="s">
        <v>32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 t="shared" si="337"/>
        <v>OPORTUNO</v>
      </c>
      <c r="M3085">
        <v>0</v>
      </c>
      <c r="N3085">
        <v>0</v>
      </c>
      <c r="O3085">
        <v>0</v>
      </c>
    </row>
    <row r="3086" spans="1:15" customFormat="1" hidden="1" x14ac:dyDescent="0.25">
      <c r="A3086" s="11">
        <v>46098</v>
      </c>
      <c r="B3086" t="s">
        <v>25</v>
      </c>
      <c r="C3086" t="s">
        <v>26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13</v>
      </c>
      <c r="K3086" s="3">
        <f>I3086-J3086</f>
        <v>-7</v>
      </c>
      <c r="L3086" s="3" t="str">
        <f t="shared" si="337"/>
        <v>CRÍTICO</v>
      </c>
      <c r="M3086">
        <v>7</v>
      </c>
      <c r="N3086">
        <v>98.31</v>
      </c>
      <c r="O3086">
        <v>24.920127795527151</v>
      </c>
    </row>
    <row r="3087" spans="1:15" customFormat="1" hidden="1" x14ac:dyDescent="0.25">
      <c r="A3087" s="11">
        <v>46098</v>
      </c>
      <c r="B3087" t="s">
        <v>40</v>
      </c>
      <c r="C3087" t="s">
        <v>32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23</v>
      </c>
      <c r="K3087" s="3">
        <f>I3087-J3087</f>
        <v>-22</v>
      </c>
      <c r="L3087" s="3" t="str">
        <f t="shared" si="337"/>
        <v>CRÍTICO</v>
      </c>
      <c r="M3087">
        <v>2</v>
      </c>
      <c r="N3087">
        <v>96.81</v>
      </c>
      <c r="O3087">
        <v>32.365145228215773</v>
      </c>
    </row>
    <row r="3088" spans="1:15" customFormat="1" hidden="1" x14ac:dyDescent="0.25">
      <c r="A3088" s="11">
        <v>46098</v>
      </c>
      <c r="B3088" t="s">
        <v>27</v>
      </c>
      <c r="C3088" t="s">
        <v>26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13</v>
      </c>
      <c r="K3088" s="3">
        <f>I3088-J3088</f>
        <v>-4</v>
      </c>
      <c r="L3088" s="3" t="str">
        <f t="shared" si="337"/>
        <v>ATENÇÃO</v>
      </c>
      <c r="M3088">
        <v>8</v>
      </c>
      <c r="N3088">
        <v>100</v>
      </c>
      <c r="O3088">
        <v>26.47058823529412</v>
      </c>
    </row>
    <row r="3089" spans="1:15" customFormat="1" hidden="1" x14ac:dyDescent="0.25">
      <c r="A3089" s="11">
        <v>46098</v>
      </c>
      <c r="B3089" t="s">
        <v>41</v>
      </c>
      <c r="C3089" t="s">
        <v>32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23</v>
      </c>
      <c r="K3089" s="3">
        <f>I3089-J3089</f>
        <v>-5</v>
      </c>
      <c r="L3089" s="3" t="str">
        <f t="shared" si="337"/>
        <v>ATENÇÃO</v>
      </c>
      <c r="M3089">
        <v>16</v>
      </c>
      <c r="N3089">
        <v>100</v>
      </c>
      <c r="O3089">
        <v>28.490028490028489</v>
      </c>
    </row>
    <row r="3090" spans="1:15" customFormat="1" hidden="1" x14ac:dyDescent="0.25">
      <c r="A3090" s="11">
        <v>46098</v>
      </c>
      <c r="B3090" t="s">
        <v>56</v>
      </c>
      <c r="C3090" t="s">
        <v>48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18</v>
      </c>
      <c r="K3090" s="3">
        <f>I3090-J3090</f>
        <v>18</v>
      </c>
      <c r="L3090" s="3" t="str">
        <f t="shared" si="337"/>
        <v>MUITO BOM</v>
      </c>
      <c r="M3090">
        <v>40</v>
      </c>
      <c r="N3090">
        <v>99.14</v>
      </c>
      <c r="O3090">
        <v>27.2289156626506</v>
      </c>
    </row>
    <row r="3091" spans="1:15" customFormat="1" hidden="1" x14ac:dyDescent="0.25">
      <c r="A3091" s="11">
        <v>46098</v>
      </c>
      <c r="B3091" t="s">
        <v>57</v>
      </c>
      <c r="C3091" t="s">
        <v>48</v>
      </c>
      <c r="D3091">
        <v>22</v>
      </c>
      <c r="E3091">
        <v>21</v>
      </c>
      <c r="F3091">
        <v>23.56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37"/>
        <v>OPORTUNO</v>
      </c>
      <c r="M3091">
        <v>22</v>
      </c>
      <c r="N3091">
        <v>97.52</v>
      </c>
      <c r="O3091">
        <v>28.205128205128201</v>
      </c>
    </row>
    <row r="3092" spans="1:15" customFormat="1" hidden="1" x14ac:dyDescent="0.25">
      <c r="A3092" s="11">
        <v>46098</v>
      </c>
      <c r="B3092" t="s">
        <v>42</v>
      </c>
      <c r="C3092" t="s">
        <v>32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 t="shared" si="337"/>
        <v>OPORTUNO</v>
      </c>
      <c r="M3092">
        <v>0</v>
      </c>
      <c r="N3092">
        <v>90</v>
      </c>
      <c r="O3092">
        <v>24.186046511627911</v>
      </c>
    </row>
    <row r="3093" spans="1:15" customFormat="1" hidden="1" x14ac:dyDescent="0.25">
      <c r="A3093" s="11">
        <v>46098</v>
      </c>
      <c r="B3093" t="s">
        <v>62</v>
      </c>
      <c r="C3093" t="s">
        <v>23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15</v>
      </c>
      <c r="K3093" s="3">
        <f>I3093-J3093</f>
        <v>1</v>
      </c>
      <c r="L3093" s="3" t="str">
        <f t="shared" si="337"/>
        <v>OPORTUNO</v>
      </c>
      <c r="M3093">
        <v>16</v>
      </c>
      <c r="N3093">
        <v>98.9</v>
      </c>
      <c r="O3093">
        <v>26.763990267639901</v>
      </c>
    </row>
    <row r="3094" spans="1:15" customFormat="1" hidden="1" x14ac:dyDescent="0.25">
      <c r="A3094" s="11">
        <v>46098</v>
      </c>
      <c r="B3094" t="s">
        <v>19</v>
      </c>
      <c r="C3094" t="s">
        <v>16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7</v>
      </c>
      <c r="K3094" s="3">
        <f>I3094-J3094</f>
        <v>1</v>
      </c>
      <c r="L3094" s="3" t="str">
        <f t="shared" si="337"/>
        <v>OPORTUNO</v>
      </c>
      <c r="M3094">
        <v>7</v>
      </c>
      <c r="N3094">
        <v>88.89</v>
      </c>
      <c r="O3094">
        <v>25.263157894736839</v>
      </c>
    </row>
    <row r="3095" spans="1:15" customFormat="1" hidden="1" x14ac:dyDescent="0.25">
      <c r="A3095" s="11">
        <v>46098</v>
      </c>
      <c r="B3095" t="s">
        <v>43</v>
      </c>
      <c r="C3095" t="s">
        <v>32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9</v>
      </c>
      <c r="L3095" s="3" t="str">
        <f t="shared" si="337"/>
        <v>MUITO BOM</v>
      </c>
      <c r="M3095">
        <v>30</v>
      </c>
      <c r="N3095">
        <v>98.86</v>
      </c>
      <c r="O3095">
        <v>28.959276018099551</v>
      </c>
    </row>
    <row r="3096" spans="1:15" customFormat="1" hidden="1" x14ac:dyDescent="0.25">
      <c r="A3096" s="11">
        <v>46098</v>
      </c>
      <c r="B3096" t="s">
        <v>44</v>
      </c>
      <c r="C3096" t="s">
        <v>32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23</v>
      </c>
      <c r="K3096" s="3">
        <f>I3096-J3096</f>
        <v>-21</v>
      </c>
      <c r="L3096" s="3" t="str">
        <f t="shared" si="337"/>
        <v>CRÍTICO</v>
      </c>
      <c r="M3096">
        <v>1</v>
      </c>
      <c r="N3096">
        <v>98.06</v>
      </c>
      <c r="O3096">
        <v>22.40566037735849</v>
      </c>
    </row>
    <row r="3097" spans="1:15" customFormat="1" hidden="1" x14ac:dyDescent="0.25">
      <c r="A3097" s="11">
        <v>46098</v>
      </c>
      <c r="B3097" t="s">
        <v>20</v>
      </c>
      <c r="C3097" t="s">
        <v>16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37"/>
        <v>OPORTUNO</v>
      </c>
      <c r="M3097">
        <v>0</v>
      </c>
      <c r="N3097">
        <v>95.83</v>
      </c>
      <c r="O3097">
        <v>25.773195876288661</v>
      </c>
    </row>
    <row r="3098" spans="1:15" customFormat="1" hidden="1" x14ac:dyDescent="0.25">
      <c r="A3098" s="11">
        <v>46098</v>
      </c>
      <c r="B3098" t="s">
        <v>28</v>
      </c>
      <c r="C3098" t="s">
        <v>26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 t="shared" si="337"/>
        <v>OPORTUNO</v>
      </c>
      <c r="M3098">
        <v>0</v>
      </c>
      <c r="N3098">
        <v>100</v>
      </c>
      <c r="O3098">
        <v>15.38461538461539</v>
      </c>
    </row>
    <row r="3099" spans="1:15" customFormat="1" hidden="1" x14ac:dyDescent="0.25">
      <c r="A3099" s="11">
        <v>46098</v>
      </c>
      <c r="B3099" t="s">
        <v>58</v>
      </c>
      <c r="C3099" t="s">
        <v>48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18</v>
      </c>
      <c r="K3099" s="3">
        <f>I3099-J3099</f>
        <v>15</v>
      </c>
      <c r="L3099" s="3" t="str">
        <f t="shared" si="337"/>
        <v>MUITO BOM</v>
      </c>
      <c r="M3099">
        <v>29</v>
      </c>
      <c r="N3099">
        <v>100</v>
      </c>
      <c r="O3099">
        <v>27.514792899408281</v>
      </c>
    </row>
    <row r="3100" spans="1:15" customFormat="1" hidden="1" x14ac:dyDescent="0.25">
      <c r="A3100" s="11">
        <v>46098</v>
      </c>
      <c r="B3100" t="s">
        <v>29</v>
      </c>
      <c r="C3100" t="s">
        <v>26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1</v>
      </c>
      <c r="L3100" s="3" t="str">
        <f t="shared" si="337"/>
        <v>OPORTUNO</v>
      </c>
      <c r="M3100">
        <v>11</v>
      </c>
      <c r="N3100">
        <v>100</v>
      </c>
      <c r="O3100">
        <v>24.875621890547269</v>
      </c>
    </row>
    <row r="3101" spans="1:15" customFormat="1" hidden="1" x14ac:dyDescent="0.25">
      <c r="A3101" s="11">
        <v>46098</v>
      </c>
      <c r="B3101" t="s">
        <v>30</v>
      </c>
      <c r="C3101" t="s">
        <v>26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13</v>
      </c>
      <c r="K3101" s="3">
        <f>I3101-J3101</f>
        <v>2</v>
      </c>
      <c r="L3101" s="3" t="str">
        <f t="shared" si="337"/>
        <v>OPORTUNO</v>
      </c>
      <c r="M3101">
        <v>12</v>
      </c>
      <c r="N3101">
        <v>100</v>
      </c>
      <c r="O3101">
        <v>28.108108108108109</v>
      </c>
    </row>
    <row r="3102" spans="1:15" customFormat="1" hidden="1" x14ac:dyDescent="0.25">
      <c r="A3102" s="11">
        <v>46098</v>
      </c>
      <c r="B3102" t="s">
        <v>21</v>
      </c>
      <c r="C3102" t="s">
        <v>16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 t="shared" si="337"/>
        <v>OPORTUNO</v>
      </c>
      <c r="M3102">
        <v>0</v>
      </c>
      <c r="N3102">
        <v>100</v>
      </c>
      <c r="O3102">
        <v>35</v>
      </c>
    </row>
    <row r="3103" spans="1:15" customFormat="1" hidden="1" x14ac:dyDescent="0.25">
      <c r="A3103" s="11">
        <v>46098</v>
      </c>
      <c r="B3103" t="s">
        <v>63</v>
      </c>
      <c r="C3103" t="s">
        <v>23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15</v>
      </c>
      <c r="K3103" s="3">
        <f>I3103-J3103</f>
        <v>4</v>
      </c>
      <c r="L3103" s="3" t="str">
        <f t="shared" si="337"/>
        <v>OPORTUNO</v>
      </c>
      <c r="M3103">
        <v>14</v>
      </c>
      <c r="N3103">
        <v>95.35</v>
      </c>
      <c r="O3103">
        <v>28.61538461538461</v>
      </c>
    </row>
    <row r="3104" spans="1:15" customFormat="1" hidden="1" x14ac:dyDescent="0.25">
      <c r="A3104" s="11">
        <v>46098</v>
      </c>
      <c r="B3104" t="s">
        <v>45</v>
      </c>
      <c r="C3104" t="s">
        <v>32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23</v>
      </c>
      <c r="K3104" s="3">
        <f>I3104-J3104</f>
        <v>14</v>
      </c>
      <c r="L3104" s="3" t="str">
        <f t="shared" si="337"/>
        <v>MUITO BOM</v>
      </c>
      <c r="M3104">
        <v>27</v>
      </c>
      <c r="N3104">
        <v>98.26</v>
      </c>
      <c r="O3104">
        <v>27.54491017964072</v>
      </c>
    </row>
    <row r="3105" spans="1:15" customFormat="1" hidden="1" x14ac:dyDescent="0.25">
      <c r="A3105" s="11">
        <v>46098</v>
      </c>
      <c r="B3105" t="s">
        <v>64</v>
      </c>
      <c r="C3105" t="s">
        <v>23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15</v>
      </c>
      <c r="K3105" s="3">
        <f>I3105-J3105</f>
        <v>-5</v>
      </c>
      <c r="L3105" s="3" t="str">
        <f t="shared" si="337"/>
        <v>ATENÇÃO</v>
      </c>
      <c r="M3105">
        <v>10</v>
      </c>
      <c r="N3105">
        <v>98.55</v>
      </c>
      <c r="O3105">
        <v>25.337837837837839</v>
      </c>
    </row>
    <row r="3106" spans="1:15" customFormat="1" hidden="1" x14ac:dyDescent="0.25">
      <c r="A3106" s="11">
        <v>46098</v>
      </c>
      <c r="B3106" t="s">
        <v>46</v>
      </c>
      <c r="C3106" t="s">
        <v>32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23</v>
      </c>
      <c r="K3106" s="3">
        <f>I3106-J3106</f>
        <v>3</v>
      </c>
      <c r="L3106" s="3" t="str">
        <f t="shared" si="337"/>
        <v>OPORTUNO</v>
      </c>
      <c r="M3106">
        <v>23</v>
      </c>
      <c r="N3106">
        <v>98.39</v>
      </c>
      <c r="O3106">
        <v>25.563909774436091</v>
      </c>
    </row>
    <row r="3107" spans="1:15" customFormat="1" hidden="1" x14ac:dyDescent="0.25">
      <c r="A3107" s="11">
        <v>46099</v>
      </c>
      <c r="B3107" t="s">
        <v>47</v>
      </c>
      <c r="C3107" t="s">
        <v>48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17</v>
      </c>
      <c r="K3107" s="3">
        <f>I3107-J3107</f>
        <v>7</v>
      </c>
      <c r="L3107" s="3" t="str">
        <f t="shared" si="337"/>
        <v>MUITO BOM</v>
      </c>
      <c r="M3107">
        <v>18</v>
      </c>
      <c r="N3107">
        <v>94.29</v>
      </c>
      <c r="O3107">
        <v>25.647668393782389</v>
      </c>
    </row>
    <row r="3108" spans="1:15" customFormat="1" hidden="1" x14ac:dyDescent="0.25">
      <c r="A3108" s="11">
        <v>46099</v>
      </c>
      <c r="B3108" t="s">
        <v>31</v>
      </c>
      <c r="C3108" t="s">
        <v>32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 t="shared" si="337"/>
        <v>OPORTUNO</v>
      </c>
      <c r="M3108">
        <v>24</v>
      </c>
      <c r="N3108">
        <v>98.26</v>
      </c>
      <c r="O3108">
        <v>26.666666666666671</v>
      </c>
    </row>
    <row r="3109" spans="1:15" customFormat="1" hidden="1" x14ac:dyDescent="0.25">
      <c r="A3109" s="11">
        <v>46099</v>
      </c>
      <c r="B3109" t="s">
        <v>59</v>
      </c>
      <c r="C3109" t="s">
        <v>23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14</v>
      </c>
      <c r="K3109" s="3">
        <f>I3109-J3109</f>
        <v>-7</v>
      </c>
      <c r="L3109" s="3" t="str">
        <f t="shared" si="337"/>
        <v>CRÍTICO</v>
      </c>
      <c r="M3109">
        <v>9</v>
      </c>
      <c r="N3109">
        <v>98.2</v>
      </c>
      <c r="O3109">
        <v>23.37962962962963</v>
      </c>
    </row>
    <row r="3110" spans="1:15" customFormat="1" hidden="1" x14ac:dyDescent="0.25">
      <c r="A3110" s="11">
        <v>46099</v>
      </c>
      <c r="B3110" t="s">
        <v>33</v>
      </c>
      <c r="C3110" t="s">
        <v>32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22</v>
      </c>
      <c r="K3110" s="3">
        <f>I3110-J3110</f>
        <v>6</v>
      </c>
      <c r="L3110" s="3" t="str">
        <f t="shared" si="337"/>
        <v>MUITO BOM</v>
      </c>
      <c r="M3110">
        <v>25</v>
      </c>
      <c r="N3110">
        <v>97.3</v>
      </c>
      <c r="O3110">
        <v>23.84769539078156</v>
      </c>
    </row>
    <row r="3111" spans="1:15" customFormat="1" hidden="1" x14ac:dyDescent="0.25">
      <c r="A3111" s="11">
        <v>46099</v>
      </c>
      <c r="B3111" t="s">
        <v>15</v>
      </c>
      <c r="C3111" t="s">
        <v>16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 t="shared" si="337"/>
        <v>OPORTUNO</v>
      </c>
      <c r="M3111">
        <v>5</v>
      </c>
      <c r="N3111">
        <v>100</v>
      </c>
      <c r="O3111">
        <v>25.268817204301079</v>
      </c>
    </row>
    <row r="3112" spans="1:15" customFormat="1" hidden="1" x14ac:dyDescent="0.25">
      <c r="A3112" s="11">
        <v>46099</v>
      </c>
      <c r="B3112" t="s">
        <v>49</v>
      </c>
      <c r="C3112" t="s">
        <v>48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9</v>
      </c>
      <c r="L3112" s="3" t="str">
        <f t="shared" si="337"/>
        <v>MUITO BOM</v>
      </c>
      <c r="M3112">
        <v>24</v>
      </c>
      <c r="N3112">
        <v>99.32</v>
      </c>
      <c r="O3112">
        <v>22.822822822822818</v>
      </c>
    </row>
    <row r="3113" spans="1:15" customFormat="1" hidden="1" x14ac:dyDescent="0.25">
      <c r="A3113" s="11">
        <v>46099</v>
      </c>
      <c r="B3113" t="s">
        <v>50</v>
      </c>
      <c r="C3113" t="s">
        <v>48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17</v>
      </c>
      <c r="K3113" s="3">
        <f>I3113-J3113</f>
        <v>-1</v>
      </c>
      <c r="L3113" s="3" t="str">
        <f t="shared" si="337"/>
        <v>ATENÇÃO</v>
      </c>
      <c r="M3113">
        <v>16</v>
      </c>
      <c r="N3113">
        <v>100</v>
      </c>
      <c r="O3113">
        <v>27.966101694915249</v>
      </c>
    </row>
    <row r="3114" spans="1:15" customFormat="1" hidden="1" x14ac:dyDescent="0.25">
      <c r="A3114" s="11">
        <v>46099</v>
      </c>
      <c r="B3114" t="s">
        <v>17</v>
      </c>
      <c r="C3114" t="s">
        <v>16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 t="shared" si="337"/>
        <v>OPORTUNO</v>
      </c>
      <c r="M3114">
        <v>0</v>
      </c>
      <c r="N3114">
        <v>100</v>
      </c>
      <c r="O3114">
        <v>30.434782608695659</v>
      </c>
    </row>
    <row r="3115" spans="1:15" customFormat="1" hidden="1" x14ac:dyDescent="0.25">
      <c r="A3115" s="11">
        <v>46099</v>
      </c>
      <c r="B3115" t="s">
        <v>60</v>
      </c>
      <c r="C3115" t="s">
        <v>23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5</v>
      </c>
      <c r="L3115" s="3" t="str">
        <f t="shared" si="337"/>
        <v>OPORTUNO</v>
      </c>
      <c r="M3115">
        <v>14</v>
      </c>
      <c r="N3115">
        <v>96.51</v>
      </c>
      <c r="O3115">
        <v>22.802850356294542</v>
      </c>
    </row>
    <row r="3116" spans="1:15" customFormat="1" hidden="1" x14ac:dyDescent="0.25">
      <c r="A3116" s="11">
        <v>46099</v>
      </c>
      <c r="B3116" t="s">
        <v>34</v>
      </c>
      <c r="C3116" t="s">
        <v>32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37"/>
        <v>OPORTUNO</v>
      </c>
      <c r="M3116">
        <v>9</v>
      </c>
      <c r="N3116">
        <v>92.68</v>
      </c>
      <c r="O3116">
        <v>27.777777777777779</v>
      </c>
    </row>
    <row r="3117" spans="1:15" customFormat="1" hidden="1" x14ac:dyDescent="0.25">
      <c r="A3117" s="11">
        <v>46099</v>
      </c>
      <c r="B3117" t="s">
        <v>51</v>
      </c>
      <c r="C3117" t="s">
        <v>48</v>
      </c>
      <c r="D3117">
        <v>25</v>
      </c>
      <c r="E3117">
        <v>24</v>
      </c>
      <c r="F3117">
        <v>24.13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 t="shared" si="337"/>
        <v>OPORTUNO</v>
      </c>
      <c r="M3117">
        <v>22</v>
      </c>
      <c r="N3117">
        <v>99.03</v>
      </c>
      <c r="O3117">
        <v>23.991507430997881</v>
      </c>
    </row>
    <row r="3118" spans="1:15" customFormat="1" hidden="1" x14ac:dyDescent="0.25">
      <c r="A3118" s="11">
        <v>46099</v>
      </c>
      <c r="B3118" t="s">
        <v>61</v>
      </c>
      <c r="C3118" t="s">
        <v>23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14</v>
      </c>
      <c r="K3118" s="3">
        <f>I3118-J3118</f>
        <v>-2</v>
      </c>
      <c r="L3118" s="3" t="str">
        <f t="shared" si="337"/>
        <v>ATENÇÃO</v>
      </c>
      <c r="M3118">
        <v>8</v>
      </c>
      <c r="N3118">
        <v>98.41</v>
      </c>
      <c r="O3118">
        <v>28.138528138528141</v>
      </c>
    </row>
    <row r="3119" spans="1:15" customFormat="1" hidden="1" x14ac:dyDescent="0.25">
      <c r="A3119" s="11">
        <v>46099</v>
      </c>
      <c r="B3119" t="s">
        <v>35</v>
      </c>
      <c r="C3119" t="s">
        <v>32</v>
      </c>
      <c r="D3119">
        <v>19</v>
      </c>
      <c r="E3119">
        <v>18</v>
      </c>
      <c r="F3119">
        <v>38.28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 t="shared" si="337"/>
        <v>OPORTUNO</v>
      </c>
      <c r="M3119">
        <v>17</v>
      </c>
      <c r="N3119">
        <v>98.73</v>
      </c>
      <c r="O3119">
        <v>29.142857142857139</v>
      </c>
    </row>
    <row r="3120" spans="1:15" customFormat="1" hidden="1" x14ac:dyDescent="0.25">
      <c r="A3120" s="11">
        <v>46099</v>
      </c>
      <c r="B3120" t="s">
        <v>18</v>
      </c>
      <c r="C3120" t="s">
        <v>16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ref="I3120:I3126" si="341">E3120+G3120+H3120</f>
        <v>6</v>
      </c>
      <c r="J3120" s="3">
        <f t="shared" ref="J3120:J3126" si="342"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 t="shared" ref="K3120:K3126" si="343">I3120-J3120</f>
        <v>0</v>
      </c>
      <c r="L3120" s="3" t="str">
        <f t="shared" si="337"/>
        <v>OPORTUNO</v>
      </c>
      <c r="M3120">
        <v>4</v>
      </c>
      <c r="N3120">
        <v>90.48</v>
      </c>
      <c r="O3120">
        <v>20.68965517241379</v>
      </c>
    </row>
    <row r="3121" spans="1:15" customFormat="1" hidden="1" x14ac:dyDescent="0.25">
      <c r="A3121" s="11">
        <v>46099</v>
      </c>
      <c r="B3121" t="s">
        <v>52</v>
      </c>
      <c r="C3121" t="s">
        <v>48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341"/>
        <v>25</v>
      </c>
      <c r="J3121" s="3">
        <f t="shared" si="342"/>
        <v>17</v>
      </c>
      <c r="K3121" s="3">
        <f t="shared" si="343"/>
        <v>8</v>
      </c>
      <c r="L3121" s="3" t="str">
        <f t="shared" si="337"/>
        <v>MUITO BOM</v>
      </c>
      <c r="M3121">
        <v>28</v>
      </c>
      <c r="N3121">
        <v>98.06</v>
      </c>
      <c r="O3121">
        <v>24.789915966386559</v>
      </c>
    </row>
    <row r="3122" spans="1:15" customFormat="1" hidden="1" x14ac:dyDescent="0.25">
      <c r="A3122" s="11">
        <v>46099</v>
      </c>
      <c r="B3122" t="s">
        <v>36</v>
      </c>
      <c r="C3122" t="s">
        <v>32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341"/>
        <v>30</v>
      </c>
      <c r="J3122" s="3">
        <f t="shared" si="342"/>
        <v>22</v>
      </c>
      <c r="K3122" s="3">
        <f t="shared" si="343"/>
        <v>8</v>
      </c>
      <c r="L3122" s="3" t="str">
        <f t="shared" si="337"/>
        <v>MUITO BOM</v>
      </c>
      <c r="M3122">
        <v>29</v>
      </c>
      <c r="N3122">
        <v>97.78</v>
      </c>
      <c r="O3122">
        <v>25.494071146245059</v>
      </c>
    </row>
    <row r="3123" spans="1:15" customFormat="1" hidden="1" x14ac:dyDescent="0.25">
      <c r="A3123" s="11">
        <v>46099</v>
      </c>
      <c r="B3123" t="s">
        <v>53</v>
      </c>
      <c r="C3123" t="s">
        <v>48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341"/>
        <v>24</v>
      </c>
      <c r="J3123" s="3">
        <f t="shared" si="342"/>
        <v>17</v>
      </c>
      <c r="K3123" s="3">
        <f t="shared" si="343"/>
        <v>7</v>
      </c>
      <c r="L3123" s="3" t="str">
        <f t="shared" si="337"/>
        <v>MUITO BOM</v>
      </c>
      <c r="M3123">
        <v>22</v>
      </c>
      <c r="N3123">
        <v>98.02</v>
      </c>
      <c r="O3123">
        <v>23.484848484848481</v>
      </c>
    </row>
    <row r="3124" spans="1:15" customFormat="1" hidden="1" x14ac:dyDescent="0.25">
      <c r="A3124" s="11">
        <v>46134</v>
      </c>
      <c r="B3124" t="s">
        <v>22</v>
      </c>
      <c r="C3124" t="s">
        <v>23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341"/>
        <v>18</v>
      </c>
      <c r="J3124" s="3">
        <f t="shared" si="342"/>
        <v>15</v>
      </c>
      <c r="K3124" s="3">
        <f t="shared" si="343"/>
        <v>3</v>
      </c>
      <c r="L3124" s="3" t="str">
        <f t="shared" si="337"/>
        <v>OPORTUNO</v>
      </c>
      <c r="M3124">
        <v>15</v>
      </c>
      <c r="N3124">
        <v>99.28</v>
      </c>
      <c r="O3124">
        <v>27.689243027888441</v>
      </c>
    </row>
    <row r="3125" spans="1:15" customFormat="1" hidden="1" x14ac:dyDescent="0.25">
      <c r="A3125" s="11">
        <v>46099</v>
      </c>
      <c r="B3125" t="s">
        <v>54</v>
      </c>
      <c r="C3125" t="s">
        <v>48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341"/>
        <v>27</v>
      </c>
      <c r="J3125" s="3">
        <f t="shared" si="342"/>
        <v>17</v>
      </c>
      <c r="K3125" s="3">
        <f t="shared" si="343"/>
        <v>10</v>
      </c>
      <c r="L3125" s="3" t="str">
        <f t="shared" si="337"/>
        <v>MUITO BOM</v>
      </c>
      <c r="M3125">
        <v>24</v>
      </c>
      <c r="N3125">
        <v>100</v>
      </c>
      <c r="O3125">
        <v>27.04918032786885</v>
      </c>
    </row>
    <row r="3126" spans="1:15" customFormat="1" hidden="1" x14ac:dyDescent="0.25">
      <c r="A3126" s="11">
        <v>46099</v>
      </c>
      <c r="B3126" t="s">
        <v>37</v>
      </c>
      <c r="C3126" t="s">
        <v>32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341"/>
        <v>40</v>
      </c>
      <c r="J3126" s="3">
        <f t="shared" si="342"/>
        <v>22</v>
      </c>
      <c r="K3126" s="3">
        <f t="shared" si="343"/>
        <v>18</v>
      </c>
      <c r="L3126" s="3" t="str">
        <f t="shared" si="337"/>
        <v>MUITO BOM</v>
      </c>
      <c r="M3126">
        <v>35</v>
      </c>
      <c r="N3126">
        <v>97.83</v>
      </c>
      <c r="O3126">
        <v>26.315789473684209</v>
      </c>
    </row>
    <row r="3127" spans="1:15" customFormat="1" hidden="1" x14ac:dyDescent="0.25">
      <c r="A3127" s="11">
        <v>46099</v>
      </c>
      <c r="B3127" t="s">
        <v>38</v>
      </c>
      <c r="C3127" t="s">
        <v>32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 t="shared" si="337"/>
        <v>OPORTUNO</v>
      </c>
      <c r="M3127">
        <v>7</v>
      </c>
      <c r="N3127">
        <v>100</v>
      </c>
      <c r="O3127">
        <v>26.701570680628269</v>
      </c>
    </row>
    <row r="3128" spans="1:15" customFormat="1" hidden="1" x14ac:dyDescent="0.25">
      <c r="A3128" s="11">
        <v>46099</v>
      </c>
      <c r="B3128" t="s">
        <v>55</v>
      </c>
      <c r="C3128" t="s">
        <v>48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17</v>
      </c>
      <c r="K3128" s="3">
        <f>I3128-J3128</f>
        <v>-1</v>
      </c>
      <c r="L3128" s="3" t="str">
        <f t="shared" si="337"/>
        <v>ATENÇÃO</v>
      </c>
      <c r="M3128">
        <v>16</v>
      </c>
      <c r="N3128">
        <v>97.47</v>
      </c>
      <c r="O3128">
        <v>22.887323943661968</v>
      </c>
    </row>
    <row r="3129" spans="1:15" customFormat="1" hidden="1" x14ac:dyDescent="0.25">
      <c r="A3129" s="11">
        <v>46099</v>
      </c>
      <c r="B3129" t="s">
        <v>39</v>
      </c>
      <c r="C3129" t="s">
        <v>32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 t="shared" si="337"/>
        <v>OPORTUNO</v>
      </c>
      <c r="M3129">
        <v>0</v>
      </c>
      <c r="N3129">
        <v>0</v>
      </c>
      <c r="O3129">
        <v>0</v>
      </c>
    </row>
    <row r="3130" spans="1:15" customFormat="1" hidden="1" x14ac:dyDescent="0.25">
      <c r="A3130" s="11">
        <v>46099</v>
      </c>
      <c r="B3130" t="s">
        <v>25</v>
      </c>
      <c r="C3130" t="s">
        <v>26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 t="shared" si="337"/>
        <v>MUITO BOM</v>
      </c>
      <c r="M3130">
        <v>14</v>
      </c>
      <c r="N3130">
        <v>98.31</v>
      </c>
      <c r="O3130">
        <v>24.920127795527151</v>
      </c>
    </row>
    <row r="3131" spans="1:15" customFormat="1" hidden="1" x14ac:dyDescent="0.25">
      <c r="A3131" s="11">
        <v>46099</v>
      </c>
      <c r="B3131" t="s">
        <v>40</v>
      </c>
      <c r="C3131" t="s">
        <v>32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22</v>
      </c>
      <c r="K3131" s="3">
        <f>I3131-J3131</f>
        <v>-15</v>
      </c>
      <c r="L3131" s="3" t="str">
        <f t="shared" ref="L3131:L3194" si="344">IF(K3131&lt;-5,"CRÍTICO",IF(K3131&lt;0,"ATENÇÃO",IF(K3131&lt;=5,"OPORTUNO","MUITO BOM")))</f>
        <v>CRÍTICO</v>
      </c>
      <c r="M3131">
        <v>8</v>
      </c>
      <c r="N3131">
        <v>96.81</v>
      </c>
      <c r="O3131">
        <v>32.365145228215773</v>
      </c>
    </row>
    <row r="3132" spans="1:15" customFormat="1" hidden="1" x14ac:dyDescent="0.25">
      <c r="A3132" s="11">
        <v>46099</v>
      </c>
      <c r="B3132" t="s">
        <v>27</v>
      </c>
      <c r="C3132" t="s">
        <v>26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 t="shared" si="344"/>
        <v>OPORTUNO</v>
      </c>
      <c r="M3132">
        <v>7</v>
      </c>
      <c r="N3132">
        <v>100</v>
      </c>
      <c r="O3132">
        <v>26.47058823529412</v>
      </c>
    </row>
    <row r="3133" spans="1:15" customFormat="1" hidden="1" x14ac:dyDescent="0.25">
      <c r="A3133" s="11">
        <v>46099</v>
      </c>
      <c r="B3133" t="s">
        <v>41</v>
      </c>
      <c r="C3133" t="s">
        <v>32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22</v>
      </c>
      <c r="K3133" s="3">
        <f>I3133-J3133</f>
        <v>-4</v>
      </c>
      <c r="L3133" s="3" t="str">
        <f t="shared" si="344"/>
        <v>ATENÇÃO</v>
      </c>
      <c r="M3133">
        <v>16</v>
      </c>
      <c r="N3133">
        <v>100</v>
      </c>
      <c r="O3133">
        <v>28.490028490028489</v>
      </c>
    </row>
    <row r="3134" spans="1:15" customFormat="1" hidden="1" x14ac:dyDescent="0.25">
      <c r="A3134" s="11">
        <v>46099</v>
      </c>
      <c r="B3134" t="s">
        <v>56</v>
      </c>
      <c r="C3134" t="s">
        <v>48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17</v>
      </c>
      <c r="K3134" s="3">
        <f>I3134-J3134</f>
        <v>12</v>
      </c>
      <c r="L3134" s="3" t="str">
        <f t="shared" si="344"/>
        <v>MUITO BOM</v>
      </c>
      <c r="M3134">
        <v>31</v>
      </c>
      <c r="N3134">
        <v>99.14</v>
      </c>
      <c r="O3134">
        <v>27.2289156626506</v>
      </c>
    </row>
    <row r="3135" spans="1:15" customFormat="1" hidden="1" x14ac:dyDescent="0.25">
      <c r="A3135" s="11">
        <v>46099</v>
      </c>
      <c r="B3135" t="s">
        <v>57</v>
      </c>
      <c r="C3135" t="s">
        <v>48</v>
      </c>
      <c r="D3135">
        <v>34</v>
      </c>
      <c r="E3135">
        <v>31</v>
      </c>
      <c r="F3135">
        <v>23.5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44"/>
        <v>OPORTUNO</v>
      </c>
      <c r="M3135">
        <v>26</v>
      </c>
      <c r="N3135">
        <v>97.52</v>
      </c>
      <c r="O3135">
        <v>28.205128205128201</v>
      </c>
    </row>
    <row r="3136" spans="1:15" customFormat="1" hidden="1" x14ac:dyDescent="0.25">
      <c r="A3136" s="11">
        <v>46099</v>
      </c>
      <c r="B3136" t="s">
        <v>42</v>
      </c>
      <c r="C3136" t="s">
        <v>32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 t="shared" si="344"/>
        <v>OPORTUNO</v>
      </c>
      <c r="M3136">
        <v>0</v>
      </c>
      <c r="N3136">
        <v>90</v>
      </c>
      <c r="O3136">
        <v>24.186046511627911</v>
      </c>
    </row>
    <row r="3137" spans="1:15" customFormat="1" hidden="1" x14ac:dyDescent="0.25">
      <c r="A3137" s="11">
        <v>46099</v>
      </c>
      <c r="B3137" t="s">
        <v>62</v>
      </c>
      <c r="C3137" t="s">
        <v>23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14</v>
      </c>
      <c r="K3137" s="3">
        <f>I3137-J3137</f>
        <v>5</v>
      </c>
      <c r="L3137" s="3" t="str">
        <f t="shared" si="344"/>
        <v>OPORTUNO</v>
      </c>
      <c r="M3137">
        <v>17</v>
      </c>
      <c r="N3137">
        <v>98.9</v>
      </c>
      <c r="O3137">
        <v>26.763990267639901</v>
      </c>
    </row>
    <row r="3138" spans="1:15" customFormat="1" hidden="1" x14ac:dyDescent="0.25">
      <c r="A3138" s="11">
        <v>46099</v>
      </c>
      <c r="B3138" t="s">
        <v>19</v>
      </c>
      <c r="C3138" t="s">
        <v>16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 t="shared" si="344"/>
        <v>ATENÇÃO</v>
      </c>
      <c r="M3138">
        <v>4</v>
      </c>
      <c r="N3138">
        <v>88.89</v>
      </c>
      <c r="O3138">
        <v>25.263157894736839</v>
      </c>
    </row>
    <row r="3139" spans="1:15" customFormat="1" hidden="1" x14ac:dyDescent="0.25">
      <c r="A3139" s="11">
        <v>46099</v>
      </c>
      <c r="B3139" t="s">
        <v>43</v>
      </c>
      <c r="C3139" t="s">
        <v>32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9</v>
      </c>
      <c r="L3139" s="3" t="str">
        <f t="shared" si="344"/>
        <v>MUITO BOM</v>
      </c>
      <c r="M3139">
        <v>33</v>
      </c>
      <c r="N3139">
        <v>98.86</v>
      </c>
      <c r="O3139">
        <v>28.959276018099551</v>
      </c>
    </row>
    <row r="3140" spans="1:15" customFormat="1" hidden="1" x14ac:dyDescent="0.25">
      <c r="A3140" s="11">
        <v>46099</v>
      </c>
      <c r="B3140" t="s">
        <v>44</v>
      </c>
      <c r="C3140" t="s">
        <v>32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22</v>
      </c>
      <c r="K3140" s="3">
        <f>I3140-J3140</f>
        <v>-19</v>
      </c>
      <c r="L3140" s="3" t="str">
        <f t="shared" si="344"/>
        <v>CRÍTICO</v>
      </c>
      <c r="M3140">
        <v>3</v>
      </c>
      <c r="N3140">
        <v>98.06</v>
      </c>
      <c r="O3140">
        <v>22.40566037735849</v>
      </c>
    </row>
    <row r="3141" spans="1:15" customFormat="1" hidden="1" x14ac:dyDescent="0.25">
      <c r="A3141" s="11">
        <v>46099</v>
      </c>
      <c r="B3141" t="s">
        <v>20</v>
      </c>
      <c r="C3141" t="s">
        <v>16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 t="shared" si="344"/>
        <v>OPORTUNO</v>
      </c>
      <c r="M3141">
        <v>3</v>
      </c>
      <c r="N3141">
        <v>95.83</v>
      </c>
      <c r="O3141">
        <v>25.773195876288661</v>
      </c>
    </row>
    <row r="3142" spans="1:15" customFormat="1" hidden="1" x14ac:dyDescent="0.25">
      <c r="A3142" s="11">
        <v>46099</v>
      </c>
      <c r="B3142" t="s">
        <v>28</v>
      </c>
      <c r="C3142" t="s">
        <v>26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 t="shared" si="344"/>
        <v>OPORTUNO</v>
      </c>
      <c r="M3142">
        <v>0</v>
      </c>
      <c r="N3142">
        <v>100</v>
      </c>
      <c r="O3142">
        <v>15.38461538461539</v>
      </c>
    </row>
    <row r="3143" spans="1:15" customFormat="1" hidden="1" x14ac:dyDescent="0.25">
      <c r="A3143" s="11">
        <v>46099</v>
      </c>
      <c r="B3143" t="s">
        <v>58</v>
      </c>
      <c r="C3143" t="s">
        <v>48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17</v>
      </c>
      <c r="K3143" s="3">
        <f>I3143-J3143</f>
        <v>-5</v>
      </c>
      <c r="L3143" s="3" t="str">
        <f t="shared" si="344"/>
        <v>ATENÇÃO</v>
      </c>
      <c r="M3143">
        <v>10</v>
      </c>
      <c r="N3143">
        <v>100</v>
      </c>
      <c r="O3143">
        <v>27.514792899408281</v>
      </c>
    </row>
    <row r="3144" spans="1:15" customFormat="1" hidden="1" x14ac:dyDescent="0.25">
      <c r="A3144" s="11">
        <v>46099</v>
      </c>
      <c r="B3144" t="s">
        <v>29</v>
      </c>
      <c r="C3144" t="s">
        <v>26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 t="shared" si="344"/>
        <v>OPORTUNO</v>
      </c>
      <c r="M3144">
        <v>9</v>
      </c>
      <c r="N3144">
        <v>100</v>
      </c>
      <c r="O3144">
        <v>24.875621890547269</v>
      </c>
    </row>
    <row r="3145" spans="1:15" customFormat="1" hidden="1" x14ac:dyDescent="0.25">
      <c r="A3145" s="11">
        <v>46099</v>
      </c>
      <c r="B3145" t="s">
        <v>30</v>
      </c>
      <c r="C3145" t="s">
        <v>26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 t="shared" si="344"/>
        <v>ATENÇÃO</v>
      </c>
      <c r="M3145">
        <v>10</v>
      </c>
      <c r="N3145">
        <v>100</v>
      </c>
      <c r="O3145">
        <v>28.108108108108109</v>
      </c>
    </row>
    <row r="3146" spans="1:15" customFormat="1" hidden="1" x14ac:dyDescent="0.25">
      <c r="A3146" s="11">
        <v>46099</v>
      </c>
      <c r="B3146" t="s">
        <v>21</v>
      </c>
      <c r="C3146" t="s">
        <v>16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 t="shared" si="344"/>
        <v>OPORTUNO</v>
      </c>
      <c r="M3146">
        <v>0</v>
      </c>
      <c r="N3146">
        <v>100</v>
      </c>
      <c r="O3146">
        <v>35</v>
      </c>
    </row>
    <row r="3147" spans="1:15" customFormat="1" hidden="1" x14ac:dyDescent="0.25">
      <c r="A3147" s="11">
        <v>46099</v>
      </c>
      <c r="B3147" t="s">
        <v>63</v>
      </c>
      <c r="C3147" t="s">
        <v>23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14</v>
      </c>
      <c r="K3147" s="3">
        <f>I3147-J3147</f>
        <v>4</v>
      </c>
      <c r="L3147" s="3" t="str">
        <f t="shared" si="344"/>
        <v>OPORTUNO</v>
      </c>
      <c r="M3147">
        <v>13</v>
      </c>
      <c r="N3147">
        <v>95.35</v>
      </c>
      <c r="O3147">
        <v>28.61538461538461</v>
      </c>
    </row>
    <row r="3148" spans="1:15" customFormat="1" hidden="1" x14ac:dyDescent="0.25">
      <c r="A3148" s="11">
        <v>46099</v>
      </c>
      <c r="B3148" t="s">
        <v>45</v>
      </c>
      <c r="C3148" t="s">
        <v>32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22</v>
      </c>
      <c r="K3148" s="3">
        <f>I3148-J3148</f>
        <v>12</v>
      </c>
      <c r="L3148" s="3" t="str">
        <f t="shared" si="344"/>
        <v>MUITO BOM</v>
      </c>
      <c r="M3148">
        <v>32</v>
      </c>
      <c r="N3148">
        <v>98.26</v>
      </c>
      <c r="O3148">
        <v>27.54491017964072</v>
      </c>
    </row>
    <row r="3149" spans="1:15" customFormat="1" hidden="1" x14ac:dyDescent="0.25">
      <c r="A3149" s="11">
        <v>46099</v>
      </c>
      <c r="B3149" t="s">
        <v>64</v>
      </c>
      <c r="C3149" t="s">
        <v>23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14</v>
      </c>
      <c r="K3149" s="3">
        <f>I3149-J3149</f>
        <v>-2</v>
      </c>
      <c r="L3149" s="3" t="str">
        <f t="shared" si="344"/>
        <v>ATENÇÃO</v>
      </c>
      <c r="M3149">
        <v>10</v>
      </c>
      <c r="N3149">
        <v>98.55</v>
      </c>
      <c r="O3149">
        <v>25.337837837837839</v>
      </c>
    </row>
    <row r="3150" spans="1:15" customFormat="1" hidden="1" x14ac:dyDescent="0.25">
      <c r="A3150" s="11">
        <v>46099</v>
      </c>
      <c r="B3150" t="s">
        <v>46</v>
      </c>
      <c r="C3150" t="s">
        <v>32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22</v>
      </c>
      <c r="K3150" s="3">
        <f>I3150-J3150</f>
        <v>5</v>
      </c>
      <c r="L3150" s="3" t="str">
        <f t="shared" si="344"/>
        <v>OPORTUNO</v>
      </c>
      <c r="M3150">
        <v>22</v>
      </c>
      <c r="N3150">
        <v>98.39</v>
      </c>
      <c r="O3150">
        <v>25.563909774436091</v>
      </c>
    </row>
    <row r="3151" spans="1:15" customFormat="1" hidden="1" x14ac:dyDescent="0.25">
      <c r="A3151" s="11">
        <v>46100</v>
      </c>
      <c r="B3151" t="s">
        <v>47</v>
      </c>
      <c r="C3151" t="s">
        <v>48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18</v>
      </c>
      <c r="K3151" s="3">
        <f>I3151-J3151</f>
        <v>2</v>
      </c>
      <c r="L3151" s="3" t="str">
        <f t="shared" si="344"/>
        <v>OPORTUNO</v>
      </c>
      <c r="M3151">
        <v>12</v>
      </c>
      <c r="N3151">
        <v>94.29</v>
      </c>
      <c r="O3151">
        <v>25.647668393782389</v>
      </c>
    </row>
    <row r="3152" spans="1:15" customFormat="1" hidden="1" x14ac:dyDescent="0.25">
      <c r="A3152" s="11">
        <v>46100</v>
      </c>
      <c r="B3152" t="s">
        <v>31</v>
      </c>
      <c r="C3152" t="s">
        <v>32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 t="shared" si="344"/>
        <v>OPORTUNO</v>
      </c>
      <c r="M3152">
        <v>10</v>
      </c>
      <c r="N3152">
        <v>98.26</v>
      </c>
      <c r="O3152">
        <v>26.666666666666671</v>
      </c>
    </row>
    <row r="3153" spans="1:15" customFormat="1" hidden="1" x14ac:dyDescent="0.25">
      <c r="A3153" s="11">
        <v>46100</v>
      </c>
      <c r="B3153" t="s">
        <v>59</v>
      </c>
      <c r="C3153" t="s">
        <v>23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 t="shared" si="344"/>
        <v>MUITO BOM</v>
      </c>
      <c r="M3153">
        <v>39</v>
      </c>
      <c r="N3153">
        <v>98.2</v>
      </c>
      <c r="O3153">
        <v>23.37962962962963</v>
      </c>
    </row>
    <row r="3154" spans="1:15" customFormat="1" hidden="1" x14ac:dyDescent="0.25">
      <c r="A3154" s="11">
        <v>46100</v>
      </c>
      <c r="B3154" t="s">
        <v>33</v>
      </c>
      <c r="C3154" t="s">
        <v>32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22</v>
      </c>
      <c r="K3154" s="3">
        <f>I3154-J3154</f>
        <v>-14</v>
      </c>
      <c r="L3154" s="3" t="str">
        <f t="shared" si="344"/>
        <v>CRÍTICO</v>
      </c>
      <c r="M3154">
        <v>9</v>
      </c>
      <c r="N3154">
        <v>97.3</v>
      </c>
      <c r="O3154">
        <v>23.84769539078156</v>
      </c>
    </row>
    <row r="3155" spans="1:15" customFormat="1" hidden="1" x14ac:dyDescent="0.25">
      <c r="A3155" s="11">
        <v>46100</v>
      </c>
      <c r="B3155" t="s">
        <v>15</v>
      </c>
      <c r="C3155" t="s">
        <v>16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 t="shared" si="344"/>
        <v>MUITO BOM</v>
      </c>
      <c r="M3155">
        <v>11</v>
      </c>
      <c r="N3155">
        <v>100</v>
      </c>
      <c r="O3155">
        <v>25.268817204301079</v>
      </c>
    </row>
    <row r="3156" spans="1:15" customFormat="1" hidden="1" x14ac:dyDescent="0.25">
      <c r="A3156" s="11">
        <v>46100</v>
      </c>
      <c r="B3156" t="s">
        <v>49</v>
      </c>
      <c r="C3156" t="s">
        <v>48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4</v>
      </c>
      <c r="L3156" s="3" t="str">
        <f t="shared" si="344"/>
        <v>OPORTUNO</v>
      </c>
      <c r="M3156">
        <v>22</v>
      </c>
      <c r="N3156">
        <v>99.32</v>
      </c>
      <c r="O3156">
        <v>22.822822822822818</v>
      </c>
    </row>
    <row r="3157" spans="1:15" customFormat="1" hidden="1" x14ac:dyDescent="0.25">
      <c r="A3157" s="11">
        <v>46100</v>
      </c>
      <c r="B3157" t="s">
        <v>50</v>
      </c>
      <c r="C3157" t="s">
        <v>48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18</v>
      </c>
      <c r="K3157" s="3">
        <f>I3157-J3157</f>
        <v>6</v>
      </c>
      <c r="L3157" s="3" t="str">
        <f t="shared" si="344"/>
        <v>MUITO BOM</v>
      </c>
      <c r="M3157">
        <v>24</v>
      </c>
      <c r="N3157">
        <v>100</v>
      </c>
      <c r="O3157">
        <v>27.966101694915249</v>
      </c>
    </row>
    <row r="3158" spans="1:15" customFormat="1" hidden="1" x14ac:dyDescent="0.25">
      <c r="A3158" s="11">
        <v>46100</v>
      </c>
      <c r="B3158" t="s">
        <v>17</v>
      </c>
      <c r="C3158" t="s">
        <v>16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 t="shared" si="344"/>
        <v>OPORTUNO</v>
      </c>
      <c r="M3158">
        <v>0</v>
      </c>
      <c r="N3158">
        <v>100</v>
      </c>
      <c r="O3158">
        <v>30.434782608695659</v>
      </c>
    </row>
    <row r="3159" spans="1:15" customFormat="1" hidden="1" x14ac:dyDescent="0.25">
      <c r="A3159" s="11">
        <v>46100</v>
      </c>
      <c r="B3159" t="s">
        <v>60</v>
      </c>
      <c r="C3159" t="s">
        <v>23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 t="shared" si="344"/>
        <v>MUITO BOM</v>
      </c>
      <c r="M3159">
        <v>26</v>
      </c>
      <c r="N3159">
        <v>96.51</v>
      </c>
      <c r="O3159">
        <v>22.802850356294542</v>
      </c>
    </row>
    <row r="3160" spans="1:15" customFormat="1" hidden="1" x14ac:dyDescent="0.25">
      <c r="A3160" s="11">
        <v>46100</v>
      </c>
      <c r="B3160" t="s">
        <v>34</v>
      </c>
      <c r="C3160" t="s">
        <v>32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44"/>
        <v>OPORTUNO</v>
      </c>
      <c r="M3160">
        <v>10</v>
      </c>
      <c r="N3160">
        <v>92.68</v>
      </c>
      <c r="O3160">
        <v>27.777777777777779</v>
      </c>
    </row>
    <row r="3161" spans="1:15" customFormat="1" hidden="1" x14ac:dyDescent="0.25">
      <c r="A3161" s="11">
        <v>46100</v>
      </c>
      <c r="B3161" t="s">
        <v>51</v>
      </c>
      <c r="C3161" t="s">
        <v>48</v>
      </c>
      <c r="D3161">
        <v>20</v>
      </c>
      <c r="E3161">
        <v>19</v>
      </c>
      <c r="F3161">
        <v>21.43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 t="shared" si="344"/>
        <v>OPORTUNO</v>
      </c>
      <c r="M3161">
        <v>17</v>
      </c>
      <c r="N3161">
        <v>99.03</v>
      </c>
      <c r="O3161">
        <v>23.991507430997881</v>
      </c>
    </row>
    <row r="3162" spans="1:15" customFormat="1" hidden="1" x14ac:dyDescent="0.25">
      <c r="A3162" s="11">
        <v>46100</v>
      </c>
      <c r="B3162" t="s">
        <v>61</v>
      </c>
      <c r="C3162" t="s">
        <v>23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 t="shared" si="344"/>
        <v>MUITO BOM</v>
      </c>
      <c r="M3162">
        <v>9</v>
      </c>
      <c r="N3162">
        <v>98.41</v>
      </c>
      <c r="O3162">
        <v>28.138528138528141</v>
      </c>
    </row>
    <row r="3163" spans="1:15" customFormat="1" hidden="1" x14ac:dyDescent="0.25">
      <c r="A3163" s="11">
        <v>46100</v>
      </c>
      <c r="B3163" t="s">
        <v>35</v>
      </c>
      <c r="C3163" t="s">
        <v>32</v>
      </c>
      <c r="D3163">
        <v>22</v>
      </c>
      <c r="E3163">
        <v>21</v>
      </c>
      <c r="F3163">
        <v>30.31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 t="shared" si="344"/>
        <v>OPORTUNO</v>
      </c>
      <c r="M3163">
        <v>22</v>
      </c>
      <c r="N3163">
        <v>98.73</v>
      </c>
      <c r="O3163">
        <v>29.142857142857139</v>
      </c>
    </row>
    <row r="3164" spans="1:15" customFormat="1" hidden="1" x14ac:dyDescent="0.25">
      <c r="A3164" s="11">
        <v>46100</v>
      </c>
      <c r="B3164" t="s">
        <v>18</v>
      </c>
      <c r="C3164" t="s">
        <v>16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ref="I3164:I3172" si="345">E3164+G3164+H3164</f>
        <v>8</v>
      </c>
      <c r="J3164" s="3">
        <f t="shared" ref="J3164:J3172" si="346"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 t="shared" ref="K3164:K3172" si="347">I3164-J3164</f>
        <v>2</v>
      </c>
      <c r="L3164" s="3" t="str">
        <f t="shared" si="344"/>
        <v>OPORTUNO</v>
      </c>
      <c r="M3164">
        <v>6</v>
      </c>
      <c r="N3164">
        <v>90.48</v>
      </c>
      <c r="O3164">
        <v>20.68965517241379</v>
      </c>
    </row>
    <row r="3165" spans="1:15" customFormat="1" hidden="1" x14ac:dyDescent="0.25">
      <c r="A3165" s="11">
        <v>46100</v>
      </c>
      <c r="B3165" t="s">
        <v>52</v>
      </c>
      <c r="C3165" t="s">
        <v>48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345"/>
        <v>19</v>
      </c>
      <c r="J3165" s="3">
        <f t="shared" si="346"/>
        <v>18</v>
      </c>
      <c r="K3165" s="3">
        <f t="shared" si="347"/>
        <v>1</v>
      </c>
      <c r="L3165" s="3" t="str">
        <f t="shared" si="344"/>
        <v>OPORTUNO</v>
      </c>
      <c r="M3165">
        <v>16</v>
      </c>
      <c r="N3165">
        <v>98.06</v>
      </c>
      <c r="O3165">
        <v>24.789915966386559</v>
      </c>
    </row>
    <row r="3166" spans="1:15" customFormat="1" hidden="1" x14ac:dyDescent="0.25">
      <c r="A3166" s="11">
        <v>46100</v>
      </c>
      <c r="B3166" t="s">
        <v>36</v>
      </c>
      <c r="C3166" t="s">
        <v>32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345"/>
        <v>27</v>
      </c>
      <c r="J3166" s="3">
        <f t="shared" si="346"/>
        <v>22</v>
      </c>
      <c r="K3166" s="3">
        <f t="shared" si="347"/>
        <v>5</v>
      </c>
      <c r="L3166" s="3" t="str">
        <f t="shared" si="344"/>
        <v>OPORTUNO</v>
      </c>
      <c r="M3166">
        <v>23</v>
      </c>
      <c r="N3166">
        <v>97.78</v>
      </c>
      <c r="O3166">
        <v>25.494071146245059</v>
      </c>
    </row>
    <row r="3167" spans="1:15" customFormat="1" hidden="1" x14ac:dyDescent="0.25">
      <c r="A3167" s="11">
        <v>46100</v>
      </c>
      <c r="B3167" t="s">
        <v>53</v>
      </c>
      <c r="C3167" t="s">
        <v>48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345"/>
        <v>15</v>
      </c>
      <c r="J3167" s="3">
        <f t="shared" si="346"/>
        <v>18</v>
      </c>
      <c r="K3167" s="3">
        <f t="shared" si="347"/>
        <v>-3</v>
      </c>
      <c r="L3167" s="3" t="str">
        <f t="shared" si="344"/>
        <v>ATENÇÃO</v>
      </c>
      <c r="M3167">
        <v>10</v>
      </c>
      <c r="N3167">
        <v>98.02</v>
      </c>
      <c r="O3167">
        <v>23.484848484848481</v>
      </c>
    </row>
    <row r="3168" spans="1:15" customFormat="1" hidden="1" x14ac:dyDescent="0.25">
      <c r="A3168" s="11">
        <v>46135</v>
      </c>
      <c r="B3168" t="s">
        <v>22</v>
      </c>
      <c r="C3168" t="s">
        <v>23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345"/>
        <v>21</v>
      </c>
      <c r="J3168" s="3">
        <f t="shared" si="346"/>
        <v>16</v>
      </c>
      <c r="K3168" s="3">
        <f t="shared" si="347"/>
        <v>5</v>
      </c>
      <c r="L3168" s="3" t="str">
        <f t="shared" si="344"/>
        <v>OPORTUNO</v>
      </c>
      <c r="M3168">
        <v>18</v>
      </c>
      <c r="N3168">
        <v>99.28</v>
      </c>
      <c r="O3168">
        <v>27.689243027888441</v>
      </c>
    </row>
    <row r="3169" spans="1:15" customFormat="1" hidden="1" x14ac:dyDescent="0.25">
      <c r="A3169" s="11">
        <v>46100</v>
      </c>
      <c r="B3169" t="s">
        <v>54</v>
      </c>
      <c r="C3169" t="s">
        <v>48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345"/>
        <v>22</v>
      </c>
      <c r="J3169" s="3">
        <f t="shared" si="346"/>
        <v>18</v>
      </c>
      <c r="K3169" s="3">
        <f t="shared" si="347"/>
        <v>4</v>
      </c>
      <c r="L3169" s="3" t="str">
        <f t="shared" si="344"/>
        <v>OPORTUNO</v>
      </c>
      <c r="M3169">
        <v>18</v>
      </c>
      <c r="N3169">
        <v>100</v>
      </c>
      <c r="O3169">
        <v>27.04918032786885</v>
      </c>
    </row>
    <row r="3170" spans="1:15" customFormat="1" hidden="1" x14ac:dyDescent="0.25">
      <c r="A3170" s="11">
        <v>46100</v>
      </c>
      <c r="B3170" t="s">
        <v>37</v>
      </c>
      <c r="C3170" t="s">
        <v>32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345"/>
        <v>41</v>
      </c>
      <c r="J3170" s="3">
        <f t="shared" si="346"/>
        <v>22</v>
      </c>
      <c r="K3170" s="3">
        <f t="shared" si="347"/>
        <v>19</v>
      </c>
      <c r="L3170" s="3" t="str">
        <f t="shared" si="344"/>
        <v>MUITO BOM</v>
      </c>
      <c r="M3170">
        <v>33</v>
      </c>
      <c r="N3170">
        <v>97.83</v>
      </c>
      <c r="O3170">
        <v>26.315789473684209</v>
      </c>
    </row>
    <row r="3171" spans="1:15" customFormat="1" hidden="1" x14ac:dyDescent="0.25">
      <c r="A3171" s="11">
        <v>46100</v>
      </c>
      <c r="B3171" t="s">
        <v>38</v>
      </c>
      <c r="C3171" t="s">
        <v>32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345"/>
        <v>1</v>
      </c>
      <c r="J3171" s="3">
        <f t="shared" si="346"/>
        <v>22</v>
      </c>
      <c r="K3171" s="3">
        <f t="shared" si="347"/>
        <v>-21</v>
      </c>
      <c r="L3171" s="3" t="str">
        <f t="shared" si="344"/>
        <v>CRÍTICO</v>
      </c>
      <c r="M3171">
        <v>8</v>
      </c>
      <c r="N3171">
        <v>100</v>
      </c>
      <c r="O3171">
        <v>26.701570680628269</v>
      </c>
    </row>
    <row r="3172" spans="1:15" customFormat="1" hidden="1" x14ac:dyDescent="0.25">
      <c r="A3172" s="11">
        <v>46100</v>
      </c>
      <c r="B3172" t="s">
        <v>55</v>
      </c>
      <c r="C3172" t="s">
        <v>48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345"/>
        <v>2</v>
      </c>
      <c r="J3172" s="3">
        <f t="shared" si="346"/>
        <v>18</v>
      </c>
      <c r="K3172" s="3">
        <f t="shared" si="347"/>
        <v>-16</v>
      </c>
      <c r="L3172" s="3" t="str">
        <f t="shared" si="344"/>
        <v>CRÍTICO</v>
      </c>
      <c r="M3172">
        <v>1</v>
      </c>
      <c r="N3172">
        <v>97.47</v>
      </c>
      <c r="O3172">
        <v>22.887323943661968</v>
      </c>
    </row>
    <row r="3173" spans="1:15" customFormat="1" hidden="1" x14ac:dyDescent="0.25">
      <c r="A3173" s="11">
        <v>46100</v>
      </c>
      <c r="B3173" t="s">
        <v>39</v>
      </c>
      <c r="C3173" t="s">
        <v>32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 t="shared" si="344"/>
        <v>OPORTUNO</v>
      </c>
      <c r="M3173">
        <v>0</v>
      </c>
      <c r="N3173">
        <v>0</v>
      </c>
      <c r="O3173">
        <v>0</v>
      </c>
    </row>
    <row r="3174" spans="1:15" customFormat="1" hidden="1" x14ac:dyDescent="0.25">
      <c r="A3174" s="11">
        <v>46100</v>
      </c>
      <c r="B3174" t="s">
        <v>25</v>
      </c>
      <c r="C3174" t="s">
        <v>26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13</v>
      </c>
      <c r="K3174" s="3">
        <f>I3174-J3174</f>
        <v>6</v>
      </c>
      <c r="L3174" s="3" t="str">
        <f t="shared" si="344"/>
        <v>MUITO BOM</v>
      </c>
      <c r="M3174">
        <v>18</v>
      </c>
      <c r="N3174">
        <v>98.31</v>
      </c>
      <c r="O3174">
        <v>24.920127795527151</v>
      </c>
    </row>
    <row r="3175" spans="1:15" customFormat="1" hidden="1" x14ac:dyDescent="0.25">
      <c r="A3175" s="11">
        <v>46100</v>
      </c>
      <c r="B3175" t="s">
        <v>40</v>
      </c>
      <c r="C3175" t="s">
        <v>32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22</v>
      </c>
      <c r="K3175" s="3">
        <f>I3175-J3175</f>
        <v>-4</v>
      </c>
      <c r="L3175" s="3" t="str">
        <f t="shared" si="344"/>
        <v>ATENÇÃO</v>
      </c>
      <c r="M3175">
        <v>18</v>
      </c>
      <c r="N3175">
        <v>96.81</v>
      </c>
      <c r="O3175">
        <v>32.365145228215773</v>
      </c>
    </row>
    <row r="3176" spans="1:15" customFormat="1" hidden="1" x14ac:dyDescent="0.25">
      <c r="A3176" s="11">
        <v>46100</v>
      </c>
      <c r="B3176" t="s">
        <v>27</v>
      </c>
      <c r="C3176" t="s">
        <v>26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13</v>
      </c>
      <c r="K3176" s="3">
        <f>I3176-J3176</f>
        <v>0</v>
      </c>
      <c r="L3176" s="3" t="str">
        <f t="shared" si="344"/>
        <v>OPORTUNO</v>
      </c>
      <c r="M3176">
        <v>8</v>
      </c>
      <c r="N3176">
        <v>100</v>
      </c>
      <c r="O3176">
        <v>26.47058823529412</v>
      </c>
    </row>
    <row r="3177" spans="1:15" customFormat="1" hidden="1" x14ac:dyDescent="0.25">
      <c r="A3177" s="11">
        <v>46100</v>
      </c>
      <c r="B3177" t="s">
        <v>41</v>
      </c>
      <c r="C3177" t="s">
        <v>32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22</v>
      </c>
      <c r="K3177" s="3">
        <f>I3177-J3177</f>
        <v>-8</v>
      </c>
      <c r="L3177" s="3" t="str">
        <f t="shared" si="344"/>
        <v>CRÍTICO</v>
      </c>
      <c r="M3177">
        <v>13</v>
      </c>
      <c r="N3177">
        <v>100</v>
      </c>
      <c r="O3177">
        <v>28.490028490028489</v>
      </c>
    </row>
    <row r="3178" spans="1:15" customFormat="1" hidden="1" x14ac:dyDescent="0.25">
      <c r="A3178" s="11">
        <v>46100</v>
      </c>
      <c r="B3178" t="s">
        <v>56</v>
      </c>
      <c r="C3178" t="s">
        <v>48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18</v>
      </c>
      <c r="K3178" s="3">
        <f>I3178-J3178</f>
        <v>0</v>
      </c>
      <c r="L3178" s="3" t="str">
        <f t="shared" si="344"/>
        <v>OPORTUNO</v>
      </c>
      <c r="M3178">
        <v>10</v>
      </c>
      <c r="N3178">
        <v>99.14</v>
      </c>
      <c r="O3178">
        <v>27.2289156626506</v>
      </c>
    </row>
    <row r="3179" spans="1:15" customFormat="1" hidden="1" x14ac:dyDescent="0.25">
      <c r="A3179" s="11">
        <v>46100</v>
      </c>
      <c r="B3179" t="s">
        <v>57</v>
      </c>
      <c r="C3179" t="s">
        <v>48</v>
      </c>
      <c r="D3179">
        <v>25</v>
      </c>
      <c r="E3179">
        <v>24</v>
      </c>
      <c r="F3179">
        <v>25.3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44"/>
        <v>OPORTUNO</v>
      </c>
      <c r="M3179">
        <v>20</v>
      </c>
      <c r="N3179">
        <v>97.52</v>
      </c>
      <c r="O3179">
        <v>28.205128205128201</v>
      </c>
    </row>
    <row r="3180" spans="1:15" customFormat="1" hidden="1" x14ac:dyDescent="0.25">
      <c r="A3180" s="11">
        <v>46100</v>
      </c>
      <c r="B3180" t="s">
        <v>42</v>
      </c>
      <c r="C3180" t="s">
        <v>32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 t="shared" si="344"/>
        <v>OPORTUNO</v>
      </c>
      <c r="M3180">
        <v>0</v>
      </c>
      <c r="N3180">
        <v>90</v>
      </c>
      <c r="O3180">
        <v>24.186046511627911</v>
      </c>
    </row>
    <row r="3181" spans="1:15" customFormat="1" hidden="1" x14ac:dyDescent="0.25">
      <c r="A3181" s="11">
        <v>46100</v>
      </c>
      <c r="B3181" t="s">
        <v>62</v>
      </c>
      <c r="C3181" t="s">
        <v>23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 t="shared" si="344"/>
        <v>OPORTUNO</v>
      </c>
      <c r="M3181">
        <v>12</v>
      </c>
      <c r="N3181">
        <v>98.9</v>
      </c>
      <c r="O3181">
        <v>26.763990267639901</v>
      </c>
    </row>
    <row r="3182" spans="1:15" customFormat="1" hidden="1" x14ac:dyDescent="0.25">
      <c r="A3182" s="11">
        <v>46100</v>
      </c>
      <c r="B3182" t="s">
        <v>19</v>
      </c>
      <c r="C3182" t="s">
        <v>16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 t="shared" si="344"/>
        <v>OPORTUNO</v>
      </c>
      <c r="M3182">
        <v>0</v>
      </c>
      <c r="N3182">
        <v>88.89</v>
      </c>
      <c r="O3182">
        <v>25.263157894736839</v>
      </c>
    </row>
    <row r="3183" spans="1:15" customFormat="1" hidden="1" x14ac:dyDescent="0.25">
      <c r="A3183" s="11">
        <v>46100</v>
      </c>
      <c r="B3183" t="s">
        <v>43</v>
      </c>
      <c r="C3183" t="s">
        <v>32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22</v>
      </c>
      <c r="K3183" s="3">
        <f>I3183-J3183</f>
        <v>8</v>
      </c>
      <c r="L3183" s="3" t="str">
        <f t="shared" si="344"/>
        <v>MUITO BOM</v>
      </c>
      <c r="M3183">
        <v>28</v>
      </c>
      <c r="N3183">
        <v>98.86</v>
      </c>
      <c r="O3183">
        <v>28.959276018099551</v>
      </c>
    </row>
    <row r="3184" spans="1:15" customFormat="1" hidden="1" x14ac:dyDescent="0.25">
      <c r="A3184" s="11">
        <v>46100</v>
      </c>
      <c r="B3184" t="s">
        <v>44</v>
      </c>
      <c r="C3184" t="s">
        <v>32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 t="shared" si="344"/>
        <v>OPORTUNO</v>
      </c>
      <c r="M3184">
        <v>0</v>
      </c>
      <c r="N3184">
        <v>98.06</v>
      </c>
      <c r="O3184">
        <v>22.40566037735849</v>
      </c>
    </row>
    <row r="3185" spans="1:15" customFormat="1" hidden="1" x14ac:dyDescent="0.25">
      <c r="A3185" s="11">
        <v>46100</v>
      </c>
      <c r="B3185" t="s">
        <v>20</v>
      </c>
      <c r="C3185" t="s">
        <v>16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 t="shared" si="344"/>
        <v>OPORTUNO</v>
      </c>
      <c r="M3185">
        <v>4</v>
      </c>
      <c r="N3185">
        <v>95.83</v>
      </c>
      <c r="O3185">
        <v>25.773195876288661</v>
      </c>
    </row>
    <row r="3186" spans="1:15" customFormat="1" hidden="1" x14ac:dyDescent="0.25">
      <c r="A3186" s="11">
        <v>46100</v>
      </c>
      <c r="B3186" t="s">
        <v>28</v>
      </c>
      <c r="C3186" t="s">
        <v>26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44"/>
        <v>OPORTUNO</v>
      </c>
      <c r="M3186">
        <v>0</v>
      </c>
      <c r="N3186">
        <v>100</v>
      </c>
      <c r="O3186">
        <v>15.38461538461539</v>
      </c>
    </row>
    <row r="3187" spans="1:15" customFormat="1" hidden="1" x14ac:dyDescent="0.25">
      <c r="A3187" s="11">
        <v>46100</v>
      </c>
      <c r="B3187" t="s">
        <v>58</v>
      </c>
      <c r="C3187" t="s">
        <v>48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 t="shared" si="344"/>
        <v>OPORTUNO</v>
      </c>
      <c r="M3187">
        <v>0</v>
      </c>
      <c r="N3187">
        <v>100</v>
      </c>
      <c r="O3187">
        <v>27.514792899408281</v>
      </c>
    </row>
    <row r="3188" spans="1:15" customFormat="1" hidden="1" x14ac:dyDescent="0.25">
      <c r="A3188" s="11">
        <v>46100</v>
      </c>
      <c r="B3188" t="s">
        <v>29</v>
      </c>
      <c r="C3188" t="s">
        <v>26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-1</v>
      </c>
      <c r="L3188" s="3" t="str">
        <f t="shared" si="344"/>
        <v>ATENÇÃO</v>
      </c>
      <c r="M3188">
        <v>9</v>
      </c>
      <c r="N3188">
        <v>100</v>
      </c>
      <c r="O3188">
        <v>24.875621890547269</v>
      </c>
    </row>
    <row r="3189" spans="1:15" customFormat="1" hidden="1" x14ac:dyDescent="0.25">
      <c r="A3189" s="11">
        <v>46100</v>
      </c>
      <c r="B3189" t="s">
        <v>30</v>
      </c>
      <c r="C3189" t="s">
        <v>26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13</v>
      </c>
      <c r="K3189" s="3">
        <f>I3189-J3189</f>
        <v>-5</v>
      </c>
      <c r="L3189" s="3" t="str">
        <f t="shared" si="344"/>
        <v>ATENÇÃO</v>
      </c>
      <c r="M3189">
        <v>7</v>
      </c>
      <c r="N3189">
        <v>100</v>
      </c>
      <c r="O3189">
        <v>28.108108108108109</v>
      </c>
    </row>
    <row r="3190" spans="1:15" customFormat="1" hidden="1" x14ac:dyDescent="0.25">
      <c r="A3190" s="11">
        <v>46100</v>
      </c>
      <c r="B3190" t="s">
        <v>21</v>
      </c>
      <c r="C3190" t="s">
        <v>16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 t="shared" si="344"/>
        <v>OPORTUNO</v>
      </c>
      <c r="M3190">
        <v>0</v>
      </c>
      <c r="N3190">
        <v>100</v>
      </c>
      <c r="O3190">
        <v>35</v>
      </c>
    </row>
    <row r="3191" spans="1:15" customFormat="1" hidden="1" x14ac:dyDescent="0.25">
      <c r="A3191" s="11">
        <v>46100</v>
      </c>
      <c r="B3191" t="s">
        <v>63</v>
      </c>
      <c r="C3191" t="s">
        <v>23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 t="shared" si="344"/>
        <v>MUITO BOM</v>
      </c>
      <c r="M3191">
        <v>21</v>
      </c>
      <c r="N3191">
        <v>95.35</v>
      </c>
      <c r="O3191">
        <v>28.61538461538461</v>
      </c>
    </row>
    <row r="3192" spans="1:15" customFormat="1" hidden="1" x14ac:dyDescent="0.25">
      <c r="A3192" s="11">
        <v>46100</v>
      </c>
      <c r="B3192" t="s">
        <v>45</v>
      </c>
      <c r="C3192" t="s">
        <v>32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22</v>
      </c>
      <c r="K3192" s="3">
        <f>I3192-J3192</f>
        <v>16</v>
      </c>
      <c r="L3192" s="3" t="str">
        <f t="shared" si="344"/>
        <v>MUITO BOM</v>
      </c>
      <c r="M3192">
        <v>33</v>
      </c>
      <c r="N3192">
        <v>98.26</v>
      </c>
      <c r="O3192">
        <v>27.54491017964072</v>
      </c>
    </row>
    <row r="3193" spans="1:15" customFormat="1" hidden="1" x14ac:dyDescent="0.25">
      <c r="A3193" s="11">
        <v>46100</v>
      </c>
      <c r="B3193" t="s">
        <v>64</v>
      </c>
      <c r="C3193" t="s">
        <v>23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 t="shared" si="344"/>
        <v>OPORTUNO</v>
      </c>
      <c r="M3193">
        <v>18</v>
      </c>
      <c r="N3193">
        <v>98.55</v>
      </c>
      <c r="O3193">
        <v>25.337837837837839</v>
      </c>
    </row>
    <row r="3194" spans="1:15" customFormat="1" hidden="1" x14ac:dyDescent="0.25">
      <c r="A3194" s="11">
        <v>46100</v>
      </c>
      <c r="B3194" t="s">
        <v>46</v>
      </c>
      <c r="C3194" t="s">
        <v>32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22</v>
      </c>
      <c r="K3194" s="3">
        <f>I3194-J3194</f>
        <v>5</v>
      </c>
      <c r="L3194" s="3" t="str">
        <f t="shared" si="344"/>
        <v>OPORTUNO</v>
      </c>
      <c r="M3194">
        <v>20</v>
      </c>
      <c r="N3194">
        <v>98.39</v>
      </c>
      <c r="O3194">
        <v>25.563909774436091</v>
      </c>
    </row>
    <row r="3195" spans="1:15" customFormat="1" hidden="1" x14ac:dyDescent="0.25">
      <c r="A3195" s="11">
        <v>46101</v>
      </c>
      <c r="B3195" t="s">
        <v>47</v>
      </c>
      <c r="C3195" t="s">
        <v>48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17</v>
      </c>
      <c r="K3195" s="3">
        <f>I3195-J3195</f>
        <v>-5</v>
      </c>
      <c r="L3195" s="3" t="str">
        <f t="shared" ref="L3195:L3258" si="348">IF(K3195&lt;-5,"CRÍTICO",IF(K3195&lt;0,"ATENÇÃO",IF(K3195&lt;=5,"OPORTUNO","MUITO BOM")))</f>
        <v>ATENÇÃO</v>
      </c>
      <c r="M3195">
        <v>14</v>
      </c>
      <c r="N3195">
        <v>94.29</v>
      </c>
      <c r="O3195">
        <v>25.647668393782389</v>
      </c>
    </row>
    <row r="3196" spans="1:15" customFormat="1" hidden="1" x14ac:dyDescent="0.25">
      <c r="A3196" s="11">
        <v>46101</v>
      </c>
      <c r="B3196" t="s">
        <v>31</v>
      </c>
      <c r="C3196" t="s">
        <v>32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 t="shared" si="348"/>
        <v>OPORTUNO</v>
      </c>
      <c r="M3196">
        <v>7</v>
      </c>
      <c r="N3196">
        <v>98.26</v>
      </c>
      <c r="O3196">
        <v>26.666666666666671</v>
      </c>
    </row>
    <row r="3197" spans="1:15" customFormat="1" hidden="1" x14ac:dyDescent="0.25">
      <c r="A3197" s="11">
        <v>46101</v>
      </c>
      <c r="B3197" t="s">
        <v>59</v>
      </c>
      <c r="C3197" t="s">
        <v>23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14</v>
      </c>
      <c r="K3197" s="3">
        <f>I3197-J3197</f>
        <v>4</v>
      </c>
      <c r="L3197" s="3" t="str">
        <f t="shared" si="348"/>
        <v>OPORTUNO</v>
      </c>
      <c r="M3197">
        <v>14</v>
      </c>
      <c r="N3197">
        <v>98.2</v>
      </c>
      <c r="O3197">
        <v>23.37962962962963</v>
      </c>
    </row>
    <row r="3198" spans="1:15" customFormat="1" hidden="1" x14ac:dyDescent="0.25">
      <c r="A3198" s="11">
        <v>46101</v>
      </c>
      <c r="B3198" t="s">
        <v>33</v>
      </c>
      <c r="C3198" t="s">
        <v>32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22</v>
      </c>
      <c r="K3198" s="3">
        <f>I3198-J3198</f>
        <v>-1</v>
      </c>
      <c r="L3198" s="3" t="str">
        <f t="shared" si="348"/>
        <v>ATENÇÃO</v>
      </c>
      <c r="M3198">
        <v>17</v>
      </c>
      <c r="N3198">
        <v>97.3</v>
      </c>
      <c r="O3198">
        <v>23.84769539078156</v>
      </c>
    </row>
    <row r="3199" spans="1:15" customFormat="1" hidden="1" x14ac:dyDescent="0.25">
      <c r="A3199" s="11">
        <v>46101</v>
      </c>
      <c r="B3199" t="s">
        <v>15</v>
      </c>
      <c r="C3199" t="s">
        <v>16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 t="shared" si="348"/>
        <v>OPORTUNO</v>
      </c>
      <c r="M3199">
        <v>9</v>
      </c>
      <c r="N3199">
        <v>100</v>
      </c>
      <c r="O3199">
        <v>25.268817204301079</v>
      </c>
    </row>
    <row r="3200" spans="1:15" customFormat="1" hidden="1" x14ac:dyDescent="0.25">
      <c r="A3200" s="11">
        <v>46101</v>
      </c>
      <c r="B3200" t="s">
        <v>49</v>
      </c>
      <c r="C3200" t="s">
        <v>48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-5</v>
      </c>
      <c r="L3200" s="3" t="str">
        <f t="shared" si="348"/>
        <v>ATENÇÃO</v>
      </c>
      <c r="M3200">
        <v>12</v>
      </c>
      <c r="N3200">
        <v>99.32</v>
      </c>
      <c r="O3200">
        <v>22.822822822822818</v>
      </c>
    </row>
    <row r="3201" spans="1:15" customFormat="1" hidden="1" x14ac:dyDescent="0.25">
      <c r="A3201" s="11">
        <v>46101</v>
      </c>
      <c r="B3201" t="s">
        <v>50</v>
      </c>
      <c r="C3201" t="s">
        <v>48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17</v>
      </c>
      <c r="K3201" s="3">
        <f>I3201-J3201</f>
        <v>7</v>
      </c>
      <c r="L3201" s="3" t="str">
        <f t="shared" si="348"/>
        <v>MUITO BOM</v>
      </c>
      <c r="M3201">
        <v>23</v>
      </c>
      <c r="N3201">
        <v>100</v>
      </c>
      <c r="O3201">
        <v>27.966101694915249</v>
      </c>
    </row>
    <row r="3202" spans="1:15" customFormat="1" hidden="1" x14ac:dyDescent="0.25">
      <c r="A3202" s="11">
        <v>46101</v>
      </c>
      <c r="B3202" t="s">
        <v>17</v>
      </c>
      <c r="C3202" t="s">
        <v>16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 t="shared" si="348"/>
        <v>OPORTUNO</v>
      </c>
      <c r="M3202">
        <v>0</v>
      </c>
      <c r="N3202">
        <v>100</v>
      </c>
      <c r="O3202">
        <v>30.434782608695659</v>
      </c>
    </row>
    <row r="3203" spans="1:15" customFormat="1" hidden="1" x14ac:dyDescent="0.25">
      <c r="A3203" s="11">
        <v>46101</v>
      </c>
      <c r="B3203" t="s">
        <v>60</v>
      </c>
      <c r="C3203" t="s">
        <v>23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9</v>
      </c>
      <c r="L3203" s="3" t="str">
        <f t="shared" si="348"/>
        <v>MUITO BOM</v>
      </c>
      <c r="M3203">
        <v>20</v>
      </c>
      <c r="N3203">
        <v>96.51</v>
      </c>
      <c r="O3203">
        <v>22.802850356294542</v>
      </c>
    </row>
    <row r="3204" spans="1:15" customFormat="1" hidden="1" x14ac:dyDescent="0.25">
      <c r="A3204" s="11">
        <v>46101</v>
      </c>
      <c r="B3204" t="s">
        <v>34</v>
      </c>
      <c r="C3204" t="s">
        <v>32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348"/>
        <v>OPORTUNO</v>
      </c>
      <c r="M3204">
        <v>0</v>
      </c>
      <c r="N3204">
        <v>92.68</v>
      </c>
      <c r="O3204">
        <v>27.777777777777779</v>
      </c>
    </row>
    <row r="3205" spans="1:15" customFormat="1" hidden="1" x14ac:dyDescent="0.25">
      <c r="A3205" s="11">
        <v>46101</v>
      </c>
      <c r="B3205" t="s">
        <v>51</v>
      </c>
      <c r="C3205" t="s">
        <v>48</v>
      </c>
      <c r="D3205">
        <v>30</v>
      </c>
      <c r="E3205">
        <v>27</v>
      </c>
      <c r="F3205">
        <v>22.12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 t="shared" si="348"/>
        <v>OPORTUNO</v>
      </c>
      <c r="M3205">
        <v>24</v>
      </c>
      <c r="N3205">
        <v>99.03</v>
      </c>
      <c r="O3205">
        <v>23.991507430997881</v>
      </c>
    </row>
    <row r="3206" spans="1:15" customFormat="1" hidden="1" x14ac:dyDescent="0.25">
      <c r="A3206" s="11">
        <v>46101</v>
      </c>
      <c r="B3206" t="s">
        <v>61</v>
      </c>
      <c r="C3206" t="s">
        <v>23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14</v>
      </c>
      <c r="K3206" s="3">
        <f>I3206-J3206</f>
        <v>8</v>
      </c>
      <c r="L3206" s="3" t="str">
        <f t="shared" si="348"/>
        <v>MUITO BOM</v>
      </c>
      <c r="M3206">
        <v>12</v>
      </c>
      <c r="N3206">
        <v>98.41</v>
      </c>
      <c r="O3206">
        <v>28.138528138528141</v>
      </c>
    </row>
    <row r="3207" spans="1:15" customFormat="1" hidden="1" x14ac:dyDescent="0.25">
      <c r="A3207" s="11">
        <v>46101</v>
      </c>
      <c r="B3207" t="s">
        <v>35</v>
      </c>
      <c r="C3207" t="s">
        <v>32</v>
      </c>
      <c r="D3207">
        <v>18</v>
      </c>
      <c r="E3207">
        <v>18</v>
      </c>
      <c r="F3207">
        <v>30.39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 t="shared" si="348"/>
        <v>OPORTUNO</v>
      </c>
      <c r="M3207">
        <v>22</v>
      </c>
      <c r="N3207">
        <v>98.73</v>
      </c>
      <c r="O3207">
        <v>29.142857142857139</v>
      </c>
    </row>
    <row r="3208" spans="1:15" customFormat="1" hidden="1" x14ac:dyDescent="0.25">
      <c r="A3208" s="11">
        <v>46101</v>
      </c>
      <c r="B3208" t="s">
        <v>18</v>
      </c>
      <c r="C3208" t="s">
        <v>16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ref="I3208:I3215" si="349">E3208+G3208+H3208</f>
        <v>8</v>
      </c>
      <c r="J3208" s="3">
        <f t="shared" ref="J3208:J3215" si="350"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 t="shared" ref="K3208:K3215" si="351">I3208-J3208</f>
        <v>2</v>
      </c>
      <c r="L3208" s="3" t="str">
        <f t="shared" si="348"/>
        <v>OPORTUNO</v>
      </c>
      <c r="M3208">
        <v>7</v>
      </c>
      <c r="N3208">
        <v>90.48</v>
      </c>
      <c r="O3208">
        <v>20.68965517241379</v>
      </c>
    </row>
    <row r="3209" spans="1:15" customFormat="1" hidden="1" x14ac:dyDescent="0.25">
      <c r="A3209" s="11">
        <v>46101</v>
      </c>
      <c r="B3209" t="s">
        <v>52</v>
      </c>
      <c r="C3209" t="s">
        <v>48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349"/>
        <v>15</v>
      </c>
      <c r="J3209" s="3">
        <f t="shared" si="350"/>
        <v>17</v>
      </c>
      <c r="K3209" s="3">
        <f t="shared" si="351"/>
        <v>-2</v>
      </c>
      <c r="L3209" s="3" t="str">
        <f t="shared" si="348"/>
        <v>ATENÇÃO</v>
      </c>
      <c r="M3209">
        <v>11</v>
      </c>
      <c r="N3209">
        <v>98.06</v>
      </c>
      <c r="O3209">
        <v>24.789915966386559</v>
      </c>
    </row>
    <row r="3210" spans="1:15" customFormat="1" hidden="1" x14ac:dyDescent="0.25">
      <c r="A3210" s="11">
        <v>46101</v>
      </c>
      <c r="B3210" t="s">
        <v>36</v>
      </c>
      <c r="C3210" t="s">
        <v>32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349"/>
        <v>27</v>
      </c>
      <c r="J3210" s="3">
        <f t="shared" si="350"/>
        <v>22</v>
      </c>
      <c r="K3210" s="3">
        <f t="shared" si="351"/>
        <v>5</v>
      </c>
      <c r="L3210" s="3" t="str">
        <f t="shared" si="348"/>
        <v>OPORTUNO</v>
      </c>
      <c r="M3210">
        <v>28</v>
      </c>
      <c r="N3210">
        <v>97.78</v>
      </c>
      <c r="O3210">
        <v>25.494071146245059</v>
      </c>
    </row>
    <row r="3211" spans="1:15" customFormat="1" hidden="1" x14ac:dyDescent="0.25">
      <c r="A3211" s="11">
        <v>46101</v>
      </c>
      <c r="B3211" t="s">
        <v>53</v>
      </c>
      <c r="C3211" t="s">
        <v>48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349"/>
        <v>10</v>
      </c>
      <c r="J3211" s="3">
        <f t="shared" si="350"/>
        <v>17</v>
      </c>
      <c r="K3211" s="3">
        <f t="shared" si="351"/>
        <v>-7</v>
      </c>
      <c r="L3211" s="3" t="str">
        <f t="shared" si="348"/>
        <v>CRÍTICO</v>
      </c>
      <c r="M3211">
        <v>10</v>
      </c>
      <c r="N3211">
        <v>98.02</v>
      </c>
      <c r="O3211">
        <v>23.484848484848481</v>
      </c>
    </row>
    <row r="3212" spans="1:15" customFormat="1" hidden="1" x14ac:dyDescent="0.25">
      <c r="A3212" s="11">
        <v>46136</v>
      </c>
      <c r="B3212" t="s">
        <v>22</v>
      </c>
      <c r="C3212" t="s">
        <v>23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349"/>
        <v>15</v>
      </c>
      <c r="J3212" s="3">
        <f t="shared" si="350"/>
        <v>15</v>
      </c>
      <c r="K3212" s="3">
        <f t="shared" si="351"/>
        <v>0</v>
      </c>
      <c r="L3212" s="3" t="str">
        <f t="shared" si="348"/>
        <v>OPORTUNO</v>
      </c>
      <c r="M3212">
        <v>21</v>
      </c>
      <c r="N3212">
        <v>99.28</v>
      </c>
      <c r="O3212">
        <v>27.689243027888441</v>
      </c>
    </row>
    <row r="3213" spans="1:15" customFormat="1" hidden="1" x14ac:dyDescent="0.25">
      <c r="A3213" s="11">
        <v>46101</v>
      </c>
      <c r="B3213" t="s">
        <v>54</v>
      </c>
      <c r="C3213" t="s">
        <v>48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349"/>
        <v>28</v>
      </c>
      <c r="J3213" s="3">
        <f t="shared" si="350"/>
        <v>17</v>
      </c>
      <c r="K3213" s="3">
        <f t="shared" si="351"/>
        <v>11</v>
      </c>
      <c r="L3213" s="3" t="str">
        <f t="shared" si="348"/>
        <v>MUITO BOM</v>
      </c>
      <c r="M3213">
        <v>27</v>
      </c>
      <c r="N3213">
        <v>100</v>
      </c>
      <c r="O3213">
        <v>27.04918032786885</v>
      </c>
    </row>
    <row r="3214" spans="1:15" customFormat="1" hidden="1" x14ac:dyDescent="0.25">
      <c r="A3214" s="11">
        <v>46101</v>
      </c>
      <c r="B3214" t="s">
        <v>37</v>
      </c>
      <c r="C3214" t="s">
        <v>32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349"/>
        <v>38</v>
      </c>
      <c r="J3214" s="3">
        <f t="shared" si="350"/>
        <v>22</v>
      </c>
      <c r="K3214" s="3">
        <f t="shared" si="351"/>
        <v>16</v>
      </c>
      <c r="L3214" s="3" t="str">
        <f t="shared" si="348"/>
        <v>MUITO BOM</v>
      </c>
      <c r="M3214">
        <v>33</v>
      </c>
      <c r="N3214">
        <v>97.83</v>
      </c>
      <c r="O3214">
        <v>26.315789473684209</v>
      </c>
    </row>
    <row r="3215" spans="1:15" customFormat="1" hidden="1" x14ac:dyDescent="0.25">
      <c r="A3215" s="11">
        <v>46101</v>
      </c>
      <c r="B3215" t="s">
        <v>38</v>
      </c>
      <c r="C3215" t="s">
        <v>32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349"/>
        <v>3</v>
      </c>
      <c r="J3215" s="3">
        <f t="shared" si="350"/>
        <v>22</v>
      </c>
      <c r="K3215" s="3">
        <f t="shared" si="351"/>
        <v>-19</v>
      </c>
      <c r="L3215" s="3" t="str">
        <f t="shared" si="348"/>
        <v>CRÍTICO</v>
      </c>
      <c r="M3215">
        <v>9</v>
      </c>
      <c r="N3215">
        <v>100</v>
      </c>
      <c r="O3215">
        <v>26.701570680628269</v>
      </c>
    </row>
    <row r="3216" spans="1:15" customFormat="1" hidden="1" x14ac:dyDescent="0.25">
      <c r="A3216" s="11">
        <v>46101</v>
      </c>
      <c r="B3216" t="s">
        <v>55</v>
      </c>
      <c r="C3216" t="s">
        <v>48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348"/>
        <v>OPORTUNO</v>
      </c>
      <c r="M3216">
        <v>0</v>
      </c>
      <c r="N3216">
        <v>97.47</v>
      </c>
      <c r="O3216">
        <v>22.887323943661968</v>
      </c>
    </row>
    <row r="3217" spans="1:15" customFormat="1" hidden="1" x14ac:dyDescent="0.25">
      <c r="A3217" s="11">
        <v>46101</v>
      </c>
      <c r="B3217" t="s">
        <v>39</v>
      </c>
      <c r="C3217" t="s">
        <v>32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 t="shared" si="348"/>
        <v>OPORTUNO</v>
      </c>
      <c r="M3217">
        <v>0</v>
      </c>
      <c r="N3217">
        <v>0</v>
      </c>
      <c r="O3217">
        <v>0</v>
      </c>
    </row>
    <row r="3218" spans="1:15" customFormat="1" hidden="1" x14ac:dyDescent="0.25">
      <c r="A3218" s="11">
        <v>46101</v>
      </c>
      <c r="B3218" t="s">
        <v>25</v>
      </c>
      <c r="C3218" t="s">
        <v>26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12</v>
      </c>
      <c r="K3218" s="3">
        <f>I3218-J3218</f>
        <v>10</v>
      </c>
      <c r="L3218" s="3" t="str">
        <f t="shared" si="348"/>
        <v>MUITO BOM</v>
      </c>
      <c r="M3218">
        <v>23</v>
      </c>
      <c r="N3218">
        <v>98.31</v>
      </c>
      <c r="O3218">
        <v>24.920127795527151</v>
      </c>
    </row>
    <row r="3219" spans="1:15" customFormat="1" hidden="1" x14ac:dyDescent="0.25">
      <c r="A3219" s="11">
        <v>46101</v>
      </c>
      <c r="B3219" t="s">
        <v>40</v>
      </c>
      <c r="C3219" t="s">
        <v>32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22</v>
      </c>
      <c r="K3219" s="3">
        <f>I3219-J3219</f>
        <v>-17</v>
      </c>
      <c r="L3219" s="3" t="str">
        <f t="shared" si="348"/>
        <v>CRÍTICO</v>
      </c>
      <c r="M3219">
        <v>5</v>
      </c>
      <c r="N3219">
        <v>96.81</v>
      </c>
      <c r="O3219">
        <v>32.365145228215773</v>
      </c>
    </row>
    <row r="3220" spans="1:15" customFormat="1" hidden="1" x14ac:dyDescent="0.25">
      <c r="A3220" s="11">
        <v>46101</v>
      </c>
      <c r="B3220" t="s">
        <v>27</v>
      </c>
      <c r="C3220" t="s">
        <v>26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12</v>
      </c>
      <c r="K3220" s="3">
        <f>I3220-J3220</f>
        <v>0</v>
      </c>
      <c r="L3220" s="3" t="str">
        <f t="shared" si="348"/>
        <v>OPORTUNO</v>
      </c>
      <c r="M3220">
        <v>6</v>
      </c>
      <c r="N3220">
        <v>100</v>
      </c>
      <c r="O3220">
        <v>26.47058823529412</v>
      </c>
    </row>
    <row r="3221" spans="1:15" customFormat="1" hidden="1" x14ac:dyDescent="0.25">
      <c r="A3221" s="11">
        <v>46101</v>
      </c>
      <c r="B3221" t="s">
        <v>41</v>
      </c>
      <c r="C3221" t="s">
        <v>32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22</v>
      </c>
      <c r="K3221" s="3">
        <f>I3221-J3221</f>
        <v>-3</v>
      </c>
      <c r="L3221" s="3" t="str">
        <f t="shared" si="348"/>
        <v>ATENÇÃO</v>
      </c>
      <c r="M3221">
        <v>22</v>
      </c>
      <c r="N3221">
        <v>100</v>
      </c>
      <c r="O3221">
        <v>28.490028490028489</v>
      </c>
    </row>
    <row r="3222" spans="1:15" customFormat="1" hidden="1" x14ac:dyDescent="0.25">
      <c r="A3222" s="11">
        <v>46101</v>
      </c>
      <c r="B3222" t="s">
        <v>56</v>
      </c>
      <c r="C3222" t="s">
        <v>48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17</v>
      </c>
      <c r="K3222" s="3">
        <f>I3222-J3222</f>
        <v>6</v>
      </c>
      <c r="L3222" s="3" t="str">
        <f t="shared" si="348"/>
        <v>MUITO BOM</v>
      </c>
      <c r="M3222">
        <v>22</v>
      </c>
      <c r="N3222">
        <v>99.14</v>
      </c>
      <c r="O3222">
        <v>27.2289156626506</v>
      </c>
    </row>
    <row r="3223" spans="1:15" customFormat="1" hidden="1" x14ac:dyDescent="0.25">
      <c r="A3223" s="11">
        <v>46101</v>
      </c>
      <c r="B3223" t="s">
        <v>57</v>
      </c>
      <c r="C3223" t="s">
        <v>48</v>
      </c>
      <c r="D3223">
        <v>32</v>
      </c>
      <c r="E3223">
        <v>29</v>
      </c>
      <c r="F3223">
        <v>15.52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348"/>
        <v>OPORTUNO</v>
      </c>
      <c r="M3223">
        <v>26</v>
      </c>
      <c r="N3223">
        <v>97.52</v>
      </c>
      <c r="O3223">
        <v>28.205128205128201</v>
      </c>
    </row>
    <row r="3224" spans="1:15" customFormat="1" hidden="1" x14ac:dyDescent="0.25">
      <c r="A3224" s="11">
        <v>46101</v>
      </c>
      <c r="B3224" t="s">
        <v>42</v>
      </c>
      <c r="C3224" t="s">
        <v>32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 t="shared" si="348"/>
        <v>OPORTUNO</v>
      </c>
      <c r="M3224">
        <v>0</v>
      </c>
      <c r="N3224">
        <v>90</v>
      </c>
      <c r="O3224">
        <v>24.186046511627911</v>
      </c>
    </row>
    <row r="3225" spans="1:15" customFormat="1" hidden="1" x14ac:dyDescent="0.25">
      <c r="A3225" s="11">
        <v>46101</v>
      </c>
      <c r="B3225" t="s">
        <v>62</v>
      </c>
      <c r="C3225" t="s">
        <v>23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14</v>
      </c>
      <c r="K3225" s="3">
        <f>I3225-J3225</f>
        <v>11</v>
      </c>
      <c r="L3225" s="3" t="str">
        <f t="shared" si="348"/>
        <v>MUITO BOM</v>
      </c>
      <c r="M3225">
        <v>23</v>
      </c>
      <c r="N3225">
        <v>98.9</v>
      </c>
      <c r="O3225">
        <v>26.763990267639901</v>
      </c>
    </row>
    <row r="3226" spans="1:15" customFormat="1" hidden="1" x14ac:dyDescent="0.25">
      <c r="A3226" s="11">
        <v>46101</v>
      </c>
      <c r="B3226" t="s">
        <v>19</v>
      </c>
      <c r="C3226" t="s">
        <v>16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 t="shared" si="348"/>
        <v>OPORTUNO</v>
      </c>
      <c r="M3226">
        <v>7</v>
      </c>
      <c r="N3226">
        <v>88.89</v>
      </c>
      <c r="O3226">
        <v>25.263157894736839</v>
      </c>
    </row>
    <row r="3227" spans="1:15" customFormat="1" hidden="1" x14ac:dyDescent="0.25">
      <c r="A3227" s="11">
        <v>46101</v>
      </c>
      <c r="B3227" t="s">
        <v>43</v>
      </c>
      <c r="C3227" t="s">
        <v>32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22</v>
      </c>
      <c r="K3227" s="3">
        <f>I3227-J3227</f>
        <v>18</v>
      </c>
      <c r="L3227" s="3" t="str">
        <f t="shared" si="348"/>
        <v>MUITO BOM</v>
      </c>
      <c r="M3227">
        <v>32</v>
      </c>
      <c r="N3227">
        <v>98.86</v>
      </c>
      <c r="O3227">
        <v>28.959276018099551</v>
      </c>
    </row>
    <row r="3228" spans="1:15" customFormat="1" hidden="1" x14ac:dyDescent="0.25">
      <c r="A3228" s="11">
        <v>46101</v>
      </c>
      <c r="B3228" t="s">
        <v>44</v>
      </c>
      <c r="C3228" t="s">
        <v>32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 t="shared" si="348"/>
        <v>OPORTUNO</v>
      </c>
      <c r="M3228">
        <v>0</v>
      </c>
      <c r="N3228">
        <v>98.06</v>
      </c>
      <c r="O3228">
        <v>22.40566037735849</v>
      </c>
    </row>
    <row r="3229" spans="1:15" customFormat="1" hidden="1" x14ac:dyDescent="0.25">
      <c r="A3229" s="11">
        <v>46101</v>
      </c>
      <c r="B3229" t="s">
        <v>20</v>
      </c>
      <c r="C3229" t="s">
        <v>16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 t="shared" si="348"/>
        <v>ATENÇÃO</v>
      </c>
      <c r="M3229">
        <v>1</v>
      </c>
      <c r="N3229">
        <v>95.83</v>
      </c>
      <c r="O3229">
        <v>25.773195876288661</v>
      </c>
    </row>
    <row r="3230" spans="1:15" customFormat="1" hidden="1" x14ac:dyDescent="0.25">
      <c r="A3230" s="11">
        <v>46101</v>
      </c>
      <c r="B3230" t="s">
        <v>28</v>
      </c>
      <c r="C3230" t="s">
        <v>26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 t="shared" si="348"/>
        <v>OPORTUNO</v>
      </c>
      <c r="M3230">
        <v>0</v>
      </c>
      <c r="N3230">
        <v>100</v>
      </c>
      <c r="O3230">
        <v>15.38461538461539</v>
      </c>
    </row>
    <row r="3231" spans="1:15" customFormat="1" hidden="1" x14ac:dyDescent="0.25">
      <c r="A3231" s="11">
        <v>46101</v>
      </c>
      <c r="B3231" t="s">
        <v>58</v>
      </c>
      <c r="C3231" t="s">
        <v>48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17</v>
      </c>
      <c r="K3231" s="3">
        <f>I3231-J3231</f>
        <v>17</v>
      </c>
      <c r="L3231" s="3" t="str">
        <f t="shared" si="348"/>
        <v>MUITO BOM</v>
      </c>
      <c r="M3231">
        <v>27</v>
      </c>
      <c r="N3231">
        <v>100</v>
      </c>
      <c r="O3231">
        <v>27.514792899408281</v>
      </c>
    </row>
    <row r="3232" spans="1:15" customFormat="1" hidden="1" x14ac:dyDescent="0.25">
      <c r="A3232" s="11">
        <v>46101</v>
      </c>
      <c r="B3232" t="s">
        <v>29</v>
      </c>
      <c r="C3232" t="s">
        <v>26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1</v>
      </c>
      <c r="L3232" s="3" t="str">
        <f t="shared" si="348"/>
        <v>OPORTUNO</v>
      </c>
      <c r="M3232">
        <v>12</v>
      </c>
      <c r="N3232">
        <v>100</v>
      </c>
      <c r="O3232">
        <v>24.875621890547269</v>
      </c>
    </row>
    <row r="3233" spans="1:15" customFormat="1" hidden="1" x14ac:dyDescent="0.25">
      <c r="A3233" s="11">
        <v>46101</v>
      </c>
      <c r="B3233" t="s">
        <v>30</v>
      </c>
      <c r="C3233" t="s">
        <v>26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12</v>
      </c>
      <c r="K3233" s="3">
        <f>I3233-J3233</f>
        <v>4</v>
      </c>
      <c r="L3233" s="3" t="str">
        <f t="shared" si="348"/>
        <v>OPORTUNO</v>
      </c>
      <c r="M3233">
        <v>9</v>
      </c>
      <c r="N3233">
        <v>100</v>
      </c>
      <c r="O3233">
        <v>28.108108108108109</v>
      </c>
    </row>
    <row r="3234" spans="1:15" customFormat="1" hidden="1" x14ac:dyDescent="0.25">
      <c r="A3234" s="11">
        <v>46101</v>
      </c>
      <c r="B3234" t="s">
        <v>21</v>
      </c>
      <c r="C3234" t="s">
        <v>16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 t="shared" si="348"/>
        <v>OPORTUNO</v>
      </c>
      <c r="M3234">
        <v>0</v>
      </c>
      <c r="N3234">
        <v>100</v>
      </c>
      <c r="O3234">
        <v>35</v>
      </c>
    </row>
    <row r="3235" spans="1:15" customFormat="1" hidden="1" x14ac:dyDescent="0.25">
      <c r="A3235" s="11">
        <v>46101</v>
      </c>
      <c r="B3235" t="s">
        <v>63</v>
      </c>
      <c r="C3235" t="s">
        <v>23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14</v>
      </c>
      <c r="K3235" s="3">
        <f>I3235-J3235</f>
        <v>6</v>
      </c>
      <c r="L3235" s="3" t="str">
        <f t="shared" si="348"/>
        <v>MUITO BOM</v>
      </c>
      <c r="M3235">
        <v>12</v>
      </c>
      <c r="N3235">
        <v>95.35</v>
      </c>
      <c r="O3235">
        <v>28.61538461538461</v>
      </c>
    </row>
    <row r="3236" spans="1:15" customFormat="1" hidden="1" x14ac:dyDescent="0.25">
      <c r="A3236" s="11">
        <v>46101</v>
      </c>
      <c r="B3236" t="s">
        <v>45</v>
      </c>
      <c r="C3236" t="s">
        <v>32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22</v>
      </c>
      <c r="K3236" s="3">
        <f>I3236-J3236</f>
        <v>12</v>
      </c>
      <c r="L3236" s="3" t="str">
        <f t="shared" si="348"/>
        <v>MUITO BOM</v>
      </c>
      <c r="M3236">
        <v>32</v>
      </c>
      <c r="N3236">
        <v>98.26</v>
      </c>
      <c r="O3236">
        <v>27.54491017964072</v>
      </c>
    </row>
    <row r="3237" spans="1:15" customFormat="1" hidden="1" x14ac:dyDescent="0.25">
      <c r="A3237" s="11">
        <v>46101</v>
      </c>
      <c r="B3237" t="s">
        <v>64</v>
      </c>
      <c r="C3237" t="s">
        <v>23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14</v>
      </c>
      <c r="K3237" s="3">
        <f>I3237-J3237</f>
        <v>4</v>
      </c>
      <c r="L3237" s="3" t="str">
        <f t="shared" si="348"/>
        <v>OPORTUNO</v>
      </c>
      <c r="M3237">
        <v>16</v>
      </c>
      <c r="N3237">
        <v>98.55</v>
      </c>
      <c r="O3237">
        <v>25.337837837837839</v>
      </c>
    </row>
    <row r="3238" spans="1:15" customFormat="1" hidden="1" x14ac:dyDescent="0.25">
      <c r="A3238" s="11">
        <v>46101</v>
      </c>
      <c r="B3238" t="s">
        <v>46</v>
      </c>
      <c r="C3238" t="s">
        <v>32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22</v>
      </c>
      <c r="K3238" s="3">
        <f>I3238-J3238</f>
        <v>10</v>
      </c>
      <c r="L3238" s="3" t="str">
        <f t="shared" si="348"/>
        <v>MUITO BOM</v>
      </c>
      <c r="M3238">
        <v>26</v>
      </c>
      <c r="N3238">
        <v>98.39</v>
      </c>
      <c r="O3238">
        <v>25.563909774436091</v>
      </c>
    </row>
    <row r="3239" spans="1:15" customFormat="1" hidden="1" x14ac:dyDescent="0.25">
      <c r="A3239" s="11">
        <v>46104</v>
      </c>
      <c r="B3239" t="s">
        <v>47</v>
      </c>
      <c r="C3239" t="s">
        <v>48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18</v>
      </c>
      <c r="K3239" s="3">
        <f>I3239-J3239</f>
        <v>7</v>
      </c>
      <c r="L3239" s="3" t="str">
        <f t="shared" si="348"/>
        <v>MUITO BOM</v>
      </c>
      <c r="M3239">
        <v>17</v>
      </c>
      <c r="N3239">
        <v>94.29</v>
      </c>
      <c r="O3239">
        <v>25.647668393782389</v>
      </c>
    </row>
    <row r="3240" spans="1:15" customFormat="1" hidden="1" x14ac:dyDescent="0.25">
      <c r="A3240" s="11">
        <v>46104</v>
      </c>
      <c r="B3240" t="s">
        <v>31</v>
      </c>
      <c r="C3240" t="s">
        <v>32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 t="shared" si="348"/>
        <v>OPORTUNO</v>
      </c>
      <c r="M3240">
        <v>20</v>
      </c>
      <c r="N3240">
        <v>98.26</v>
      </c>
      <c r="O3240">
        <v>26.666666666666671</v>
      </c>
    </row>
    <row r="3241" spans="1:15" customFormat="1" hidden="1" x14ac:dyDescent="0.25">
      <c r="A3241" s="11">
        <v>46104</v>
      </c>
      <c r="B3241" t="s">
        <v>59</v>
      </c>
      <c r="C3241" t="s">
        <v>23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14</v>
      </c>
      <c r="K3241" s="3">
        <f>I3241-J3241</f>
        <v>8</v>
      </c>
      <c r="L3241" s="3" t="str">
        <f t="shared" si="348"/>
        <v>MUITO BOM</v>
      </c>
      <c r="M3241">
        <v>20</v>
      </c>
      <c r="N3241">
        <v>98.2</v>
      </c>
      <c r="O3241">
        <v>23.37962962962963</v>
      </c>
    </row>
    <row r="3242" spans="1:15" customFormat="1" hidden="1" x14ac:dyDescent="0.25">
      <c r="A3242" s="11">
        <v>46104</v>
      </c>
      <c r="B3242" t="s">
        <v>33</v>
      </c>
      <c r="C3242" t="s">
        <v>32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22</v>
      </c>
      <c r="K3242" s="3">
        <f>I3242-J3242</f>
        <v>-4</v>
      </c>
      <c r="L3242" s="3" t="str">
        <f t="shared" si="348"/>
        <v>ATENÇÃO</v>
      </c>
      <c r="M3242">
        <v>19</v>
      </c>
      <c r="N3242">
        <v>97.3</v>
      </c>
      <c r="O3242">
        <v>23.84769539078156</v>
      </c>
    </row>
    <row r="3243" spans="1:15" customFormat="1" hidden="1" x14ac:dyDescent="0.25">
      <c r="A3243" s="11">
        <v>46104</v>
      </c>
      <c r="B3243" t="s">
        <v>15</v>
      </c>
      <c r="C3243" t="s">
        <v>16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 t="shared" si="348"/>
        <v>OPORTUNO</v>
      </c>
      <c r="M3243">
        <v>10</v>
      </c>
      <c r="N3243">
        <v>100</v>
      </c>
      <c r="O3243">
        <v>25.268817204301079</v>
      </c>
    </row>
    <row r="3244" spans="1:15" customFormat="1" hidden="1" x14ac:dyDescent="0.25">
      <c r="A3244" s="11">
        <v>46104</v>
      </c>
      <c r="B3244" t="s">
        <v>49</v>
      </c>
      <c r="C3244" t="s">
        <v>48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3</v>
      </c>
      <c r="L3244" s="3" t="str">
        <f t="shared" si="348"/>
        <v>OPORTUNO</v>
      </c>
      <c r="M3244">
        <v>22</v>
      </c>
      <c r="N3244">
        <v>99.32</v>
      </c>
      <c r="O3244">
        <v>22.822822822822818</v>
      </c>
    </row>
    <row r="3245" spans="1:15" customFormat="1" hidden="1" x14ac:dyDescent="0.25">
      <c r="A3245" s="11">
        <v>46104</v>
      </c>
      <c r="B3245" t="s">
        <v>50</v>
      </c>
      <c r="C3245" t="s">
        <v>48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18</v>
      </c>
      <c r="K3245" s="3">
        <f>I3245-J3245</f>
        <v>-1</v>
      </c>
      <c r="L3245" s="3" t="str">
        <f t="shared" si="348"/>
        <v>ATENÇÃO</v>
      </c>
      <c r="M3245">
        <v>14</v>
      </c>
      <c r="N3245">
        <v>100</v>
      </c>
      <c r="O3245">
        <v>27.966101694915249</v>
      </c>
    </row>
    <row r="3246" spans="1:15" customFormat="1" hidden="1" x14ac:dyDescent="0.25">
      <c r="A3246" s="11">
        <v>46104</v>
      </c>
      <c r="B3246" t="s">
        <v>17</v>
      </c>
      <c r="C3246" t="s">
        <v>16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 t="shared" si="348"/>
        <v>OPORTUNO</v>
      </c>
      <c r="M3246">
        <v>0</v>
      </c>
      <c r="N3246">
        <v>100</v>
      </c>
      <c r="O3246">
        <v>30.434782608695659</v>
      </c>
    </row>
    <row r="3247" spans="1:15" customFormat="1" hidden="1" x14ac:dyDescent="0.25">
      <c r="A3247" s="11">
        <v>46104</v>
      </c>
      <c r="B3247" t="s">
        <v>60</v>
      </c>
      <c r="C3247" t="s">
        <v>23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8</v>
      </c>
      <c r="L3247" s="3" t="str">
        <f t="shared" si="348"/>
        <v>MUITO BOM</v>
      </c>
      <c r="M3247">
        <v>20</v>
      </c>
      <c r="N3247">
        <v>96.51</v>
      </c>
      <c r="O3247">
        <v>22.802850356294542</v>
      </c>
    </row>
    <row r="3248" spans="1:15" customFormat="1" hidden="1" x14ac:dyDescent="0.25">
      <c r="A3248" s="11">
        <v>46104</v>
      </c>
      <c r="B3248" t="s">
        <v>34</v>
      </c>
      <c r="C3248" t="s">
        <v>32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22</v>
      </c>
      <c r="K3248" s="3">
        <f>I3248-J3248</f>
        <v>-16</v>
      </c>
      <c r="L3248" s="3" t="str">
        <f t="shared" si="348"/>
        <v>CRÍTICO</v>
      </c>
      <c r="M3248">
        <v>7</v>
      </c>
      <c r="N3248">
        <v>92.68</v>
      </c>
      <c r="O3248">
        <v>27.777777777777779</v>
      </c>
    </row>
    <row r="3249" spans="1:15" customFormat="1" hidden="1" x14ac:dyDescent="0.25">
      <c r="A3249" s="11">
        <v>46104</v>
      </c>
      <c r="B3249" t="s">
        <v>51</v>
      </c>
      <c r="C3249" t="s">
        <v>48</v>
      </c>
      <c r="D3249">
        <v>29</v>
      </c>
      <c r="E3249">
        <v>20</v>
      </c>
      <c r="F3249">
        <v>27.17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 t="shared" si="348"/>
        <v>OPORTUNO</v>
      </c>
      <c r="M3249">
        <v>17</v>
      </c>
      <c r="N3249">
        <v>99.03</v>
      </c>
      <c r="O3249">
        <v>23.991507430997881</v>
      </c>
    </row>
    <row r="3250" spans="1:15" customFormat="1" hidden="1" x14ac:dyDescent="0.25">
      <c r="A3250" s="11">
        <v>46104</v>
      </c>
      <c r="B3250" t="s">
        <v>61</v>
      </c>
      <c r="C3250" t="s">
        <v>23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14</v>
      </c>
      <c r="K3250" s="3">
        <f>I3250-J3250</f>
        <v>4</v>
      </c>
      <c r="L3250" s="3" t="str">
        <f t="shared" si="348"/>
        <v>OPORTUNO</v>
      </c>
      <c r="M3250">
        <v>6</v>
      </c>
      <c r="N3250">
        <v>98.41</v>
      </c>
      <c r="O3250">
        <v>28.138528138528141</v>
      </c>
    </row>
    <row r="3251" spans="1:15" customFormat="1" hidden="1" x14ac:dyDescent="0.25">
      <c r="A3251" s="11">
        <v>46104</v>
      </c>
      <c r="B3251" t="s">
        <v>35</v>
      </c>
      <c r="C3251" t="s">
        <v>32</v>
      </c>
      <c r="D3251">
        <v>18</v>
      </c>
      <c r="E3251">
        <v>17</v>
      </c>
      <c r="F3251">
        <v>25.34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 t="shared" si="348"/>
        <v>OPORTUNO</v>
      </c>
      <c r="M3251">
        <v>19</v>
      </c>
      <c r="N3251">
        <v>98.73</v>
      </c>
      <c r="O3251">
        <v>29.142857142857139</v>
      </c>
    </row>
    <row r="3252" spans="1:15" customFormat="1" hidden="1" x14ac:dyDescent="0.25">
      <c r="A3252" s="11">
        <v>46104</v>
      </c>
      <c r="B3252" t="s">
        <v>18</v>
      </c>
      <c r="C3252" t="s">
        <v>16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ref="I3252:I3259" si="352">E3252+G3252+H3252</f>
        <v>6</v>
      </c>
      <c r="J3252" s="3">
        <f t="shared" ref="J3252:J3259" si="353"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 t="shared" ref="K3252:K3259" si="354">I3252-J3252</f>
        <v>0</v>
      </c>
      <c r="L3252" s="3" t="str">
        <f t="shared" si="348"/>
        <v>OPORTUNO</v>
      </c>
      <c r="M3252">
        <v>5</v>
      </c>
      <c r="N3252">
        <v>90.48</v>
      </c>
      <c r="O3252">
        <v>20.68965517241379</v>
      </c>
    </row>
    <row r="3253" spans="1:15" customFormat="1" hidden="1" x14ac:dyDescent="0.25">
      <c r="A3253" s="11">
        <v>46104</v>
      </c>
      <c r="B3253" t="s">
        <v>52</v>
      </c>
      <c r="C3253" t="s">
        <v>48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352"/>
        <v>25</v>
      </c>
      <c r="J3253" s="3">
        <f t="shared" si="353"/>
        <v>18</v>
      </c>
      <c r="K3253" s="3">
        <f t="shared" si="354"/>
        <v>7</v>
      </c>
      <c r="L3253" s="3" t="str">
        <f t="shared" si="348"/>
        <v>MUITO BOM</v>
      </c>
      <c r="M3253">
        <v>22</v>
      </c>
      <c r="N3253">
        <v>98.06</v>
      </c>
      <c r="O3253">
        <v>24.789915966386559</v>
      </c>
    </row>
    <row r="3254" spans="1:15" customFormat="1" hidden="1" x14ac:dyDescent="0.25">
      <c r="A3254" s="11">
        <v>46104</v>
      </c>
      <c r="B3254" t="s">
        <v>36</v>
      </c>
      <c r="C3254" t="s">
        <v>32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352"/>
        <v>27</v>
      </c>
      <c r="J3254" s="3">
        <f t="shared" si="353"/>
        <v>22</v>
      </c>
      <c r="K3254" s="3">
        <f t="shared" si="354"/>
        <v>5</v>
      </c>
      <c r="L3254" s="3" t="str">
        <f t="shared" si="348"/>
        <v>OPORTUNO</v>
      </c>
      <c r="M3254">
        <v>27</v>
      </c>
      <c r="N3254">
        <v>97.78</v>
      </c>
      <c r="O3254">
        <v>25.494071146245059</v>
      </c>
    </row>
    <row r="3255" spans="1:15" customFormat="1" hidden="1" x14ac:dyDescent="0.25">
      <c r="A3255" s="11">
        <v>46104</v>
      </c>
      <c r="B3255" t="s">
        <v>53</v>
      </c>
      <c r="C3255" t="s">
        <v>48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352"/>
        <v>26</v>
      </c>
      <c r="J3255" s="3">
        <f t="shared" si="353"/>
        <v>18</v>
      </c>
      <c r="K3255" s="3">
        <f t="shared" si="354"/>
        <v>8</v>
      </c>
      <c r="L3255" s="3" t="str">
        <f t="shared" si="348"/>
        <v>MUITO BOM</v>
      </c>
      <c r="M3255">
        <v>23</v>
      </c>
      <c r="N3255">
        <v>98.02</v>
      </c>
      <c r="O3255">
        <v>23.484848484848481</v>
      </c>
    </row>
    <row r="3256" spans="1:15" customFormat="1" hidden="1" x14ac:dyDescent="0.25">
      <c r="A3256" s="11">
        <v>46139</v>
      </c>
      <c r="B3256" t="s">
        <v>22</v>
      </c>
      <c r="C3256" t="s">
        <v>23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352"/>
        <v>12</v>
      </c>
      <c r="J3256" s="3">
        <f t="shared" si="353"/>
        <v>9</v>
      </c>
      <c r="K3256" s="3">
        <f t="shared" si="354"/>
        <v>3</v>
      </c>
      <c r="L3256" s="3" t="str">
        <f t="shared" si="348"/>
        <v>OPORTUNO</v>
      </c>
      <c r="M3256">
        <v>10</v>
      </c>
      <c r="N3256">
        <v>99.28</v>
      </c>
      <c r="O3256">
        <v>27.689243027888441</v>
      </c>
    </row>
    <row r="3257" spans="1:15" customFormat="1" hidden="1" x14ac:dyDescent="0.25">
      <c r="A3257" s="11">
        <v>46104</v>
      </c>
      <c r="B3257" t="s">
        <v>54</v>
      </c>
      <c r="C3257" t="s">
        <v>48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352"/>
        <v>29</v>
      </c>
      <c r="J3257" s="3">
        <f t="shared" si="353"/>
        <v>18</v>
      </c>
      <c r="K3257" s="3">
        <f t="shared" si="354"/>
        <v>11</v>
      </c>
      <c r="L3257" s="3" t="str">
        <f t="shared" si="348"/>
        <v>MUITO BOM</v>
      </c>
      <c r="M3257">
        <v>27</v>
      </c>
      <c r="N3257">
        <v>100</v>
      </c>
      <c r="O3257">
        <v>27.04918032786885</v>
      </c>
    </row>
    <row r="3258" spans="1:15" customFormat="1" hidden="1" x14ac:dyDescent="0.25">
      <c r="A3258" s="11">
        <v>46104</v>
      </c>
      <c r="B3258" t="s">
        <v>37</v>
      </c>
      <c r="C3258" t="s">
        <v>32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352"/>
        <v>30</v>
      </c>
      <c r="J3258" s="3">
        <f t="shared" si="353"/>
        <v>22</v>
      </c>
      <c r="K3258" s="3">
        <f t="shared" si="354"/>
        <v>8</v>
      </c>
      <c r="L3258" s="3" t="str">
        <f t="shared" si="348"/>
        <v>MUITO BOM</v>
      </c>
      <c r="M3258">
        <v>26</v>
      </c>
      <c r="N3258">
        <v>97.83</v>
      </c>
      <c r="O3258">
        <v>26.315789473684209</v>
      </c>
    </row>
    <row r="3259" spans="1:15" customFormat="1" hidden="1" x14ac:dyDescent="0.25">
      <c r="A3259" s="11">
        <v>46104</v>
      </c>
      <c r="B3259" t="s">
        <v>38</v>
      </c>
      <c r="C3259" t="s">
        <v>32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352"/>
        <v>6</v>
      </c>
      <c r="J3259" s="3">
        <f t="shared" si="353"/>
        <v>22</v>
      </c>
      <c r="K3259" s="3">
        <f t="shared" si="354"/>
        <v>-16</v>
      </c>
      <c r="L3259" s="3" t="str">
        <f t="shared" ref="L3259:L3322" si="355">IF(K3259&lt;-5,"CRÍTICO",IF(K3259&lt;0,"ATENÇÃO",IF(K3259&lt;=5,"OPORTUNO","MUITO BOM")))</f>
        <v>CRÍTICO</v>
      </c>
      <c r="M3259">
        <v>6</v>
      </c>
      <c r="N3259">
        <v>100</v>
      </c>
      <c r="O3259">
        <v>26.701570680628269</v>
      </c>
    </row>
    <row r="3260" spans="1:15" customFormat="1" hidden="1" x14ac:dyDescent="0.25">
      <c r="A3260" s="11">
        <v>46104</v>
      </c>
      <c r="B3260" t="s">
        <v>55</v>
      </c>
      <c r="C3260" t="s">
        <v>48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355"/>
        <v>OPORTUNO</v>
      </c>
      <c r="M3260">
        <v>0</v>
      </c>
      <c r="N3260">
        <v>97.47</v>
      </c>
      <c r="O3260">
        <v>22.887323943661968</v>
      </c>
    </row>
    <row r="3261" spans="1:15" customFormat="1" hidden="1" x14ac:dyDescent="0.25">
      <c r="A3261" s="11">
        <v>46104</v>
      </c>
      <c r="B3261" t="s">
        <v>39</v>
      </c>
      <c r="C3261" t="s">
        <v>32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 t="shared" si="355"/>
        <v>OPORTUNO</v>
      </c>
      <c r="M3261">
        <v>0</v>
      </c>
      <c r="N3261">
        <v>0</v>
      </c>
      <c r="O3261">
        <v>0</v>
      </c>
    </row>
    <row r="3262" spans="1:15" customFormat="1" hidden="1" x14ac:dyDescent="0.25">
      <c r="A3262" s="11">
        <v>46104</v>
      </c>
      <c r="B3262" t="s">
        <v>25</v>
      </c>
      <c r="C3262" t="s">
        <v>26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13</v>
      </c>
      <c r="K3262" s="3">
        <f>I3262-J3262</f>
        <v>-4</v>
      </c>
      <c r="L3262" s="3" t="str">
        <f t="shared" si="355"/>
        <v>ATENÇÃO</v>
      </c>
      <c r="M3262">
        <v>8</v>
      </c>
      <c r="N3262">
        <v>98.31</v>
      </c>
      <c r="O3262">
        <v>24.920127795527151</v>
      </c>
    </row>
    <row r="3263" spans="1:15" customFormat="1" hidden="1" x14ac:dyDescent="0.25">
      <c r="A3263" s="11">
        <v>46104</v>
      </c>
      <c r="B3263" t="s">
        <v>40</v>
      </c>
      <c r="C3263" t="s">
        <v>32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22</v>
      </c>
      <c r="K3263" s="3">
        <f>I3263-J3263</f>
        <v>-9</v>
      </c>
      <c r="L3263" s="3" t="str">
        <f t="shared" si="355"/>
        <v>CRÍTICO</v>
      </c>
      <c r="M3263">
        <v>13</v>
      </c>
      <c r="N3263">
        <v>96.81</v>
      </c>
      <c r="O3263">
        <v>32.365145228215773</v>
      </c>
    </row>
    <row r="3264" spans="1:15" customFormat="1" hidden="1" x14ac:dyDescent="0.25">
      <c r="A3264" s="11">
        <v>46104</v>
      </c>
      <c r="B3264" t="s">
        <v>27</v>
      </c>
      <c r="C3264" t="s">
        <v>26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13</v>
      </c>
      <c r="K3264" s="3">
        <f>I3264-J3264</f>
        <v>3</v>
      </c>
      <c r="L3264" s="3" t="str">
        <f t="shared" si="355"/>
        <v>OPORTUNO</v>
      </c>
      <c r="M3264">
        <v>12</v>
      </c>
      <c r="N3264">
        <v>100</v>
      </c>
      <c r="O3264">
        <v>26.47058823529412</v>
      </c>
    </row>
    <row r="3265" spans="1:15" customFormat="1" hidden="1" x14ac:dyDescent="0.25">
      <c r="A3265" s="11">
        <v>46104</v>
      </c>
      <c r="B3265" t="s">
        <v>41</v>
      </c>
      <c r="C3265" t="s">
        <v>32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22</v>
      </c>
      <c r="K3265" s="3">
        <f>I3265-J3265</f>
        <v>-7</v>
      </c>
      <c r="L3265" s="3" t="str">
        <f t="shared" si="355"/>
        <v>CRÍTICO</v>
      </c>
      <c r="M3265">
        <v>14</v>
      </c>
      <c r="N3265">
        <v>100</v>
      </c>
      <c r="O3265">
        <v>28.490028490028489</v>
      </c>
    </row>
    <row r="3266" spans="1:15" customFormat="1" hidden="1" x14ac:dyDescent="0.25">
      <c r="A3266" s="11">
        <v>46104</v>
      </c>
      <c r="B3266" t="s">
        <v>56</v>
      </c>
      <c r="C3266" t="s">
        <v>48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18</v>
      </c>
      <c r="K3266" s="3">
        <f>I3266-J3266</f>
        <v>1</v>
      </c>
      <c r="L3266" s="3" t="str">
        <f t="shared" si="355"/>
        <v>OPORTUNO</v>
      </c>
      <c r="M3266">
        <v>32</v>
      </c>
      <c r="N3266">
        <v>99.14</v>
      </c>
      <c r="O3266">
        <v>27.2289156626506</v>
      </c>
    </row>
    <row r="3267" spans="1:15" customFormat="1" hidden="1" x14ac:dyDescent="0.25">
      <c r="A3267" s="11">
        <v>46104</v>
      </c>
      <c r="B3267" t="s">
        <v>57</v>
      </c>
      <c r="C3267" t="s">
        <v>48</v>
      </c>
      <c r="D3267">
        <v>27</v>
      </c>
      <c r="E3267">
        <v>26</v>
      </c>
      <c r="F3267">
        <v>15.59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355"/>
        <v>OPORTUNO</v>
      </c>
      <c r="M3267">
        <v>22</v>
      </c>
      <c r="N3267">
        <v>97.52</v>
      </c>
      <c r="O3267">
        <v>28.205128205128201</v>
      </c>
    </row>
    <row r="3268" spans="1:15" customFormat="1" hidden="1" x14ac:dyDescent="0.25">
      <c r="A3268" s="11">
        <v>46104</v>
      </c>
      <c r="B3268" t="s">
        <v>42</v>
      </c>
      <c r="C3268" t="s">
        <v>32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 t="shared" si="355"/>
        <v>OPORTUNO</v>
      </c>
      <c r="M3268">
        <v>0</v>
      </c>
      <c r="N3268">
        <v>90</v>
      </c>
      <c r="O3268">
        <v>24.186046511627911</v>
      </c>
    </row>
    <row r="3269" spans="1:15" customFormat="1" hidden="1" x14ac:dyDescent="0.25">
      <c r="A3269" s="11">
        <v>46104</v>
      </c>
      <c r="B3269" t="s">
        <v>62</v>
      </c>
      <c r="C3269" t="s">
        <v>23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14</v>
      </c>
      <c r="K3269" s="3">
        <f>I3269-J3269</f>
        <v>7</v>
      </c>
      <c r="L3269" s="3" t="str">
        <f t="shared" si="355"/>
        <v>MUITO BOM</v>
      </c>
      <c r="M3269">
        <v>16</v>
      </c>
      <c r="N3269">
        <v>98.9</v>
      </c>
      <c r="O3269">
        <v>26.763990267639901</v>
      </c>
    </row>
    <row r="3270" spans="1:15" customFormat="1" hidden="1" x14ac:dyDescent="0.25">
      <c r="A3270" s="11">
        <v>46104</v>
      </c>
      <c r="B3270" t="s">
        <v>19</v>
      </c>
      <c r="C3270" t="s">
        <v>16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 t="shared" si="355"/>
        <v>OPORTUNO</v>
      </c>
      <c r="M3270">
        <v>5</v>
      </c>
      <c r="N3270">
        <v>88.89</v>
      </c>
      <c r="O3270">
        <v>25.263157894736839</v>
      </c>
    </row>
    <row r="3271" spans="1:15" customFormat="1" hidden="1" x14ac:dyDescent="0.25">
      <c r="A3271" s="11">
        <v>46104</v>
      </c>
      <c r="B3271" t="s">
        <v>43</v>
      </c>
      <c r="C3271" t="s">
        <v>32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-2</v>
      </c>
      <c r="L3271" s="3" t="str">
        <f t="shared" si="355"/>
        <v>ATENÇÃO</v>
      </c>
      <c r="M3271">
        <v>19</v>
      </c>
      <c r="N3271">
        <v>98.86</v>
      </c>
      <c r="O3271">
        <v>28.959276018099551</v>
      </c>
    </row>
    <row r="3272" spans="1:15" customFormat="1" hidden="1" x14ac:dyDescent="0.25">
      <c r="A3272" s="11">
        <v>46104</v>
      </c>
      <c r="B3272" t="s">
        <v>44</v>
      </c>
      <c r="C3272" t="s">
        <v>32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22</v>
      </c>
      <c r="K3272" s="3">
        <f>I3272-J3272</f>
        <v>8</v>
      </c>
      <c r="L3272" s="3" t="str">
        <f t="shared" si="355"/>
        <v>MUITO BOM</v>
      </c>
      <c r="M3272">
        <v>27</v>
      </c>
      <c r="N3272">
        <v>98.06</v>
      </c>
      <c r="O3272">
        <v>22.40566037735849</v>
      </c>
    </row>
    <row r="3273" spans="1:15" customFormat="1" hidden="1" x14ac:dyDescent="0.25">
      <c r="A3273" s="11">
        <v>46104</v>
      </c>
      <c r="B3273" t="s">
        <v>20</v>
      </c>
      <c r="C3273" t="s">
        <v>16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 t="shared" si="355"/>
        <v>ATENÇÃO</v>
      </c>
      <c r="M3273">
        <v>3</v>
      </c>
      <c r="N3273">
        <v>95.83</v>
      </c>
      <c r="O3273">
        <v>25.773195876288661</v>
      </c>
    </row>
    <row r="3274" spans="1:15" customFormat="1" hidden="1" x14ac:dyDescent="0.25">
      <c r="A3274" s="11">
        <v>46104</v>
      </c>
      <c r="B3274" t="s">
        <v>28</v>
      </c>
      <c r="C3274" t="s">
        <v>26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 t="shared" si="355"/>
        <v>OPORTUNO</v>
      </c>
      <c r="M3274">
        <v>0</v>
      </c>
      <c r="N3274">
        <v>100</v>
      </c>
      <c r="O3274">
        <v>15.38461538461539</v>
      </c>
    </row>
    <row r="3275" spans="1:15" customFormat="1" hidden="1" x14ac:dyDescent="0.25">
      <c r="A3275" s="11">
        <v>46104</v>
      </c>
      <c r="B3275" t="s">
        <v>58</v>
      </c>
      <c r="C3275" t="s">
        <v>48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18</v>
      </c>
      <c r="K3275" s="3">
        <f>I3275-J3275</f>
        <v>2</v>
      </c>
      <c r="L3275" s="3" t="str">
        <f t="shared" si="355"/>
        <v>OPORTUNO</v>
      </c>
      <c r="M3275">
        <v>17</v>
      </c>
      <c r="N3275">
        <v>100</v>
      </c>
      <c r="O3275">
        <v>27.514792899408281</v>
      </c>
    </row>
    <row r="3276" spans="1:15" customFormat="1" hidden="1" x14ac:dyDescent="0.25">
      <c r="A3276" s="11">
        <v>46104</v>
      </c>
      <c r="B3276" t="s">
        <v>29</v>
      </c>
      <c r="C3276" t="s">
        <v>26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 t="shared" si="355"/>
        <v>OPORTUNO</v>
      </c>
      <c r="M3276">
        <v>25</v>
      </c>
      <c r="N3276">
        <v>100</v>
      </c>
      <c r="O3276">
        <v>24.875621890547269</v>
      </c>
    </row>
    <row r="3277" spans="1:15" customFormat="1" hidden="1" x14ac:dyDescent="0.25">
      <c r="A3277" s="11">
        <v>46104</v>
      </c>
      <c r="B3277" t="s">
        <v>30</v>
      </c>
      <c r="C3277" t="s">
        <v>26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13</v>
      </c>
      <c r="K3277" s="3">
        <f>I3277-J3277</f>
        <v>3</v>
      </c>
      <c r="L3277" s="3" t="str">
        <f t="shared" si="355"/>
        <v>OPORTUNO</v>
      </c>
      <c r="M3277">
        <v>11</v>
      </c>
      <c r="N3277">
        <v>100</v>
      </c>
      <c r="O3277">
        <v>28.108108108108109</v>
      </c>
    </row>
    <row r="3278" spans="1:15" customFormat="1" hidden="1" x14ac:dyDescent="0.25">
      <c r="A3278" s="11">
        <v>46104</v>
      </c>
      <c r="B3278" t="s">
        <v>21</v>
      </c>
      <c r="C3278" t="s">
        <v>16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 t="shared" si="355"/>
        <v>OPORTUNO</v>
      </c>
      <c r="M3278">
        <v>0</v>
      </c>
      <c r="N3278">
        <v>100</v>
      </c>
      <c r="O3278">
        <v>35</v>
      </c>
    </row>
    <row r="3279" spans="1:15" customFormat="1" hidden="1" x14ac:dyDescent="0.25">
      <c r="A3279" s="11">
        <v>46104</v>
      </c>
      <c r="B3279" t="s">
        <v>63</v>
      </c>
      <c r="C3279" t="s">
        <v>23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14</v>
      </c>
      <c r="K3279" s="3">
        <f>I3279-J3279</f>
        <v>5</v>
      </c>
      <c r="L3279" s="3" t="str">
        <f t="shared" si="355"/>
        <v>OPORTUNO</v>
      </c>
      <c r="M3279">
        <v>17</v>
      </c>
      <c r="N3279">
        <v>95.35</v>
      </c>
      <c r="O3279">
        <v>28.61538461538461</v>
      </c>
    </row>
    <row r="3280" spans="1:15" customFormat="1" hidden="1" x14ac:dyDescent="0.25">
      <c r="A3280" s="11">
        <v>46104</v>
      </c>
      <c r="B3280" t="s">
        <v>45</v>
      </c>
      <c r="C3280" t="s">
        <v>32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22</v>
      </c>
      <c r="K3280" s="3">
        <f>I3280-J3280</f>
        <v>3</v>
      </c>
      <c r="L3280" s="3" t="str">
        <f t="shared" si="355"/>
        <v>OPORTUNO</v>
      </c>
      <c r="M3280">
        <v>21</v>
      </c>
      <c r="N3280">
        <v>98.26</v>
      </c>
      <c r="O3280">
        <v>27.54491017964072</v>
      </c>
    </row>
    <row r="3281" spans="1:15" customFormat="1" hidden="1" x14ac:dyDescent="0.25">
      <c r="A3281" s="11">
        <v>46104</v>
      </c>
      <c r="B3281" t="s">
        <v>64</v>
      </c>
      <c r="C3281" t="s">
        <v>23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14</v>
      </c>
      <c r="K3281" s="3">
        <f>I3281-J3281</f>
        <v>-4</v>
      </c>
      <c r="L3281" s="3" t="str">
        <f t="shared" si="355"/>
        <v>ATENÇÃO</v>
      </c>
      <c r="M3281">
        <v>12</v>
      </c>
      <c r="N3281">
        <v>98.55</v>
      </c>
      <c r="O3281">
        <v>25.337837837837839</v>
      </c>
    </row>
    <row r="3282" spans="1:15" customFormat="1" hidden="1" x14ac:dyDescent="0.25">
      <c r="A3282" s="11">
        <v>46104</v>
      </c>
      <c r="B3282" t="s">
        <v>46</v>
      </c>
      <c r="C3282" t="s">
        <v>32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22</v>
      </c>
      <c r="K3282" s="3">
        <f>I3282-J3282</f>
        <v>2</v>
      </c>
      <c r="L3282" s="3" t="str">
        <f t="shared" si="355"/>
        <v>OPORTUNO</v>
      </c>
      <c r="M3282">
        <v>18</v>
      </c>
      <c r="N3282">
        <v>98.39</v>
      </c>
      <c r="O3282">
        <v>25.563909774436091</v>
      </c>
    </row>
    <row r="3283" spans="1:15" customFormat="1" hidden="1" x14ac:dyDescent="0.25">
      <c r="A3283" s="11">
        <v>46105</v>
      </c>
      <c r="B3283" t="s">
        <v>47</v>
      </c>
      <c r="C3283" t="s">
        <v>48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21</v>
      </c>
      <c r="K3283" s="3">
        <f>I3283-J3283</f>
        <v>0</v>
      </c>
      <c r="L3283" s="3" t="str">
        <f t="shared" si="355"/>
        <v>OPORTUNO</v>
      </c>
      <c r="M3283">
        <v>19</v>
      </c>
      <c r="N3283">
        <v>94.29</v>
      </c>
      <c r="O3283">
        <v>25.647668393782389</v>
      </c>
    </row>
    <row r="3284" spans="1:15" customFormat="1" hidden="1" x14ac:dyDescent="0.25">
      <c r="A3284" s="11">
        <v>46105</v>
      </c>
      <c r="B3284" t="s">
        <v>31</v>
      </c>
      <c r="C3284" t="s">
        <v>32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 t="shared" si="355"/>
        <v>OPORTUNO</v>
      </c>
      <c r="M3284">
        <v>23</v>
      </c>
      <c r="N3284">
        <v>98.26</v>
      </c>
      <c r="O3284">
        <v>26.666666666666671</v>
      </c>
    </row>
    <row r="3285" spans="1:15" customFormat="1" hidden="1" x14ac:dyDescent="0.25">
      <c r="A3285" s="11">
        <v>46105</v>
      </c>
      <c r="B3285" t="s">
        <v>59</v>
      </c>
      <c r="C3285" t="s">
        <v>23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ref="I3285:I3292" si="356">E3285+G3285+H3285</f>
        <v>26</v>
      </c>
      <c r="J3285" s="3">
        <f t="shared" ref="J3285:J3292" si="357"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 t="shared" ref="K3285:K3292" si="358">I3285-J3285</f>
        <v>9</v>
      </c>
      <c r="L3285" s="3" t="str">
        <f t="shared" si="355"/>
        <v>MUITO BOM</v>
      </c>
      <c r="M3285">
        <v>26</v>
      </c>
      <c r="N3285">
        <v>98.2</v>
      </c>
      <c r="O3285">
        <v>23.37962962962963</v>
      </c>
    </row>
    <row r="3286" spans="1:15" customFormat="1" hidden="1" x14ac:dyDescent="0.25">
      <c r="A3286" s="11">
        <v>46105</v>
      </c>
      <c r="B3286" t="s">
        <v>33</v>
      </c>
      <c r="C3286" t="s">
        <v>32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356"/>
        <v>34</v>
      </c>
      <c r="J3286" s="3">
        <f t="shared" si="357"/>
        <v>27</v>
      </c>
      <c r="K3286" s="3">
        <f t="shared" si="358"/>
        <v>7</v>
      </c>
      <c r="L3286" s="3" t="str">
        <f t="shared" si="355"/>
        <v>MUITO BOM</v>
      </c>
      <c r="M3286">
        <v>25</v>
      </c>
      <c r="N3286">
        <v>97.3</v>
      </c>
      <c r="O3286">
        <v>23.84769539078156</v>
      </c>
    </row>
    <row r="3287" spans="1:15" customFormat="1" hidden="1" x14ac:dyDescent="0.25">
      <c r="A3287" s="11">
        <v>46105</v>
      </c>
      <c r="B3287" t="s">
        <v>15</v>
      </c>
      <c r="C3287" t="s">
        <v>16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356"/>
        <v>9</v>
      </c>
      <c r="J3287" s="3">
        <f t="shared" si="357"/>
        <v>8</v>
      </c>
      <c r="K3287" s="3">
        <f t="shared" si="358"/>
        <v>1</v>
      </c>
      <c r="L3287" s="3" t="str">
        <f t="shared" si="355"/>
        <v>OPORTUNO</v>
      </c>
      <c r="M3287">
        <v>7</v>
      </c>
      <c r="N3287">
        <v>100</v>
      </c>
      <c r="O3287">
        <v>25.268817204301079</v>
      </c>
    </row>
    <row r="3288" spans="1:15" customFormat="1" hidden="1" x14ac:dyDescent="0.25">
      <c r="A3288" s="11">
        <v>46105</v>
      </c>
      <c r="B3288" t="s">
        <v>49</v>
      </c>
      <c r="C3288" t="s">
        <v>48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356"/>
        <v>32</v>
      </c>
      <c r="J3288" s="3">
        <f t="shared" si="357"/>
        <v>21</v>
      </c>
      <c r="K3288" s="3">
        <f t="shared" si="358"/>
        <v>11</v>
      </c>
      <c r="L3288" s="3" t="str">
        <f t="shared" si="355"/>
        <v>MUITO BOM</v>
      </c>
      <c r="M3288">
        <v>34</v>
      </c>
      <c r="N3288">
        <v>99.32</v>
      </c>
      <c r="O3288">
        <v>22.822822822822818</v>
      </c>
    </row>
    <row r="3289" spans="1:15" customFormat="1" hidden="1" x14ac:dyDescent="0.25">
      <c r="A3289" s="11">
        <v>46105</v>
      </c>
      <c r="B3289" t="s">
        <v>50</v>
      </c>
      <c r="C3289" t="s">
        <v>48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356"/>
        <v>22</v>
      </c>
      <c r="J3289" s="3">
        <f t="shared" si="357"/>
        <v>21</v>
      </c>
      <c r="K3289" s="3">
        <f t="shared" si="358"/>
        <v>1</v>
      </c>
      <c r="L3289" s="3" t="str">
        <f t="shared" si="355"/>
        <v>OPORTUNO</v>
      </c>
      <c r="M3289">
        <v>21</v>
      </c>
      <c r="N3289">
        <v>100</v>
      </c>
      <c r="O3289">
        <v>27.966101694915249</v>
      </c>
    </row>
    <row r="3290" spans="1:15" customFormat="1" hidden="1" x14ac:dyDescent="0.25">
      <c r="A3290" s="11">
        <v>46105</v>
      </c>
      <c r="B3290" t="s">
        <v>17</v>
      </c>
      <c r="C3290" t="s">
        <v>16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356"/>
        <v>4</v>
      </c>
      <c r="J3290" s="3">
        <f t="shared" si="357"/>
        <v>8</v>
      </c>
      <c r="K3290" s="3">
        <f t="shared" si="358"/>
        <v>-4</v>
      </c>
      <c r="L3290" s="3" t="str">
        <f t="shared" si="355"/>
        <v>ATENÇÃO</v>
      </c>
      <c r="M3290">
        <v>3</v>
      </c>
      <c r="N3290">
        <v>100</v>
      </c>
      <c r="O3290">
        <v>30.434782608695659</v>
      </c>
    </row>
    <row r="3291" spans="1:15" customFormat="1" hidden="1" x14ac:dyDescent="0.25">
      <c r="A3291" s="11">
        <v>46105</v>
      </c>
      <c r="B3291" t="s">
        <v>60</v>
      </c>
      <c r="C3291" t="s">
        <v>23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356"/>
        <v>28</v>
      </c>
      <c r="J3291" s="3">
        <f t="shared" si="357"/>
        <v>17</v>
      </c>
      <c r="K3291" s="3">
        <f t="shared" si="358"/>
        <v>11</v>
      </c>
      <c r="L3291" s="3" t="str">
        <f t="shared" si="355"/>
        <v>MUITO BOM</v>
      </c>
      <c r="M3291">
        <v>24</v>
      </c>
      <c r="N3291">
        <v>96.51</v>
      </c>
      <c r="O3291">
        <v>22.802850356294542</v>
      </c>
    </row>
    <row r="3292" spans="1:15" customFormat="1" hidden="1" x14ac:dyDescent="0.25">
      <c r="A3292" s="11">
        <v>46105</v>
      </c>
      <c r="B3292" t="s">
        <v>34</v>
      </c>
      <c r="C3292" t="s">
        <v>32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356"/>
        <v>33</v>
      </c>
      <c r="J3292" s="3">
        <f t="shared" si="357"/>
        <v>27</v>
      </c>
      <c r="K3292" s="3">
        <f t="shared" si="358"/>
        <v>6</v>
      </c>
      <c r="L3292" s="3" t="str">
        <f t="shared" si="355"/>
        <v>MUITO BOM</v>
      </c>
      <c r="M3292">
        <v>27</v>
      </c>
      <c r="N3292">
        <v>92.68</v>
      </c>
      <c r="O3292">
        <v>27.777777777777779</v>
      </c>
    </row>
    <row r="3293" spans="1:15" customFormat="1" hidden="1" x14ac:dyDescent="0.25">
      <c r="A3293" s="11">
        <v>46105</v>
      </c>
      <c r="B3293" t="s">
        <v>51</v>
      </c>
      <c r="C3293" t="s">
        <v>48</v>
      </c>
      <c r="D3293">
        <v>25</v>
      </c>
      <c r="E3293">
        <v>21</v>
      </c>
      <c r="F3293">
        <v>21.59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 t="shared" si="355"/>
        <v>OPORTUNO</v>
      </c>
      <c r="M3293">
        <v>17</v>
      </c>
      <c r="N3293">
        <v>99.03</v>
      </c>
      <c r="O3293">
        <v>23.991507430997881</v>
      </c>
    </row>
    <row r="3294" spans="1:15" customFormat="1" hidden="1" x14ac:dyDescent="0.25">
      <c r="A3294" s="11">
        <v>46105</v>
      </c>
      <c r="B3294" t="s">
        <v>61</v>
      </c>
      <c r="C3294" t="s">
        <v>23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 t="shared" si="355"/>
        <v>OPORTUNO</v>
      </c>
      <c r="M3294">
        <v>10</v>
      </c>
      <c r="N3294">
        <v>98.41</v>
      </c>
      <c r="O3294">
        <v>28.138528138528141</v>
      </c>
    </row>
    <row r="3295" spans="1:15" customFormat="1" hidden="1" x14ac:dyDescent="0.25">
      <c r="A3295" s="11">
        <v>46105</v>
      </c>
      <c r="B3295" t="s">
        <v>35</v>
      </c>
      <c r="C3295" t="s">
        <v>32</v>
      </c>
      <c r="D3295">
        <v>12</v>
      </c>
      <c r="E3295">
        <v>12</v>
      </c>
      <c r="F3295">
        <v>37.380000000000003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 t="shared" si="355"/>
        <v>OPORTUNO</v>
      </c>
      <c r="M3295">
        <v>10</v>
      </c>
      <c r="N3295">
        <v>98.73</v>
      </c>
      <c r="O3295">
        <v>29.142857142857139</v>
      </c>
    </row>
    <row r="3296" spans="1:15" customFormat="1" hidden="1" x14ac:dyDescent="0.25">
      <c r="A3296" s="11">
        <v>46105</v>
      </c>
      <c r="B3296" t="s">
        <v>18</v>
      </c>
      <c r="C3296" t="s">
        <v>16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8</v>
      </c>
      <c r="K3296" s="3">
        <f>I3296-J3296</f>
        <v>-4</v>
      </c>
      <c r="L3296" s="3" t="str">
        <f t="shared" si="355"/>
        <v>ATENÇÃO</v>
      </c>
      <c r="M3296">
        <v>4</v>
      </c>
      <c r="N3296">
        <v>90.48</v>
      </c>
      <c r="O3296">
        <v>20.68965517241379</v>
      </c>
    </row>
    <row r="3297" spans="1:16" hidden="1" x14ac:dyDescent="0.25">
      <c r="A3297" s="11">
        <v>46105</v>
      </c>
      <c r="B3297" t="s">
        <v>52</v>
      </c>
      <c r="C3297" t="s">
        <v>48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21</v>
      </c>
      <c r="K3297" s="3">
        <f>I3297-J3297</f>
        <v>-7</v>
      </c>
      <c r="L3297" s="3" t="str">
        <f t="shared" si="355"/>
        <v>CRÍTICO</v>
      </c>
      <c r="M3297">
        <v>15</v>
      </c>
      <c r="N3297">
        <v>98.06</v>
      </c>
      <c r="O3297">
        <v>24.789915966386559</v>
      </c>
      <c r="P3297"/>
    </row>
    <row r="3298" spans="1:16" hidden="1" x14ac:dyDescent="0.25">
      <c r="A3298" s="11">
        <v>46105</v>
      </c>
      <c r="B3298" t="s">
        <v>36</v>
      </c>
      <c r="C3298" t="s">
        <v>32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27</v>
      </c>
      <c r="K3298" s="3">
        <f>I3298-J3298</f>
        <v>-3</v>
      </c>
      <c r="L3298" s="3" t="str">
        <f t="shared" si="355"/>
        <v>ATENÇÃO</v>
      </c>
      <c r="M3298">
        <v>26</v>
      </c>
      <c r="N3298">
        <v>97.78</v>
      </c>
      <c r="O3298">
        <v>25.494071146245059</v>
      </c>
      <c r="P3298"/>
    </row>
    <row r="3299" spans="1:16" hidden="1" x14ac:dyDescent="0.25">
      <c r="A3299" s="11">
        <v>46105</v>
      </c>
      <c r="B3299" t="s">
        <v>53</v>
      </c>
      <c r="C3299" t="s">
        <v>48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21</v>
      </c>
      <c r="K3299" s="3">
        <f>I3299-J3299</f>
        <v>1</v>
      </c>
      <c r="L3299" s="3" t="str">
        <f t="shared" si="355"/>
        <v>OPORTUNO</v>
      </c>
      <c r="M3299">
        <v>21</v>
      </c>
      <c r="N3299">
        <v>98.02</v>
      </c>
      <c r="O3299">
        <v>23.484848484848481</v>
      </c>
      <c r="P3299"/>
    </row>
    <row r="3300" spans="1:16" hidden="1" x14ac:dyDescent="0.25">
      <c r="A3300" s="10">
        <v>46164</v>
      </c>
      <c r="B3300" s="6" t="s">
        <v>53</v>
      </c>
      <c r="C3300" s="3" t="s">
        <v>48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 t="shared" si="355"/>
        <v>OPORTUNO</v>
      </c>
      <c r="M3300" s="3">
        <v>0</v>
      </c>
      <c r="N3300" s="3">
        <v>100</v>
      </c>
      <c r="O3300" s="3">
        <v>17.241379310344829</v>
      </c>
    </row>
    <row r="3301" spans="1:16" hidden="1" x14ac:dyDescent="0.25">
      <c r="A3301" s="11">
        <v>46105</v>
      </c>
      <c r="B3301" t="s">
        <v>54</v>
      </c>
      <c r="C3301" t="s">
        <v>48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21</v>
      </c>
      <c r="K3301" s="3">
        <f>I3301-J3301</f>
        <v>2</v>
      </c>
      <c r="L3301" s="3" t="str">
        <f t="shared" si="355"/>
        <v>OPORTUNO</v>
      </c>
      <c r="M3301">
        <v>24</v>
      </c>
      <c r="N3301">
        <v>100</v>
      </c>
      <c r="O3301">
        <v>27.04918032786885</v>
      </c>
      <c r="P3301"/>
    </row>
    <row r="3302" spans="1:16" hidden="1" x14ac:dyDescent="0.25">
      <c r="A3302" s="11">
        <v>46105</v>
      </c>
      <c r="B3302" t="s">
        <v>37</v>
      </c>
      <c r="C3302" t="s">
        <v>32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5</v>
      </c>
      <c r="L3302" s="3" t="str">
        <f t="shared" si="355"/>
        <v>OPORTUNO</v>
      </c>
      <c r="M3302">
        <v>31</v>
      </c>
      <c r="N3302">
        <v>97.83</v>
      </c>
      <c r="O3302">
        <v>26.315789473684209</v>
      </c>
      <c r="P3302"/>
    </row>
    <row r="3303" spans="1:16" hidden="1" x14ac:dyDescent="0.25">
      <c r="A3303" s="11">
        <v>46105</v>
      </c>
      <c r="B3303" t="s">
        <v>38</v>
      </c>
      <c r="C3303" t="s">
        <v>32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27</v>
      </c>
      <c r="K3303" s="3">
        <f>I3303-J3303</f>
        <v>-3</v>
      </c>
      <c r="L3303" s="3" t="str">
        <f t="shared" si="355"/>
        <v>ATENÇÃO</v>
      </c>
      <c r="M3303">
        <v>21</v>
      </c>
      <c r="N3303">
        <v>100</v>
      </c>
      <c r="O3303">
        <v>26.701570680628269</v>
      </c>
      <c r="P3303"/>
    </row>
    <row r="3304" spans="1:16" hidden="1" x14ac:dyDescent="0.25">
      <c r="A3304" s="11">
        <v>46105</v>
      </c>
      <c r="B3304" t="s">
        <v>55</v>
      </c>
      <c r="C3304" t="s">
        <v>48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355"/>
        <v>OPORTUNO</v>
      </c>
      <c r="M3304">
        <v>0</v>
      </c>
      <c r="N3304">
        <v>97.47</v>
      </c>
      <c r="O3304">
        <v>22.887323943661968</v>
      </c>
      <c r="P3304"/>
    </row>
    <row r="3305" spans="1:16" hidden="1" x14ac:dyDescent="0.25">
      <c r="A3305" s="11">
        <v>46105</v>
      </c>
      <c r="B3305" t="s">
        <v>39</v>
      </c>
      <c r="C3305" t="s">
        <v>32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 t="shared" si="355"/>
        <v>OPORTUNO</v>
      </c>
      <c r="M3305">
        <v>0</v>
      </c>
      <c r="N3305">
        <v>0</v>
      </c>
      <c r="O3305">
        <v>0</v>
      </c>
      <c r="P3305"/>
    </row>
    <row r="3306" spans="1:16" hidden="1" x14ac:dyDescent="0.25">
      <c r="A3306" s="11">
        <v>46105</v>
      </c>
      <c r="B3306" t="s">
        <v>25</v>
      </c>
      <c r="C3306" t="s">
        <v>26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 t="shared" si="355"/>
        <v>MUITO BOM</v>
      </c>
      <c r="M3306">
        <v>22</v>
      </c>
      <c r="N3306">
        <v>98.31</v>
      </c>
      <c r="O3306">
        <v>24.920127795527151</v>
      </c>
      <c r="P3306"/>
    </row>
    <row r="3307" spans="1:16" hidden="1" x14ac:dyDescent="0.25">
      <c r="A3307" s="11">
        <v>46105</v>
      </c>
      <c r="B3307" t="s">
        <v>40</v>
      </c>
      <c r="C3307" t="s">
        <v>32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27</v>
      </c>
      <c r="K3307" s="3">
        <f>I3307-J3307</f>
        <v>-7</v>
      </c>
      <c r="L3307" s="3" t="str">
        <f t="shared" si="355"/>
        <v>CRÍTICO</v>
      </c>
      <c r="M3307">
        <v>19</v>
      </c>
      <c r="N3307">
        <v>96.81</v>
      </c>
      <c r="O3307">
        <v>32.365145228215773</v>
      </c>
      <c r="P3307"/>
    </row>
    <row r="3308" spans="1:16" hidden="1" x14ac:dyDescent="0.25">
      <c r="A3308" s="11">
        <v>46105</v>
      </c>
      <c r="B3308" t="s">
        <v>27</v>
      </c>
      <c r="C3308" t="s">
        <v>26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 t="shared" si="355"/>
        <v>ATENÇÃO</v>
      </c>
      <c r="M3308">
        <v>10</v>
      </c>
      <c r="N3308">
        <v>100</v>
      </c>
      <c r="O3308">
        <v>26.47058823529412</v>
      </c>
      <c r="P3308"/>
    </row>
    <row r="3309" spans="1:16" hidden="1" x14ac:dyDescent="0.25">
      <c r="A3309" s="11">
        <v>46105</v>
      </c>
      <c r="B3309" t="s">
        <v>41</v>
      </c>
      <c r="C3309" t="s">
        <v>32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27</v>
      </c>
      <c r="K3309" s="3">
        <f>I3309-J3309</f>
        <v>-2</v>
      </c>
      <c r="L3309" s="3" t="str">
        <f t="shared" si="355"/>
        <v>ATENÇÃO</v>
      </c>
      <c r="M3309">
        <v>28</v>
      </c>
      <c r="N3309">
        <v>100</v>
      </c>
      <c r="O3309">
        <v>28.490028490028489</v>
      </c>
      <c r="P3309"/>
    </row>
    <row r="3310" spans="1:16" hidden="1" x14ac:dyDescent="0.25">
      <c r="A3310" s="11">
        <v>46105</v>
      </c>
      <c r="B3310" t="s">
        <v>56</v>
      </c>
      <c r="C3310" t="s">
        <v>48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21</v>
      </c>
      <c r="K3310" s="3">
        <f>I3310-J3310</f>
        <v>-3</v>
      </c>
      <c r="L3310" s="3" t="str">
        <f t="shared" si="355"/>
        <v>ATENÇÃO</v>
      </c>
      <c r="M3310">
        <v>14</v>
      </c>
      <c r="N3310">
        <v>99.14</v>
      </c>
      <c r="O3310">
        <v>27.2289156626506</v>
      </c>
      <c r="P3310"/>
    </row>
    <row r="3311" spans="1:16" hidden="1" x14ac:dyDescent="0.25">
      <c r="A3311" s="11">
        <v>46105</v>
      </c>
      <c r="B3311" t="s">
        <v>57</v>
      </c>
      <c r="C3311" t="s">
        <v>48</v>
      </c>
      <c r="D3311">
        <v>21</v>
      </c>
      <c r="E3311">
        <v>20</v>
      </c>
      <c r="F3311">
        <v>19.07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355"/>
        <v>OPORTUNO</v>
      </c>
      <c r="M3311">
        <v>16</v>
      </c>
      <c r="N3311">
        <v>97.52</v>
      </c>
      <c r="O3311">
        <v>28.205128205128201</v>
      </c>
      <c r="P3311"/>
    </row>
    <row r="3312" spans="1:16" hidden="1" x14ac:dyDescent="0.25">
      <c r="A3312" s="11">
        <v>46105</v>
      </c>
      <c r="B3312" t="s">
        <v>42</v>
      </c>
      <c r="C3312" t="s">
        <v>32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 t="shared" si="355"/>
        <v>OPORTUNO</v>
      </c>
      <c r="M3312">
        <v>0</v>
      </c>
      <c r="N3312">
        <v>90</v>
      </c>
      <c r="O3312">
        <v>24.186046511627911</v>
      </c>
      <c r="P3312"/>
    </row>
    <row r="3313" spans="1:15" customFormat="1" hidden="1" x14ac:dyDescent="0.25">
      <c r="A3313" s="11">
        <v>46105</v>
      </c>
      <c r="B3313" t="s">
        <v>62</v>
      </c>
      <c r="C3313" t="s">
        <v>23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 t="shared" si="355"/>
        <v>MUITO BOM</v>
      </c>
      <c r="M3313">
        <v>23</v>
      </c>
      <c r="N3313">
        <v>98.9</v>
      </c>
      <c r="O3313">
        <v>26.763990267639901</v>
      </c>
    </row>
    <row r="3314" spans="1:15" customFormat="1" hidden="1" x14ac:dyDescent="0.25">
      <c r="A3314" s="11">
        <v>46105</v>
      </c>
      <c r="B3314" t="s">
        <v>19</v>
      </c>
      <c r="C3314" t="s">
        <v>16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8</v>
      </c>
      <c r="K3314" s="3">
        <f>I3314-J3314</f>
        <v>-2</v>
      </c>
      <c r="L3314" s="3" t="str">
        <f t="shared" si="355"/>
        <v>ATENÇÃO</v>
      </c>
      <c r="M3314">
        <v>5</v>
      </c>
      <c r="N3314">
        <v>88.89</v>
      </c>
      <c r="O3314">
        <v>25.263157894736839</v>
      </c>
    </row>
    <row r="3315" spans="1:15" customFormat="1" hidden="1" x14ac:dyDescent="0.25">
      <c r="A3315" s="11">
        <v>46105</v>
      </c>
      <c r="B3315" t="s">
        <v>43</v>
      </c>
      <c r="C3315" t="s">
        <v>32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-5</v>
      </c>
      <c r="L3315" s="3" t="str">
        <f t="shared" si="355"/>
        <v>ATENÇÃO</v>
      </c>
      <c r="M3315">
        <v>19</v>
      </c>
      <c r="N3315">
        <v>98.86</v>
      </c>
      <c r="O3315">
        <v>28.959276018099551</v>
      </c>
    </row>
    <row r="3316" spans="1:15" customFormat="1" hidden="1" x14ac:dyDescent="0.25">
      <c r="A3316" s="11">
        <v>46105</v>
      </c>
      <c r="B3316" t="s">
        <v>44</v>
      </c>
      <c r="C3316" t="s">
        <v>32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27</v>
      </c>
      <c r="K3316" s="3">
        <f>I3316-J3316</f>
        <v>-4</v>
      </c>
      <c r="L3316" s="3" t="str">
        <f t="shared" si="355"/>
        <v>ATENÇÃO</v>
      </c>
      <c r="M3316">
        <v>23</v>
      </c>
      <c r="N3316">
        <v>98.06</v>
      </c>
      <c r="O3316">
        <v>22.40566037735849</v>
      </c>
    </row>
    <row r="3317" spans="1:15" customFormat="1" hidden="1" x14ac:dyDescent="0.25">
      <c r="A3317" s="11">
        <v>46105</v>
      </c>
      <c r="B3317" t="s">
        <v>20</v>
      </c>
      <c r="C3317" t="s">
        <v>16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8</v>
      </c>
      <c r="K3317" s="3">
        <f>I3317-J3317</f>
        <v>8</v>
      </c>
      <c r="L3317" s="3" t="str">
        <f t="shared" si="355"/>
        <v>MUITO BOM</v>
      </c>
      <c r="M3317">
        <v>8</v>
      </c>
      <c r="N3317">
        <v>95.83</v>
      </c>
      <c r="O3317">
        <v>25.773195876288661</v>
      </c>
    </row>
    <row r="3318" spans="1:15" customFormat="1" hidden="1" x14ac:dyDescent="0.25">
      <c r="A3318" s="11">
        <v>46105</v>
      </c>
      <c r="B3318" t="s">
        <v>28</v>
      </c>
      <c r="C3318" t="s">
        <v>26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 t="shared" si="355"/>
        <v>OPORTUNO</v>
      </c>
      <c r="M3318">
        <v>0</v>
      </c>
      <c r="N3318">
        <v>100</v>
      </c>
      <c r="O3318">
        <v>15.38461538461539</v>
      </c>
    </row>
    <row r="3319" spans="1:15" customFormat="1" hidden="1" x14ac:dyDescent="0.25">
      <c r="A3319" s="11">
        <v>46105</v>
      </c>
      <c r="B3319" t="s">
        <v>58</v>
      </c>
      <c r="C3319" t="s">
        <v>48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ref="I3319:I3327" si="359">E3319+G3319+H3319</f>
        <v>21</v>
      </c>
      <c r="J3319" s="3">
        <f t="shared" ref="J3319:J3327" si="360"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21</v>
      </c>
      <c r="K3319" s="3">
        <f t="shared" ref="K3319:K3327" si="361">I3319-J3319</f>
        <v>0</v>
      </c>
      <c r="L3319" s="3" t="str">
        <f t="shared" si="355"/>
        <v>OPORTUNO</v>
      </c>
      <c r="M3319">
        <v>20</v>
      </c>
      <c r="N3319">
        <v>100</v>
      </c>
      <c r="O3319">
        <v>27.514792899408281</v>
      </c>
    </row>
    <row r="3320" spans="1:15" customFormat="1" hidden="1" x14ac:dyDescent="0.25">
      <c r="A3320" s="11">
        <v>46105</v>
      </c>
      <c r="B3320" t="s">
        <v>29</v>
      </c>
      <c r="C3320" t="s">
        <v>26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359"/>
        <v>13</v>
      </c>
      <c r="J3320" s="3">
        <f t="shared" si="360"/>
        <v>15</v>
      </c>
      <c r="K3320" s="3">
        <f t="shared" si="361"/>
        <v>-2</v>
      </c>
      <c r="L3320" s="3" t="str">
        <f t="shared" si="355"/>
        <v>ATENÇÃO</v>
      </c>
      <c r="M3320">
        <v>12</v>
      </c>
      <c r="N3320">
        <v>100</v>
      </c>
      <c r="O3320">
        <v>24.875621890547269</v>
      </c>
    </row>
    <row r="3321" spans="1:15" customFormat="1" hidden="1" x14ac:dyDescent="0.25">
      <c r="A3321" s="11">
        <v>46105</v>
      </c>
      <c r="B3321" t="s">
        <v>30</v>
      </c>
      <c r="C3321" t="s">
        <v>26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359"/>
        <v>12</v>
      </c>
      <c r="J3321" s="3">
        <f t="shared" si="360"/>
        <v>15</v>
      </c>
      <c r="K3321" s="3">
        <f t="shared" si="361"/>
        <v>-3</v>
      </c>
      <c r="L3321" s="3" t="str">
        <f t="shared" si="355"/>
        <v>ATENÇÃO</v>
      </c>
      <c r="M3321">
        <v>8</v>
      </c>
      <c r="N3321">
        <v>100</v>
      </c>
      <c r="O3321">
        <v>28.108108108108109</v>
      </c>
    </row>
    <row r="3322" spans="1:15" customFormat="1" hidden="1" x14ac:dyDescent="0.25">
      <c r="A3322" s="11">
        <v>46105</v>
      </c>
      <c r="B3322" t="s">
        <v>21</v>
      </c>
      <c r="C3322" t="s">
        <v>16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359"/>
        <v>3</v>
      </c>
      <c r="J3322" s="3">
        <f t="shared" si="360"/>
        <v>8</v>
      </c>
      <c r="K3322" s="3">
        <f t="shared" si="361"/>
        <v>-5</v>
      </c>
      <c r="L3322" s="3" t="str">
        <f t="shared" si="355"/>
        <v>ATENÇÃO</v>
      </c>
      <c r="M3322">
        <v>2</v>
      </c>
      <c r="N3322">
        <v>100</v>
      </c>
      <c r="O3322">
        <v>35</v>
      </c>
    </row>
    <row r="3323" spans="1:15" customFormat="1" hidden="1" x14ac:dyDescent="0.25">
      <c r="A3323" s="11">
        <v>46105</v>
      </c>
      <c r="B3323" t="s">
        <v>63</v>
      </c>
      <c r="C3323" t="s">
        <v>23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359"/>
        <v>25</v>
      </c>
      <c r="J3323" s="3">
        <f t="shared" si="360"/>
        <v>17</v>
      </c>
      <c r="K3323" s="3">
        <f t="shared" si="361"/>
        <v>8</v>
      </c>
      <c r="L3323" s="3" t="str">
        <f t="shared" ref="L3323:L3386" si="362">IF(K3323&lt;-5,"CRÍTICO",IF(K3323&lt;0,"ATENÇÃO",IF(K3323&lt;=5,"OPORTUNO","MUITO BOM")))</f>
        <v>MUITO BOM</v>
      </c>
      <c r="M3323">
        <v>18</v>
      </c>
      <c r="N3323">
        <v>95.35</v>
      </c>
      <c r="O3323">
        <v>28.61538461538461</v>
      </c>
    </row>
    <row r="3324" spans="1:15" customFormat="1" hidden="1" x14ac:dyDescent="0.25">
      <c r="A3324" s="11">
        <v>46105</v>
      </c>
      <c r="B3324" t="s">
        <v>45</v>
      </c>
      <c r="C3324" t="s">
        <v>32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359"/>
        <v>34</v>
      </c>
      <c r="J3324" s="3">
        <f t="shared" si="360"/>
        <v>27</v>
      </c>
      <c r="K3324" s="3">
        <f t="shared" si="361"/>
        <v>7</v>
      </c>
      <c r="L3324" s="3" t="str">
        <f t="shared" si="362"/>
        <v>MUITO BOM</v>
      </c>
      <c r="M3324">
        <v>25</v>
      </c>
      <c r="N3324">
        <v>98.26</v>
      </c>
      <c r="O3324">
        <v>27.54491017964072</v>
      </c>
    </row>
    <row r="3325" spans="1:15" customFormat="1" hidden="1" x14ac:dyDescent="0.25">
      <c r="A3325" s="11">
        <v>46105</v>
      </c>
      <c r="B3325" t="s">
        <v>64</v>
      </c>
      <c r="C3325" t="s">
        <v>23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359"/>
        <v>11</v>
      </c>
      <c r="J3325" s="3">
        <f t="shared" si="360"/>
        <v>17</v>
      </c>
      <c r="K3325" s="3">
        <f t="shared" si="361"/>
        <v>-6</v>
      </c>
      <c r="L3325" s="3" t="str">
        <f t="shared" si="362"/>
        <v>CRÍTICO</v>
      </c>
      <c r="M3325">
        <v>12</v>
      </c>
      <c r="N3325">
        <v>98.55</v>
      </c>
      <c r="O3325">
        <v>25.337837837837839</v>
      </c>
    </row>
    <row r="3326" spans="1:15" customFormat="1" hidden="1" x14ac:dyDescent="0.25">
      <c r="A3326" s="11">
        <v>46105</v>
      </c>
      <c r="B3326" t="s">
        <v>46</v>
      </c>
      <c r="C3326" t="s">
        <v>32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359"/>
        <v>27</v>
      </c>
      <c r="J3326" s="3">
        <f t="shared" si="360"/>
        <v>27</v>
      </c>
      <c r="K3326" s="3">
        <f t="shared" si="361"/>
        <v>0</v>
      </c>
      <c r="L3326" s="3" t="str">
        <f t="shared" si="362"/>
        <v>OPORTUNO</v>
      </c>
      <c r="M3326">
        <v>26</v>
      </c>
      <c r="N3326">
        <v>98.39</v>
      </c>
      <c r="O3326">
        <v>25.563909774436091</v>
      </c>
    </row>
    <row r="3327" spans="1:15" customFormat="1" hidden="1" x14ac:dyDescent="0.25">
      <c r="A3327" s="11">
        <v>46106</v>
      </c>
      <c r="B3327" t="s">
        <v>47</v>
      </c>
      <c r="C3327" t="s">
        <v>48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359"/>
        <v>18</v>
      </c>
      <c r="J3327" s="3">
        <f t="shared" si="360"/>
        <v>19</v>
      </c>
      <c r="K3327" s="3">
        <f t="shared" si="361"/>
        <v>-1</v>
      </c>
      <c r="L3327" s="3" t="str">
        <f t="shared" si="362"/>
        <v>ATENÇÃO</v>
      </c>
      <c r="M3327">
        <v>13</v>
      </c>
      <c r="N3327">
        <v>94.29</v>
      </c>
      <c r="O3327">
        <v>25.647668393782389</v>
      </c>
    </row>
    <row r="3328" spans="1:15" customFormat="1" hidden="1" x14ac:dyDescent="0.25">
      <c r="A3328" s="11">
        <v>46106</v>
      </c>
      <c r="B3328" t="s">
        <v>31</v>
      </c>
      <c r="C3328" t="s">
        <v>32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 t="shared" si="362"/>
        <v>OPORTUNO</v>
      </c>
      <c r="M3328">
        <v>18</v>
      </c>
      <c r="N3328">
        <v>98.26</v>
      </c>
      <c r="O3328">
        <v>26.666666666666671</v>
      </c>
    </row>
    <row r="3329" spans="1:16" hidden="1" x14ac:dyDescent="0.25">
      <c r="A3329" s="11">
        <v>46106</v>
      </c>
      <c r="B3329" t="s">
        <v>59</v>
      </c>
      <c r="C3329" t="s">
        <v>23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ref="I3329:I3336" si="363">E3329+G3329+H3329</f>
        <v>18</v>
      </c>
      <c r="J3329" s="3">
        <f t="shared" ref="J3329:J3336" si="364"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16</v>
      </c>
      <c r="K3329" s="3">
        <f t="shared" ref="K3329:K3336" si="365">I3329-J3329</f>
        <v>2</v>
      </c>
      <c r="L3329" s="3" t="str">
        <f t="shared" si="362"/>
        <v>OPORTUNO</v>
      </c>
      <c r="M3329">
        <v>16</v>
      </c>
      <c r="N3329">
        <v>98.2</v>
      </c>
      <c r="O3329">
        <v>23.37962962962963</v>
      </c>
      <c r="P3329"/>
    </row>
    <row r="3330" spans="1:16" hidden="1" x14ac:dyDescent="0.25">
      <c r="A3330" s="11">
        <v>46106</v>
      </c>
      <c r="B3330" t="s">
        <v>33</v>
      </c>
      <c r="C3330" t="s">
        <v>32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363"/>
        <v>22</v>
      </c>
      <c r="J3330" s="3">
        <f t="shared" si="364"/>
        <v>24</v>
      </c>
      <c r="K3330" s="3">
        <f t="shared" si="365"/>
        <v>-2</v>
      </c>
      <c r="L3330" s="3" t="str">
        <f t="shared" si="362"/>
        <v>ATENÇÃO</v>
      </c>
      <c r="M3330">
        <v>23</v>
      </c>
      <c r="N3330">
        <v>97.3</v>
      </c>
      <c r="O3330">
        <v>23.84769539078156</v>
      </c>
      <c r="P3330"/>
    </row>
    <row r="3331" spans="1:16" hidden="1" x14ac:dyDescent="0.25">
      <c r="A3331" s="11">
        <v>46106</v>
      </c>
      <c r="B3331" t="s">
        <v>15</v>
      </c>
      <c r="C3331" t="s">
        <v>16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363"/>
        <v>9</v>
      </c>
      <c r="J3331" s="3">
        <f t="shared" si="364"/>
        <v>7</v>
      </c>
      <c r="K3331" s="3">
        <f t="shared" si="365"/>
        <v>2</v>
      </c>
      <c r="L3331" s="3" t="str">
        <f t="shared" si="362"/>
        <v>OPORTUNO</v>
      </c>
      <c r="M3331">
        <v>8</v>
      </c>
      <c r="N3331">
        <v>100</v>
      </c>
      <c r="O3331">
        <v>25.268817204301079</v>
      </c>
      <c r="P3331"/>
    </row>
    <row r="3332" spans="1:16" hidden="1" x14ac:dyDescent="0.25">
      <c r="A3332" s="11">
        <v>46106</v>
      </c>
      <c r="B3332" t="s">
        <v>49</v>
      </c>
      <c r="C3332" t="s">
        <v>48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363"/>
        <v>29</v>
      </c>
      <c r="J3332" s="3">
        <f t="shared" si="364"/>
        <v>19</v>
      </c>
      <c r="K3332" s="3">
        <f t="shared" si="365"/>
        <v>10</v>
      </c>
      <c r="L3332" s="3" t="str">
        <f t="shared" si="362"/>
        <v>MUITO BOM</v>
      </c>
      <c r="M3332">
        <v>32</v>
      </c>
      <c r="N3332">
        <v>99.32</v>
      </c>
      <c r="O3332">
        <v>22.822822822822818</v>
      </c>
      <c r="P3332"/>
    </row>
    <row r="3333" spans="1:16" hidden="1" x14ac:dyDescent="0.25">
      <c r="A3333" s="11">
        <v>46106</v>
      </c>
      <c r="B3333" t="s">
        <v>50</v>
      </c>
      <c r="C3333" t="s">
        <v>48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363"/>
        <v>18</v>
      </c>
      <c r="J3333" s="3">
        <f t="shared" si="364"/>
        <v>19</v>
      </c>
      <c r="K3333" s="3">
        <f t="shared" si="365"/>
        <v>-1</v>
      </c>
      <c r="L3333" s="3" t="str">
        <f t="shared" si="362"/>
        <v>ATENÇÃO</v>
      </c>
      <c r="M3333">
        <v>20</v>
      </c>
      <c r="N3333">
        <v>100</v>
      </c>
      <c r="O3333">
        <v>27.966101694915249</v>
      </c>
      <c r="P3333"/>
    </row>
    <row r="3334" spans="1:16" hidden="1" x14ac:dyDescent="0.25">
      <c r="A3334" s="11">
        <v>46106</v>
      </c>
      <c r="B3334" t="s">
        <v>17</v>
      </c>
      <c r="C3334" t="s">
        <v>16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363"/>
        <v>4</v>
      </c>
      <c r="J3334" s="3">
        <f t="shared" si="364"/>
        <v>7</v>
      </c>
      <c r="K3334" s="3">
        <f t="shared" si="365"/>
        <v>-3</v>
      </c>
      <c r="L3334" s="3" t="str">
        <f t="shared" si="362"/>
        <v>ATENÇÃO</v>
      </c>
      <c r="M3334">
        <v>2</v>
      </c>
      <c r="N3334">
        <v>100</v>
      </c>
      <c r="O3334">
        <v>30.434782608695659</v>
      </c>
      <c r="P3334"/>
    </row>
    <row r="3335" spans="1:16" hidden="1" x14ac:dyDescent="0.25">
      <c r="A3335" s="11">
        <v>46106</v>
      </c>
      <c r="B3335" t="s">
        <v>60</v>
      </c>
      <c r="C3335" t="s">
        <v>23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363"/>
        <v>20</v>
      </c>
      <c r="J3335" s="3">
        <f t="shared" si="364"/>
        <v>16</v>
      </c>
      <c r="K3335" s="3">
        <f t="shared" si="365"/>
        <v>4</v>
      </c>
      <c r="L3335" s="3" t="str">
        <f t="shared" si="362"/>
        <v>OPORTUNO</v>
      </c>
      <c r="M3335">
        <v>15</v>
      </c>
      <c r="N3335">
        <v>96.51</v>
      </c>
      <c r="O3335">
        <v>22.802850356294542</v>
      </c>
      <c r="P3335"/>
    </row>
    <row r="3336" spans="1:16" hidden="1" x14ac:dyDescent="0.25">
      <c r="A3336" s="11">
        <v>46106</v>
      </c>
      <c r="B3336" t="s">
        <v>34</v>
      </c>
      <c r="C3336" t="s">
        <v>32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363"/>
        <v>27</v>
      </c>
      <c r="J3336" s="3">
        <f t="shared" si="364"/>
        <v>24</v>
      </c>
      <c r="K3336" s="3">
        <f t="shared" si="365"/>
        <v>3</v>
      </c>
      <c r="L3336" s="3" t="str">
        <f t="shared" si="362"/>
        <v>OPORTUNO</v>
      </c>
      <c r="M3336">
        <v>24</v>
      </c>
      <c r="N3336">
        <v>92.68</v>
      </c>
      <c r="O3336">
        <v>27.777777777777779</v>
      </c>
      <c r="P3336"/>
    </row>
    <row r="3337" spans="1:16" hidden="1" x14ac:dyDescent="0.25">
      <c r="A3337" s="11">
        <v>46106</v>
      </c>
      <c r="B3337" t="s">
        <v>51</v>
      </c>
      <c r="C3337" t="s">
        <v>48</v>
      </c>
      <c r="D3337">
        <v>31</v>
      </c>
      <c r="E3337">
        <v>26</v>
      </c>
      <c r="F3337">
        <v>15.43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 t="shared" si="362"/>
        <v>OPORTUNO</v>
      </c>
      <c r="M3337">
        <v>23</v>
      </c>
      <c r="N3337">
        <v>99.03</v>
      </c>
      <c r="O3337">
        <v>23.991507430997881</v>
      </c>
      <c r="P3337"/>
    </row>
    <row r="3338" spans="1:16" hidden="1" x14ac:dyDescent="0.25">
      <c r="A3338" s="11">
        <v>46106</v>
      </c>
      <c r="B3338" t="s">
        <v>61</v>
      </c>
      <c r="C3338" t="s">
        <v>23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16</v>
      </c>
      <c r="K3338" s="3">
        <f>I3338-J3338</f>
        <v>4</v>
      </c>
      <c r="L3338" s="3" t="str">
        <f t="shared" si="362"/>
        <v>OPORTUNO</v>
      </c>
      <c r="M3338">
        <v>7</v>
      </c>
      <c r="N3338">
        <v>98.41</v>
      </c>
      <c r="O3338">
        <v>28.138528138528141</v>
      </c>
      <c r="P3338"/>
    </row>
    <row r="3339" spans="1:16" hidden="1" x14ac:dyDescent="0.25">
      <c r="A3339" s="11">
        <v>46106</v>
      </c>
      <c r="B3339" t="s">
        <v>35</v>
      </c>
      <c r="C3339" t="s">
        <v>32</v>
      </c>
      <c r="D3339">
        <v>15</v>
      </c>
      <c r="E3339">
        <v>14</v>
      </c>
      <c r="F3339">
        <v>33.35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 t="shared" si="362"/>
        <v>OPORTUNO</v>
      </c>
      <c r="M3339">
        <v>14</v>
      </c>
      <c r="N3339">
        <v>98.73</v>
      </c>
      <c r="O3339">
        <v>29.142857142857139</v>
      </c>
      <c r="P3339"/>
    </row>
    <row r="3340" spans="1:16" hidden="1" x14ac:dyDescent="0.25">
      <c r="A3340" s="11">
        <v>46106</v>
      </c>
      <c r="B3340" t="s">
        <v>18</v>
      </c>
      <c r="C3340" t="s">
        <v>16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ref="I3340:I3347" si="366">E3340+G3340+H3340</f>
        <v>7</v>
      </c>
      <c r="J3340" s="3">
        <f t="shared" ref="J3340:J3347" si="367"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7</v>
      </c>
      <c r="K3340" s="3">
        <f t="shared" ref="K3340:K3347" si="368">I3340-J3340</f>
        <v>0</v>
      </c>
      <c r="L3340" s="3" t="str">
        <f t="shared" si="362"/>
        <v>OPORTUNO</v>
      </c>
      <c r="M3340">
        <v>7</v>
      </c>
      <c r="N3340">
        <v>90.48</v>
      </c>
      <c r="O3340">
        <v>20.68965517241379</v>
      </c>
      <c r="P3340"/>
    </row>
    <row r="3341" spans="1:16" hidden="1" x14ac:dyDescent="0.25">
      <c r="A3341" s="11">
        <v>46106</v>
      </c>
      <c r="B3341" t="s">
        <v>52</v>
      </c>
      <c r="C3341" t="s">
        <v>48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366"/>
        <v>23</v>
      </c>
      <c r="J3341" s="3">
        <f t="shared" si="367"/>
        <v>19</v>
      </c>
      <c r="K3341" s="3">
        <f t="shared" si="368"/>
        <v>4</v>
      </c>
      <c r="L3341" s="3" t="str">
        <f t="shared" si="362"/>
        <v>OPORTUNO</v>
      </c>
      <c r="M3341">
        <v>23</v>
      </c>
      <c r="N3341">
        <v>98.06</v>
      </c>
      <c r="O3341">
        <v>24.789915966386559</v>
      </c>
      <c r="P3341"/>
    </row>
    <row r="3342" spans="1:16" hidden="1" x14ac:dyDescent="0.25">
      <c r="A3342" s="11">
        <v>46106</v>
      </c>
      <c r="B3342" t="s">
        <v>36</v>
      </c>
      <c r="C3342" t="s">
        <v>32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366"/>
        <v>19</v>
      </c>
      <c r="J3342" s="3">
        <f t="shared" si="367"/>
        <v>24</v>
      </c>
      <c r="K3342" s="3">
        <f t="shared" si="368"/>
        <v>-5</v>
      </c>
      <c r="L3342" s="3" t="str">
        <f t="shared" si="362"/>
        <v>ATENÇÃO</v>
      </c>
      <c r="M3342">
        <v>16</v>
      </c>
      <c r="N3342">
        <v>97.78</v>
      </c>
      <c r="O3342">
        <v>25.494071146245059</v>
      </c>
      <c r="P3342"/>
    </row>
    <row r="3343" spans="1:16" hidden="1" x14ac:dyDescent="0.25">
      <c r="A3343" s="11">
        <v>46106</v>
      </c>
      <c r="B3343" t="s">
        <v>53</v>
      </c>
      <c r="C3343" t="s">
        <v>48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366"/>
        <v>17</v>
      </c>
      <c r="J3343" s="3">
        <f t="shared" si="367"/>
        <v>19</v>
      </c>
      <c r="K3343" s="3">
        <f t="shared" si="368"/>
        <v>-2</v>
      </c>
      <c r="L3343" s="3" t="str">
        <f t="shared" si="362"/>
        <v>ATENÇÃO</v>
      </c>
      <c r="M3343">
        <v>19</v>
      </c>
      <c r="N3343">
        <v>98.02</v>
      </c>
      <c r="O3343">
        <v>23.484848484848481</v>
      </c>
      <c r="P3343"/>
    </row>
    <row r="3344" spans="1:16" hidden="1" x14ac:dyDescent="0.25">
      <c r="A3344" s="10">
        <v>46164</v>
      </c>
      <c r="B3344" s="6" t="s">
        <v>54</v>
      </c>
      <c r="C3344" s="3" t="s">
        <v>48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 t="shared" si="366"/>
        <v>15</v>
      </c>
      <c r="J3344" s="3">
        <f t="shared" si="367"/>
        <v>15</v>
      </c>
      <c r="K3344" s="3">
        <f t="shared" si="368"/>
        <v>0</v>
      </c>
      <c r="L3344" s="3" t="str">
        <f t="shared" si="362"/>
        <v>OPORTUNO</v>
      </c>
      <c r="M3344" s="3">
        <v>13</v>
      </c>
      <c r="N3344" s="3">
        <v>98.98</v>
      </c>
      <c r="O3344" s="3">
        <v>19.35483870967742</v>
      </c>
    </row>
    <row r="3345" spans="1:15" customFormat="1" hidden="1" x14ac:dyDescent="0.25">
      <c r="A3345" s="11">
        <v>46106</v>
      </c>
      <c r="B3345" t="s">
        <v>54</v>
      </c>
      <c r="C3345" t="s">
        <v>48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366"/>
        <v>20</v>
      </c>
      <c r="J3345" s="3">
        <f t="shared" si="367"/>
        <v>19</v>
      </c>
      <c r="K3345" s="3">
        <f t="shared" si="368"/>
        <v>1</v>
      </c>
      <c r="L3345" s="3" t="str">
        <f t="shared" si="362"/>
        <v>OPORTUNO</v>
      </c>
      <c r="M3345">
        <v>17</v>
      </c>
      <c r="N3345">
        <v>100</v>
      </c>
      <c r="O3345">
        <v>27.04918032786885</v>
      </c>
    </row>
    <row r="3346" spans="1:15" customFormat="1" hidden="1" x14ac:dyDescent="0.25">
      <c r="A3346" s="11">
        <v>46106</v>
      </c>
      <c r="B3346" t="s">
        <v>37</v>
      </c>
      <c r="C3346" t="s">
        <v>32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366"/>
        <v>29</v>
      </c>
      <c r="J3346" s="3">
        <f t="shared" si="367"/>
        <v>24</v>
      </c>
      <c r="K3346" s="3">
        <f t="shared" si="368"/>
        <v>5</v>
      </c>
      <c r="L3346" s="3" t="str">
        <f t="shared" si="362"/>
        <v>OPORTUNO</v>
      </c>
      <c r="M3346">
        <v>28</v>
      </c>
      <c r="N3346">
        <v>97.83</v>
      </c>
      <c r="O3346">
        <v>26.315789473684209</v>
      </c>
    </row>
    <row r="3347" spans="1:15" customFormat="1" hidden="1" x14ac:dyDescent="0.25">
      <c r="A3347" s="11">
        <v>46106</v>
      </c>
      <c r="B3347" t="s">
        <v>38</v>
      </c>
      <c r="C3347" t="s">
        <v>32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si="366"/>
        <v>15</v>
      </c>
      <c r="J3347" s="3">
        <f t="shared" si="367"/>
        <v>24</v>
      </c>
      <c r="K3347" s="3">
        <f t="shared" si="368"/>
        <v>-9</v>
      </c>
      <c r="L3347" s="3" t="str">
        <f t="shared" si="362"/>
        <v>CRÍTICO</v>
      </c>
      <c r="M3347">
        <v>14</v>
      </c>
      <c r="N3347">
        <v>100</v>
      </c>
      <c r="O3347">
        <v>26.701570680628269</v>
      </c>
    </row>
    <row r="3348" spans="1:15" customFormat="1" hidden="1" x14ac:dyDescent="0.25">
      <c r="A3348" s="11">
        <v>46106</v>
      </c>
      <c r="B3348" t="s">
        <v>55</v>
      </c>
      <c r="C3348" t="s">
        <v>48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362"/>
        <v>OPORTUNO</v>
      </c>
      <c r="M3348">
        <v>0</v>
      </c>
      <c r="N3348">
        <v>97.47</v>
      </c>
      <c r="O3348">
        <v>22.887323943661968</v>
      </c>
    </row>
    <row r="3349" spans="1:15" customFormat="1" hidden="1" x14ac:dyDescent="0.25">
      <c r="A3349" s="11">
        <v>46106</v>
      </c>
      <c r="B3349" t="s">
        <v>39</v>
      </c>
      <c r="C3349" t="s">
        <v>32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 t="shared" si="362"/>
        <v>OPORTUNO</v>
      </c>
      <c r="M3349">
        <v>0</v>
      </c>
      <c r="N3349">
        <v>0</v>
      </c>
      <c r="O3349">
        <v>0</v>
      </c>
    </row>
    <row r="3350" spans="1:15" customFormat="1" hidden="1" x14ac:dyDescent="0.25">
      <c r="A3350" s="11">
        <v>46106</v>
      </c>
      <c r="B3350" t="s">
        <v>25</v>
      </c>
      <c r="C3350" t="s">
        <v>26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14</v>
      </c>
      <c r="K3350" s="3">
        <f>I3350-J3350</f>
        <v>0</v>
      </c>
      <c r="L3350" s="3" t="str">
        <f t="shared" si="362"/>
        <v>OPORTUNO</v>
      </c>
      <c r="M3350">
        <v>14</v>
      </c>
      <c r="N3350">
        <v>98.31</v>
      </c>
      <c r="O3350">
        <v>24.920127795527151</v>
      </c>
    </row>
    <row r="3351" spans="1:15" customFormat="1" hidden="1" x14ac:dyDescent="0.25">
      <c r="A3351" s="11">
        <v>46106</v>
      </c>
      <c r="B3351" t="s">
        <v>40</v>
      </c>
      <c r="C3351" t="s">
        <v>32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24</v>
      </c>
      <c r="K3351" s="3">
        <f>I3351-J3351</f>
        <v>-6</v>
      </c>
      <c r="L3351" s="3" t="str">
        <f t="shared" si="362"/>
        <v>CRÍTICO</v>
      </c>
      <c r="M3351">
        <v>19</v>
      </c>
      <c r="N3351">
        <v>96.81</v>
      </c>
      <c r="O3351">
        <v>32.365145228215773</v>
      </c>
    </row>
    <row r="3352" spans="1:15" customFormat="1" hidden="1" x14ac:dyDescent="0.25">
      <c r="A3352" s="11">
        <v>46106</v>
      </c>
      <c r="B3352" t="s">
        <v>27</v>
      </c>
      <c r="C3352" t="s">
        <v>26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14</v>
      </c>
      <c r="K3352" s="3">
        <f>I3352-J3352</f>
        <v>1</v>
      </c>
      <c r="L3352" s="3" t="str">
        <f t="shared" si="362"/>
        <v>OPORTUNO</v>
      </c>
      <c r="M3352">
        <v>8</v>
      </c>
      <c r="N3352">
        <v>100</v>
      </c>
      <c r="O3352">
        <v>26.47058823529412</v>
      </c>
    </row>
    <row r="3353" spans="1:15" customFormat="1" hidden="1" x14ac:dyDescent="0.25">
      <c r="A3353" s="11">
        <v>46106</v>
      </c>
      <c r="B3353" t="s">
        <v>41</v>
      </c>
      <c r="C3353" t="s">
        <v>32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24</v>
      </c>
      <c r="K3353" s="3">
        <f>I3353-J3353</f>
        <v>0</v>
      </c>
      <c r="L3353" s="3" t="str">
        <f t="shared" si="362"/>
        <v>OPORTUNO</v>
      </c>
      <c r="M3353">
        <v>22</v>
      </c>
      <c r="N3353">
        <v>100</v>
      </c>
      <c r="O3353">
        <v>28.490028490028489</v>
      </c>
    </row>
    <row r="3354" spans="1:15" customFormat="1" hidden="1" x14ac:dyDescent="0.25">
      <c r="A3354" s="11">
        <v>46106</v>
      </c>
      <c r="B3354" t="s">
        <v>56</v>
      </c>
      <c r="C3354" t="s">
        <v>48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19</v>
      </c>
      <c r="K3354" s="3">
        <f>I3354-J3354</f>
        <v>4</v>
      </c>
      <c r="L3354" s="3" t="str">
        <f t="shared" si="362"/>
        <v>OPORTUNO</v>
      </c>
      <c r="M3354">
        <v>18</v>
      </c>
      <c r="N3354">
        <v>99.14</v>
      </c>
      <c r="O3354">
        <v>27.2289156626506</v>
      </c>
    </row>
    <row r="3355" spans="1:15" customFormat="1" hidden="1" x14ac:dyDescent="0.25">
      <c r="A3355" s="11">
        <v>46106</v>
      </c>
      <c r="B3355" t="s">
        <v>57</v>
      </c>
      <c r="C3355" t="s">
        <v>48</v>
      </c>
      <c r="D3355">
        <v>12</v>
      </c>
      <c r="E3355">
        <v>12</v>
      </c>
      <c r="F3355">
        <v>27.1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362"/>
        <v>OPORTUNO</v>
      </c>
      <c r="M3355">
        <v>9</v>
      </c>
      <c r="N3355">
        <v>97.52</v>
      </c>
      <c r="O3355">
        <v>28.205128205128201</v>
      </c>
    </row>
    <row r="3356" spans="1:15" customFormat="1" hidden="1" x14ac:dyDescent="0.25">
      <c r="A3356" s="11">
        <v>46106</v>
      </c>
      <c r="B3356" t="s">
        <v>42</v>
      </c>
      <c r="C3356" t="s">
        <v>32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 t="shared" si="362"/>
        <v>OPORTUNO</v>
      </c>
      <c r="M3356">
        <v>0</v>
      </c>
      <c r="N3356">
        <v>90</v>
      </c>
      <c r="O3356">
        <v>24.186046511627911</v>
      </c>
    </row>
    <row r="3357" spans="1:15" customFormat="1" hidden="1" x14ac:dyDescent="0.25">
      <c r="A3357" s="11">
        <v>46106</v>
      </c>
      <c r="B3357" t="s">
        <v>62</v>
      </c>
      <c r="C3357" t="s">
        <v>23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16</v>
      </c>
      <c r="K3357" s="3">
        <f>I3357-J3357</f>
        <v>1</v>
      </c>
      <c r="L3357" s="3" t="str">
        <f t="shared" si="362"/>
        <v>OPORTUNO</v>
      </c>
      <c r="M3357">
        <v>14</v>
      </c>
      <c r="N3357">
        <v>98.9</v>
      </c>
      <c r="O3357">
        <v>26.763990267639901</v>
      </c>
    </row>
    <row r="3358" spans="1:15" customFormat="1" hidden="1" x14ac:dyDescent="0.25">
      <c r="A3358" s="11">
        <v>46106</v>
      </c>
      <c r="B3358" t="s">
        <v>19</v>
      </c>
      <c r="C3358" t="s">
        <v>16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0</v>
      </c>
      <c r="L3358" s="3" t="str">
        <f t="shared" si="362"/>
        <v>OPORTUNO</v>
      </c>
      <c r="M3358">
        <v>6</v>
      </c>
      <c r="N3358">
        <v>88.89</v>
      </c>
      <c r="O3358">
        <v>25.263157894736839</v>
      </c>
    </row>
    <row r="3359" spans="1:15" customFormat="1" hidden="1" x14ac:dyDescent="0.25">
      <c r="A3359" s="11">
        <v>46106</v>
      </c>
      <c r="B3359" t="s">
        <v>43</v>
      </c>
      <c r="C3359" t="s">
        <v>32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6</v>
      </c>
      <c r="L3359" s="3" t="str">
        <f t="shared" si="362"/>
        <v>MUITO BOM</v>
      </c>
      <c r="M3359">
        <v>27</v>
      </c>
      <c r="N3359">
        <v>98.86</v>
      </c>
      <c r="O3359">
        <v>28.959276018099551</v>
      </c>
    </row>
    <row r="3360" spans="1:15" customFormat="1" hidden="1" x14ac:dyDescent="0.25">
      <c r="A3360" s="11">
        <v>46106</v>
      </c>
      <c r="B3360" t="s">
        <v>44</v>
      </c>
      <c r="C3360" t="s">
        <v>32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24</v>
      </c>
      <c r="K3360" s="3">
        <f>I3360-J3360</f>
        <v>0</v>
      </c>
      <c r="L3360" s="3" t="str">
        <f t="shared" si="362"/>
        <v>OPORTUNO</v>
      </c>
      <c r="M3360">
        <v>19</v>
      </c>
      <c r="N3360">
        <v>98.06</v>
      </c>
      <c r="O3360">
        <v>22.40566037735849</v>
      </c>
    </row>
    <row r="3361" spans="1:15" customFormat="1" hidden="1" x14ac:dyDescent="0.25">
      <c r="A3361" s="11">
        <v>46106</v>
      </c>
      <c r="B3361" t="s">
        <v>20</v>
      </c>
      <c r="C3361" t="s">
        <v>16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7</v>
      </c>
      <c r="K3361" s="3">
        <f>I3361-J3361</f>
        <v>6</v>
      </c>
      <c r="L3361" s="3" t="str">
        <f t="shared" si="362"/>
        <v>MUITO BOM</v>
      </c>
      <c r="M3361">
        <v>9</v>
      </c>
      <c r="N3361">
        <v>95.83</v>
      </c>
      <c r="O3361">
        <v>25.773195876288661</v>
      </c>
    </row>
    <row r="3362" spans="1:15" customFormat="1" hidden="1" x14ac:dyDescent="0.25">
      <c r="A3362" s="11">
        <v>46106</v>
      </c>
      <c r="B3362" t="s">
        <v>28</v>
      </c>
      <c r="C3362" t="s">
        <v>26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 t="shared" si="362"/>
        <v>OPORTUNO</v>
      </c>
      <c r="M3362">
        <v>0</v>
      </c>
      <c r="N3362">
        <v>100</v>
      </c>
      <c r="O3362">
        <v>15.38461538461539</v>
      </c>
    </row>
    <row r="3363" spans="1:15" customFormat="1" hidden="1" x14ac:dyDescent="0.25">
      <c r="A3363" s="11">
        <v>46106</v>
      </c>
      <c r="B3363" t="s">
        <v>58</v>
      </c>
      <c r="C3363" t="s">
        <v>48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ref="I3363:I3371" si="369">E3363+G3363+H3363</f>
        <v>5</v>
      </c>
      <c r="J3363" s="3">
        <f t="shared" ref="J3363:J3371" si="370"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19</v>
      </c>
      <c r="K3363" s="3">
        <f t="shared" ref="K3363:K3371" si="371">I3363-J3363</f>
        <v>-14</v>
      </c>
      <c r="L3363" s="3" t="str">
        <f t="shared" si="362"/>
        <v>CRÍTICO</v>
      </c>
      <c r="M3363">
        <v>4</v>
      </c>
      <c r="N3363">
        <v>100</v>
      </c>
      <c r="O3363">
        <v>27.514792899408281</v>
      </c>
    </row>
    <row r="3364" spans="1:15" customFormat="1" hidden="1" x14ac:dyDescent="0.25">
      <c r="A3364" s="11">
        <v>46106</v>
      </c>
      <c r="B3364" t="s">
        <v>29</v>
      </c>
      <c r="C3364" t="s">
        <v>26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369"/>
        <v>16</v>
      </c>
      <c r="J3364" s="3">
        <f t="shared" si="370"/>
        <v>14</v>
      </c>
      <c r="K3364" s="3">
        <f t="shared" si="371"/>
        <v>2</v>
      </c>
      <c r="L3364" s="3" t="str">
        <f t="shared" si="362"/>
        <v>OPORTUNO</v>
      </c>
      <c r="M3364">
        <v>15</v>
      </c>
      <c r="N3364">
        <v>100</v>
      </c>
      <c r="O3364">
        <v>24.875621890547269</v>
      </c>
    </row>
    <row r="3365" spans="1:15" customFormat="1" hidden="1" x14ac:dyDescent="0.25">
      <c r="A3365" s="11">
        <v>46106</v>
      </c>
      <c r="B3365" t="s">
        <v>30</v>
      </c>
      <c r="C3365" t="s">
        <v>26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369"/>
        <v>16</v>
      </c>
      <c r="J3365" s="3">
        <f t="shared" si="370"/>
        <v>14</v>
      </c>
      <c r="K3365" s="3">
        <f t="shared" si="371"/>
        <v>2</v>
      </c>
      <c r="L3365" s="3" t="str">
        <f t="shared" si="362"/>
        <v>OPORTUNO</v>
      </c>
      <c r="M3365">
        <v>12</v>
      </c>
      <c r="N3365">
        <v>100</v>
      </c>
      <c r="O3365">
        <v>28.108108108108109</v>
      </c>
    </row>
    <row r="3366" spans="1:15" customFormat="1" hidden="1" x14ac:dyDescent="0.25">
      <c r="A3366" s="11">
        <v>46106</v>
      </c>
      <c r="B3366" t="s">
        <v>21</v>
      </c>
      <c r="C3366" t="s">
        <v>16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369"/>
        <v>5</v>
      </c>
      <c r="J3366" s="3">
        <f t="shared" si="370"/>
        <v>7</v>
      </c>
      <c r="K3366" s="3">
        <f t="shared" si="371"/>
        <v>-2</v>
      </c>
      <c r="L3366" s="3" t="str">
        <f t="shared" si="362"/>
        <v>ATENÇÃO</v>
      </c>
      <c r="M3366">
        <v>3</v>
      </c>
      <c r="N3366">
        <v>100</v>
      </c>
      <c r="O3366">
        <v>35</v>
      </c>
    </row>
    <row r="3367" spans="1:15" customFormat="1" hidden="1" x14ac:dyDescent="0.25">
      <c r="A3367" s="11">
        <v>46106</v>
      </c>
      <c r="B3367" t="s">
        <v>63</v>
      </c>
      <c r="C3367" t="s">
        <v>23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369"/>
        <v>17</v>
      </c>
      <c r="J3367" s="3">
        <f t="shared" si="370"/>
        <v>16</v>
      </c>
      <c r="K3367" s="3">
        <f t="shared" si="371"/>
        <v>1</v>
      </c>
      <c r="L3367" s="3" t="str">
        <f t="shared" si="362"/>
        <v>OPORTUNO</v>
      </c>
      <c r="M3367">
        <v>10</v>
      </c>
      <c r="N3367">
        <v>95.35</v>
      </c>
      <c r="O3367">
        <v>28.61538461538461</v>
      </c>
    </row>
    <row r="3368" spans="1:15" customFormat="1" hidden="1" x14ac:dyDescent="0.25">
      <c r="A3368" s="11">
        <v>46106</v>
      </c>
      <c r="B3368" t="s">
        <v>45</v>
      </c>
      <c r="C3368" t="s">
        <v>32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369"/>
        <v>31</v>
      </c>
      <c r="J3368" s="3">
        <f t="shared" si="370"/>
        <v>24</v>
      </c>
      <c r="K3368" s="3">
        <f t="shared" si="371"/>
        <v>7</v>
      </c>
      <c r="L3368" s="3" t="str">
        <f t="shared" si="362"/>
        <v>MUITO BOM</v>
      </c>
      <c r="M3368">
        <v>20</v>
      </c>
      <c r="N3368">
        <v>98.26</v>
      </c>
      <c r="O3368">
        <v>27.54491017964072</v>
      </c>
    </row>
    <row r="3369" spans="1:15" customFormat="1" hidden="1" x14ac:dyDescent="0.25">
      <c r="A3369" s="11">
        <v>46106</v>
      </c>
      <c r="B3369" t="s">
        <v>64</v>
      </c>
      <c r="C3369" t="s">
        <v>23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369"/>
        <v>12</v>
      </c>
      <c r="J3369" s="3">
        <f t="shared" si="370"/>
        <v>16</v>
      </c>
      <c r="K3369" s="3">
        <f t="shared" si="371"/>
        <v>-4</v>
      </c>
      <c r="L3369" s="3" t="str">
        <f t="shared" si="362"/>
        <v>ATENÇÃO</v>
      </c>
      <c r="M3369">
        <v>9</v>
      </c>
      <c r="N3369">
        <v>98.55</v>
      </c>
      <c r="O3369">
        <v>25.337837837837839</v>
      </c>
    </row>
    <row r="3370" spans="1:15" customFormat="1" hidden="1" x14ac:dyDescent="0.25">
      <c r="A3370" s="11">
        <v>46106</v>
      </c>
      <c r="B3370" t="s">
        <v>46</v>
      </c>
      <c r="C3370" t="s">
        <v>32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369"/>
        <v>21</v>
      </c>
      <c r="J3370" s="3">
        <f t="shared" si="370"/>
        <v>24</v>
      </c>
      <c r="K3370" s="3">
        <f t="shared" si="371"/>
        <v>-3</v>
      </c>
      <c r="L3370" s="3" t="str">
        <f t="shared" si="362"/>
        <v>ATENÇÃO</v>
      </c>
      <c r="M3370">
        <v>17</v>
      </c>
      <c r="N3370">
        <v>98.39</v>
      </c>
      <c r="O3370">
        <v>25.563909774436091</v>
      </c>
    </row>
    <row r="3371" spans="1:15" customFormat="1" hidden="1" x14ac:dyDescent="0.25">
      <c r="A3371" s="11">
        <v>46107</v>
      </c>
      <c r="B3371" t="s">
        <v>47</v>
      </c>
      <c r="C3371" t="s">
        <v>48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369"/>
        <v>28</v>
      </c>
      <c r="J3371" s="3">
        <f t="shared" si="370"/>
        <v>22</v>
      </c>
      <c r="K3371" s="3">
        <f t="shared" si="371"/>
        <v>6</v>
      </c>
      <c r="L3371" s="3" t="str">
        <f t="shared" si="362"/>
        <v>MUITO BOM</v>
      </c>
      <c r="M3371">
        <v>23</v>
      </c>
      <c r="N3371">
        <v>94.29</v>
      </c>
      <c r="O3371">
        <v>25.647668393782389</v>
      </c>
    </row>
    <row r="3372" spans="1:15" customFormat="1" hidden="1" x14ac:dyDescent="0.25">
      <c r="A3372" s="11">
        <v>46107</v>
      </c>
      <c r="B3372" t="s">
        <v>31</v>
      </c>
      <c r="C3372" t="s">
        <v>32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 t="shared" si="362"/>
        <v>OPORTUNO</v>
      </c>
      <c r="M3372">
        <v>30</v>
      </c>
      <c r="N3372">
        <v>98.26</v>
      </c>
      <c r="O3372">
        <v>26.666666666666671</v>
      </c>
    </row>
    <row r="3373" spans="1:15" customFormat="1" hidden="1" x14ac:dyDescent="0.25">
      <c r="A3373" s="11">
        <v>46107</v>
      </c>
      <c r="B3373" t="s">
        <v>59</v>
      </c>
      <c r="C3373" t="s">
        <v>23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ref="I3373:I3380" si="372">E3373+G3373+H3373</f>
        <v>21</v>
      </c>
      <c r="J3373" s="3">
        <f t="shared" ref="J3373:J3380" si="373"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18</v>
      </c>
      <c r="K3373" s="3">
        <f t="shared" ref="K3373:K3380" si="374">I3373-J3373</f>
        <v>3</v>
      </c>
      <c r="L3373" s="3" t="str">
        <f t="shared" si="362"/>
        <v>OPORTUNO</v>
      </c>
      <c r="M3373">
        <v>16</v>
      </c>
      <c r="N3373">
        <v>98.2</v>
      </c>
      <c r="O3373">
        <v>23.37962962962963</v>
      </c>
    </row>
    <row r="3374" spans="1:15" customFormat="1" hidden="1" x14ac:dyDescent="0.25">
      <c r="A3374" s="11">
        <v>46107</v>
      </c>
      <c r="B3374" t="s">
        <v>33</v>
      </c>
      <c r="C3374" t="s">
        <v>32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372"/>
        <v>32</v>
      </c>
      <c r="J3374" s="3">
        <f t="shared" si="373"/>
        <v>28</v>
      </c>
      <c r="K3374" s="3">
        <f t="shared" si="374"/>
        <v>4</v>
      </c>
      <c r="L3374" s="3" t="str">
        <f t="shared" si="362"/>
        <v>OPORTUNO</v>
      </c>
      <c r="M3374">
        <v>29</v>
      </c>
      <c r="N3374">
        <v>97.3</v>
      </c>
      <c r="O3374">
        <v>23.84769539078156</v>
      </c>
    </row>
    <row r="3375" spans="1:15" customFormat="1" hidden="1" x14ac:dyDescent="0.25">
      <c r="A3375" s="11">
        <v>46107</v>
      </c>
      <c r="B3375" t="s">
        <v>15</v>
      </c>
      <c r="C3375" t="s">
        <v>16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372"/>
        <v>20</v>
      </c>
      <c r="J3375" s="3">
        <f t="shared" si="373"/>
        <v>8</v>
      </c>
      <c r="K3375" s="3">
        <f t="shared" si="374"/>
        <v>12</v>
      </c>
      <c r="L3375" s="3" t="str">
        <f t="shared" si="362"/>
        <v>MUITO BOM</v>
      </c>
      <c r="M3375">
        <v>16</v>
      </c>
      <c r="N3375">
        <v>100</v>
      </c>
      <c r="O3375">
        <v>25.268817204301079</v>
      </c>
    </row>
    <row r="3376" spans="1:15" customFormat="1" hidden="1" x14ac:dyDescent="0.25">
      <c r="A3376" s="11">
        <v>46107</v>
      </c>
      <c r="B3376" t="s">
        <v>49</v>
      </c>
      <c r="C3376" t="s">
        <v>48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372"/>
        <v>31</v>
      </c>
      <c r="J3376" s="3">
        <f t="shared" si="373"/>
        <v>22</v>
      </c>
      <c r="K3376" s="3">
        <f t="shared" si="374"/>
        <v>9</v>
      </c>
      <c r="L3376" s="3" t="str">
        <f t="shared" si="362"/>
        <v>MUITO BOM</v>
      </c>
      <c r="M3376">
        <v>33</v>
      </c>
      <c r="N3376">
        <v>99.32</v>
      </c>
      <c r="O3376">
        <v>22.822822822822818</v>
      </c>
    </row>
    <row r="3377" spans="1:16" hidden="1" x14ac:dyDescent="0.25">
      <c r="A3377" s="11">
        <v>46107</v>
      </c>
      <c r="B3377" t="s">
        <v>50</v>
      </c>
      <c r="C3377" t="s">
        <v>48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372"/>
        <v>18</v>
      </c>
      <c r="J3377" s="3">
        <f t="shared" si="373"/>
        <v>22</v>
      </c>
      <c r="K3377" s="3">
        <f t="shared" si="374"/>
        <v>-4</v>
      </c>
      <c r="L3377" s="3" t="str">
        <f t="shared" si="362"/>
        <v>ATENÇÃO</v>
      </c>
      <c r="M3377">
        <v>18</v>
      </c>
      <c r="N3377">
        <v>100</v>
      </c>
      <c r="O3377">
        <v>27.966101694915249</v>
      </c>
      <c r="P3377"/>
    </row>
    <row r="3378" spans="1:16" hidden="1" x14ac:dyDescent="0.25">
      <c r="A3378" s="11">
        <v>46107</v>
      </c>
      <c r="B3378" t="s">
        <v>17</v>
      </c>
      <c r="C3378" t="s">
        <v>16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372"/>
        <v>7</v>
      </c>
      <c r="J3378" s="3">
        <f t="shared" si="373"/>
        <v>8</v>
      </c>
      <c r="K3378" s="3">
        <f t="shared" si="374"/>
        <v>-1</v>
      </c>
      <c r="L3378" s="3" t="str">
        <f t="shared" si="362"/>
        <v>ATENÇÃO</v>
      </c>
      <c r="M3378">
        <v>4</v>
      </c>
      <c r="N3378">
        <v>100</v>
      </c>
      <c r="O3378">
        <v>30.434782608695659</v>
      </c>
      <c r="P3378"/>
    </row>
    <row r="3379" spans="1:16" hidden="1" x14ac:dyDescent="0.25">
      <c r="A3379" s="11">
        <v>46107</v>
      </c>
      <c r="B3379" t="s">
        <v>60</v>
      </c>
      <c r="C3379" t="s">
        <v>23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372"/>
        <v>22</v>
      </c>
      <c r="J3379" s="3">
        <f t="shared" si="373"/>
        <v>18</v>
      </c>
      <c r="K3379" s="3">
        <f t="shared" si="374"/>
        <v>4</v>
      </c>
      <c r="L3379" s="3" t="str">
        <f t="shared" si="362"/>
        <v>OPORTUNO</v>
      </c>
      <c r="M3379">
        <v>17</v>
      </c>
      <c r="N3379">
        <v>96.51</v>
      </c>
      <c r="O3379">
        <v>22.802850356294542</v>
      </c>
      <c r="P3379"/>
    </row>
    <row r="3380" spans="1:16" hidden="1" x14ac:dyDescent="0.25">
      <c r="A3380" s="11">
        <v>46107</v>
      </c>
      <c r="B3380" t="s">
        <v>34</v>
      </c>
      <c r="C3380" t="s">
        <v>32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372"/>
        <v>33</v>
      </c>
      <c r="J3380" s="3">
        <f t="shared" si="373"/>
        <v>28</v>
      </c>
      <c r="K3380" s="3">
        <f t="shared" si="374"/>
        <v>5</v>
      </c>
      <c r="L3380" s="3" t="str">
        <f t="shared" si="362"/>
        <v>OPORTUNO</v>
      </c>
      <c r="M3380">
        <v>28</v>
      </c>
      <c r="N3380">
        <v>92.68</v>
      </c>
      <c r="O3380">
        <v>27.777777777777779</v>
      </c>
      <c r="P3380"/>
    </row>
    <row r="3381" spans="1:16" hidden="1" x14ac:dyDescent="0.25">
      <c r="A3381" s="11">
        <v>46107</v>
      </c>
      <c r="B3381" t="s">
        <v>51</v>
      </c>
      <c r="C3381" t="s">
        <v>48</v>
      </c>
      <c r="D3381">
        <v>40</v>
      </c>
      <c r="E3381">
        <v>35</v>
      </c>
      <c r="F3381">
        <v>14.12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 t="shared" si="362"/>
        <v>OPORTUNO</v>
      </c>
      <c r="M3381">
        <v>32</v>
      </c>
      <c r="N3381">
        <v>99.03</v>
      </c>
      <c r="O3381">
        <v>23.991507430997881</v>
      </c>
      <c r="P3381"/>
    </row>
    <row r="3382" spans="1:16" hidden="1" x14ac:dyDescent="0.25">
      <c r="A3382" s="11">
        <v>46107</v>
      </c>
      <c r="B3382" t="s">
        <v>61</v>
      </c>
      <c r="C3382" t="s">
        <v>23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18</v>
      </c>
      <c r="K3382" s="3">
        <f>I3382-J3382</f>
        <v>-1</v>
      </c>
      <c r="L3382" s="3" t="str">
        <f t="shared" si="362"/>
        <v>ATENÇÃO</v>
      </c>
      <c r="M3382">
        <v>8</v>
      </c>
      <c r="N3382">
        <v>98.41</v>
      </c>
      <c r="O3382">
        <v>28.138528138528141</v>
      </c>
      <c r="P3382"/>
    </row>
    <row r="3383" spans="1:16" hidden="1" x14ac:dyDescent="0.25">
      <c r="A3383" s="11">
        <v>46107</v>
      </c>
      <c r="B3383" t="s">
        <v>35</v>
      </c>
      <c r="C3383" t="s">
        <v>32</v>
      </c>
      <c r="D3383">
        <v>21</v>
      </c>
      <c r="E3383">
        <v>21</v>
      </c>
      <c r="F3383">
        <v>26.42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 t="shared" si="362"/>
        <v>OPORTUNO</v>
      </c>
      <c r="M3383">
        <v>22</v>
      </c>
      <c r="N3383">
        <v>98.73</v>
      </c>
      <c r="O3383">
        <v>29.142857142857139</v>
      </c>
      <c r="P3383"/>
    </row>
    <row r="3384" spans="1:16" hidden="1" x14ac:dyDescent="0.25">
      <c r="A3384" s="11">
        <v>46107</v>
      </c>
      <c r="B3384" t="s">
        <v>18</v>
      </c>
      <c r="C3384" t="s">
        <v>16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ref="I3384:I3391" si="375">E3384+G3384+H3384</f>
        <v>13</v>
      </c>
      <c r="J3384" s="3">
        <f t="shared" ref="J3384:J3391" si="376"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8</v>
      </c>
      <c r="K3384" s="3">
        <f t="shared" ref="K3384:K3391" si="377">I3384-J3384</f>
        <v>5</v>
      </c>
      <c r="L3384" s="3" t="str">
        <f t="shared" si="362"/>
        <v>OPORTUNO</v>
      </c>
      <c r="M3384">
        <v>9</v>
      </c>
      <c r="N3384">
        <v>90.48</v>
      </c>
      <c r="O3384">
        <v>20.68965517241379</v>
      </c>
      <c r="P3384"/>
    </row>
    <row r="3385" spans="1:16" hidden="1" x14ac:dyDescent="0.25">
      <c r="A3385" s="11">
        <v>46107</v>
      </c>
      <c r="B3385" t="s">
        <v>52</v>
      </c>
      <c r="C3385" t="s">
        <v>48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375"/>
        <v>26</v>
      </c>
      <c r="J3385" s="3">
        <f t="shared" si="376"/>
        <v>22</v>
      </c>
      <c r="K3385" s="3">
        <f t="shared" si="377"/>
        <v>4</v>
      </c>
      <c r="L3385" s="3" t="str">
        <f t="shared" si="362"/>
        <v>OPORTUNO</v>
      </c>
      <c r="M3385">
        <v>23</v>
      </c>
      <c r="N3385">
        <v>98.06</v>
      </c>
      <c r="O3385">
        <v>24.789915966386559</v>
      </c>
      <c r="P3385"/>
    </row>
    <row r="3386" spans="1:16" hidden="1" x14ac:dyDescent="0.25">
      <c r="A3386" s="11">
        <v>46107</v>
      </c>
      <c r="B3386" t="s">
        <v>36</v>
      </c>
      <c r="C3386" t="s">
        <v>32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375"/>
        <v>30</v>
      </c>
      <c r="J3386" s="3">
        <f t="shared" si="376"/>
        <v>28</v>
      </c>
      <c r="K3386" s="3">
        <f t="shared" si="377"/>
        <v>2</v>
      </c>
      <c r="L3386" s="3" t="str">
        <f t="shared" si="362"/>
        <v>OPORTUNO</v>
      </c>
      <c r="M3386">
        <v>30</v>
      </c>
      <c r="N3386">
        <v>97.78</v>
      </c>
      <c r="O3386">
        <v>25.494071146245059</v>
      </c>
      <c r="P3386"/>
    </row>
    <row r="3387" spans="1:16" hidden="1" x14ac:dyDescent="0.25">
      <c r="A3387" s="11">
        <v>46107</v>
      </c>
      <c r="B3387" t="s">
        <v>53</v>
      </c>
      <c r="C3387" t="s">
        <v>48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375"/>
        <v>23</v>
      </c>
      <c r="J3387" s="3">
        <f t="shared" si="376"/>
        <v>22</v>
      </c>
      <c r="K3387" s="3">
        <f t="shared" si="377"/>
        <v>1</v>
      </c>
      <c r="L3387" s="3" t="str">
        <f t="shared" ref="L3387:L3450" si="378">IF(K3387&lt;-5,"CRÍTICO",IF(K3387&lt;0,"ATENÇÃO",IF(K3387&lt;=5,"OPORTUNO","MUITO BOM")))</f>
        <v>OPORTUNO</v>
      </c>
      <c r="M3387">
        <v>22</v>
      </c>
      <c r="N3387">
        <v>98.02</v>
      </c>
      <c r="O3387">
        <v>23.484848484848481</v>
      </c>
      <c r="P3387"/>
    </row>
    <row r="3388" spans="1:16" hidden="1" x14ac:dyDescent="0.25">
      <c r="A3388" s="10">
        <v>46164</v>
      </c>
      <c r="B3388" s="6" t="s">
        <v>55</v>
      </c>
      <c r="C3388" s="3" t="s">
        <v>48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 t="shared" si="375"/>
        <v>13</v>
      </c>
      <c r="J3388" s="3">
        <f t="shared" si="376"/>
        <v>15</v>
      </c>
      <c r="K3388" s="3">
        <f t="shared" si="377"/>
        <v>-2</v>
      </c>
      <c r="L3388" s="3" t="str">
        <f t="shared" si="378"/>
        <v>ATENÇÃO</v>
      </c>
      <c r="M3388" s="3">
        <v>10</v>
      </c>
      <c r="N3388" s="3">
        <v>98.94</v>
      </c>
      <c r="O3388" s="3">
        <v>21.270718232044199</v>
      </c>
    </row>
    <row r="3389" spans="1:16" hidden="1" x14ac:dyDescent="0.25">
      <c r="A3389" s="11">
        <v>46107</v>
      </c>
      <c r="B3389" t="s">
        <v>54</v>
      </c>
      <c r="C3389" t="s">
        <v>48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375"/>
        <v>23</v>
      </c>
      <c r="J3389" s="3">
        <f t="shared" si="376"/>
        <v>22</v>
      </c>
      <c r="K3389" s="3">
        <f t="shared" si="377"/>
        <v>1</v>
      </c>
      <c r="L3389" s="3" t="str">
        <f t="shared" si="378"/>
        <v>OPORTUNO</v>
      </c>
      <c r="M3389">
        <v>21</v>
      </c>
      <c r="N3389">
        <v>100</v>
      </c>
      <c r="O3389">
        <v>27.04918032786885</v>
      </c>
      <c r="P3389"/>
    </row>
    <row r="3390" spans="1:16" hidden="1" x14ac:dyDescent="0.25">
      <c r="A3390" s="11">
        <v>46107</v>
      </c>
      <c r="B3390" t="s">
        <v>37</v>
      </c>
      <c r="C3390" t="s">
        <v>32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375"/>
        <v>38</v>
      </c>
      <c r="J3390" s="3">
        <f t="shared" si="376"/>
        <v>28</v>
      </c>
      <c r="K3390" s="3">
        <f t="shared" si="377"/>
        <v>10</v>
      </c>
      <c r="L3390" s="3" t="str">
        <f t="shared" si="378"/>
        <v>MUITO BOM</v>
      </c>
      <c r="M3390">
        <v>34</v>
      </c>
      <c r="N3390">
        <v>97.83</v>
      </c>
      <c r="O3390">
        <v>26.315789473684209</v>
      </c>
      <c r="P3390"/>
    </row>
    <row r="3391" spans="1:16" hidden="1" x14ac:dyDescent="0.25">
      <c r="A3391" s="11">
        <v>46107</v>
      </c>
      <c r="B3391" t="s">
        <v>38</v>
      </c>
      <c r="C3391" t="s">
        <v>32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375"/>
        <v>21</v>
      </c>
      <c r="J3391" s="3">
        <f t="shared" si="376"/>
        <v>28</v>
      </c>
      <c r="K3391" s="3">
        <f t="shared" si="377"/>
        <v>-7</v>
      </c>
      <c r="L3391" s="3" t="str">
        <f t="shared" si="378"/>
        <v>CRÍTICO</v>
      </c>
      <c r="M3391">
        <v>18</v>
      </c>
      <c r="N3391">
        <v>100</v>
      </c>
      <c r="O3391">
        <v>26.701570680628269</v>
      </c>
      <c r="P3391"/>
    </row>
    <row r="3392" spans="1:16" hidden="1" x14ac:dyDescent="0.25">
      <c r="A3392" s="11">
        <v>46107</v>
      </c>
      <c r="B3392" t="s">
        <v>55</v>
      </c>
      <c r="C3392" t="s">
        <v>48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378"/>
        <v>OPORTUNO</v>
      </c>
      <c r="M3392">
        <v>0</v>
      </c>
      <c r="N3392">
        <v>97.47</v>
      </c>
      <c r="O3392">
        <v>22.887323943661968</v>
      </c>
      <c r="P3392"/>
    </row>
    <row r="3393" spans="1:15" customFormat="1" hidden="1" x14ac:dyDescent="0.25">
      <c r="A3393" s="11">
        <v>46107</v>
      </c>
      <c r="B3393" t="s">
        <v>39</v>
      </c>
      <c r="C3393" t="s">
        <v>32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 t="shared" si="378"/>
        <v>OPORTUNO</v>
      </c>
      <c r="M3393">
        <v>0</v>
      </c>
      <c r="N3393">
        <v>0</v>
      </c>
      <c r="O3393">
        <v>0</v>
      </c>
    </row>
    <row r="3394" spans="1:15" customFormat="1" hidden="1" x14ac:dyDescent="0.25">
      <c r="A3394" s="11">
        <v>46107</v>
      </c>
      <c r="B3394" t="s">
        <v>25</v>
      </c>
      <c r="C3394" t="s">
        <v>26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16</v>
      </c>
      <c r="K3394" s="3">
        <f>I3394-J3394</f>
        <v>6</v>
      </c>
      <c r="L3394" s="3" t="str">
        <f t="shared" si="378"/>
        <v>MUITO BOM</v>
      </c>
      <c r="M3394">
        <v>20</v>
      </c>
      <c r="N3394">
        <v>98.31</v>
      </c>
      <c r="O3394">
        <v>24.920127795527151</v>
      </c>
    </row>
    <row r="3395" spans="1:15" customFormat="1" hidden="1" x14ac:dyDescent="0.25">
      <c r="A3395" s="11">
        <v>46107</v>
      </c>
      <c r="B3395" t="s">
        <v>40</v>
      </c>
      <c r="C3395" t="s">
        <v>32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28</v>
      </c>
      <c r="K3395" s="3">
        <f>I3395-J3395</f>
        <v>-10</v>
      </c>
      <c r="L3395" s="3" t="str">
        <f t="shared" si="378"/>
        <v>CRÍTICO</v>
      </c>
      <c r="M3395">
        <v>19</v>
      </c>
      <c r="N3395">
        <v>96.81</v>
      </c>
      <c r="O3395">
        <v>32.365145228215773</v>
      </c>
    </row>
    <row r="3396" spans="1:15" customFormat="1" hidden="1" x14ac:dyDescent="0.25">
      <c r="A3396" s="11">
        <v>46107</v>
      </c>
      <c r="B3396" t="s">
        <v>27</v>
      </c>
      <c r="C3396" t="s">
        <v>26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16</v>
      </c>
      <c r="K3396" s="3">
        <f>I3396-J3396</f>
        <v>0</v>
      </c>
      <c r="L3396" s="3" t="str">
        <f t="shared" si="378"/>
        <v>OPORTUNO</v>
      </c>
      <c r="M3396">
        <v>12</v>
      </c>
      <c r="N3396">
        <v>100</v>
      </c>
      <c r="O3396">
        <v>26.47058823529412</v>
      </c>
    </row>
    <row r="3397" spans="1:15" customFormat="1" hidden="1" x14ac:dyDescent="0.25">
      <c r="A3397" s="11">
        <v>46107</v>
      </c>
      <c r="B3397" t="s">
        <v>41</v>
      </c>
      <c r="C3397" t="s">
        <v>32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28</v>
      </c>
      <c r="K3397" s="3">
        <f>I3397-J3397</f>
        <v>-4</v>
      </c>
      <c r="L3397" s="3" t="str">
        <f t="shared" si="378"/>
        <v>ATENÇÃO</v>
      </c>
      <c r="M3397">
        <v>23</v>
      </c>
      <c r="N3397">
        <v>100</v>
      </c>
      <c r="O3397">
        <v>28.490028490028489</v>
      </c>
    </row>
    <row r="3398" spans="1:15" customFormat="1" hidden="1" x14ac:dyDescent="0.25">
      <c r="A3398" s="11">
        <v>46107</v>
      </c>
      <c r="B3398" t="s">
        <v>56</v>
      </c>
      <c r="C3398" t="s">
        <v>48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22</v>
      </c>
      <c r="K3398" s="3">
        <f>I3398-J3398</f>
        <v>7</v>
      </c>
      <c r="L3398" s="3" t="str">
        <f t="shared" si="378"/>
        <v>MUITO BOM</v>
      </c>
      <c r="M3398">
        <v>11</v>
      </c>
      <c r="N3398">
        <v>99.14</v>
      </c>
      <c r="O3398">
        <v>27.2289156626506</v>
      </c>
    </row>
    <row r="3399" spans="1:15" customFormat="1" hidden="1" x14ac:dyDescent="0.25">
      <c r="A3399" s="11">
        <v>46107</v>
      </c>
      <c r="B3399" t="s">
        <v>57</v>
      </c>
      <c r="C3399" t="s">
        <v>48</v>
      </c>
      <c r="D3399">
        <v>30</v>
      </c>
      <c r="E3399">
        <v>28</v>
      </c>
      <c r="F3399">
        <v>15.35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378"/>
        <v>OPORTUNO</v>
      </c>
      <c r="M3399">
        <v>25</v>
      </c>
      <c r="N3399">
        <v>97.52</v>
      </c>
      <c r="O3399">
        <v>28.205128205128201</v>
      </c>
    </row>
    <row r="3400" spans="1:15" customFormat="1" hidden="1" x14ac:dyDescent="0.25">
      <c r="A3400" s="11">
        <v>46107</v>
      </c>
      <c r="B3400" t="s">
        <v>42</v>
      </c>
      <c r="C3400" t="s">
        <v>32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 t="shared" si="378"/>
        <v>OPORTUNO</v>
      </c>
      <c r="M3400">
        <v>0</v>
      </c>
      <c r="N3400">
        <v>90</v>
      </c>
      <c r="O3400">
        <v>24.186046511627911</v>
      </c>
    </row>
    <row r="3401" spans="1:15" customFormat="1" hidden="1" x14ac:dyDescent="0.25">
      <c r="A3401" s="11">
        <v>46107</v>
      </c>
      <c r="B3401" t="s">
        <v>62</v>
      </c>
      <c r="C3401" t="s">
        <v>23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18</v>
      </c>
      <c r="K3401" s="3">
        <f>I3401-J3401</f>
        <v>13</v>
      </c>
      <c r="L3401" s="3" t="str">
        <f t="shared" si="378"/>
        <v>MUITO BOM</v>
      </c>
      <c r="M3401">
        <v>24</v>
      </c>
      <c r="N3401">
        <v>98.9</v>
      </c>
      <c r="O3401">
        <v>26.763990267639901</v>
      </c>
    </row>
    <row r="3402" spans="1:15" customFormat="1" hidden="1" x14ac:dyDescent="0.25">
      <c r="A3402" s="11">
        <v>46107</v>
      </c>
      <c r="B3402" t="s">
        <v>19</v>
      </c>
      <c r="C3402" t="s">
        <v>16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8</v>
      </c>
      <c r="K3402" s="3">
        <f>I3402-J3402</f>
        <v>-1</v>
      </c>
      <c r="L3402" s="3" t="str">
        <f t="shared" si="378"/>
        <v>ATENÇÃO</v>
      </c>
      <c r="M3402">
        <v>6</v>
      </c>
      <c r="N3402">
        <v>88.89</v>
      </c>
      <c r="O3402">
        <v>25.263157894736839</v>
      </c>
    </row>
    <row r="3403" spans="1:15" customFormat="1" hidden="1" x14ac:dyDescent="0.25">
      <c r="A3403" s="11">
        <v>46107</v>
      </c>
      <c r="B3403" t="s">
        <v>43</v>
      </c>
      <c r="C3403" t="s">
        <v>32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-6</v>
      </c>
      <c r="L3403" s="3" t="str">
        <f t="shared" si="378"/>
        <v>CRÍTICO</v>
      </c>
      <c r="M3403">
        <v>23</v>
      </c>
      <c r="N3403">
        <v>98.86</v>
      </c>
      <c r="O3403">
        <v>28.959276018099551</v>
      </c>
    </row>
    <row r="3404" spans="1:15" customFormat="1" hidden="1" x14ac:dyDescent="0.25">
      <c r="A3404" s="11">
        <v>46107</v>
      </c>
      <c r="B3404" t="s">
        <v>44</v>
      </c>
      <c r="C3404" t="s">
        <v>32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28</v>
      </c>
      <c r="K3404" s="3">
        <f>I3404-J3404</f>
        <v>-15</v>
      </c>
      <c r="L3404" s="3" t="str">
        <f t="shared" si="378"/>
        <v>CRÍTICO</v>
      </c>
      <c r="M3404">
        <v>12</v>
      </c>
      <c r="N3404">
        <v>98.06</v>
      </c>
      <c r="O3404">
        <v>22.40566037735849</v>
      </c>
    </row>
    <row r="3405" spans="1:15" customFormat="1" hidden="1" x14ac:dyDescent="0.25">
      <c r="A3405" s="11">
        <v>46107</v>
      </c>
      <c r="B3405" t="s">
        <v>20</v>
      </c>
      <c r="C3405" t="s">
        <v>16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8</v>
      </c>
      <c r="K3405" s="3">
        <f>I3405-J3405</f>
        <v>-1</v>
      </c>
      <c r="L3405" s="3" t="str">
        <f t="shared" si="378"/>
        <v>ATENÇÃO</v>
      </c>
      <c r="M3405">
        <v>4</v>
      </c>
      <c r="N3405">
        <v>95.83</v>
      </c>
      <c r="O3405">
        <v>25.773195876288661</v>
      </c>
    </row>
    <row r="3406" spans="1:15" customFormat="1" hidden="1" x14ac:dyDescent="0.25">
      <c r="A3406" s="11">
        <v>46107</v>
      </c>
      <c r="B3406" t="s">
        <v>28</v>
      </c>
      <c r="C3406" t="s">
        <v>26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 t="shared" si="378"/>
        <v>OPORTUNO</v>
      </c>
      <c r="M3406">
        <v>0</v>
      </c>
      <c r="N3406">
        <v>100</v>
      </c>
      <c r="O3406">
        <v>15.38461538461539</v>
      </c>
    </row>
    <row r="3407" spans="1:15" customFormat="1" hidden="1" x14ac:dyDescent="0.25">
      <c r="A3407" s="11">
        <v>46107</v>
      </c>
      <c r="B3407" t="s">
        <v>58</v>
      </c>
      <c r="C3407" t="s">
        <v>48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ref="I3407:I3415" si="379">E3407+G3407+H3407</f>
        <v>6</v>
      </c>
      <c r="J3407" s="3">
        <f t="shared" ref="J3407:J3415" si="380"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22</v>
      </c>
      <c r="K3407" s="3">
        <f t="shared" ref="K3407:K3415" si="381">I3407-J3407</f>
        <v>-16</v>
      </c>
      <c r="L3407" s="3" t="str">
        <f t="shared" si="378"/>
        <v>CRÍTICO</v>
      </c>
      <c r="M3407">
        <v>5</v>
      </c>
      <c r="N3407">
        <v>100</v>
      </c>
      <c r="O3407">
        <v>27.514792899408281</v>
      </c>
    </row>
    <row r="3408" spans="1:15" customFormat="1" hidden="1" x14ac:dyDescent="0.25">
      <c r="A3408" s="11">
        <v>46107</v>
      </c>
      <c r="B3408" t="s">
        <v>29</v>
      </c>
      <c r="C3408" t="s">
        <v>26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379"/>
        <v>20</v>
      </c>
      <c r="J3408" s="3">
        <f t="shared" si="380"/>
        <v>16</v>
      </c>
      <c r="K3408" s="3">
        <f t="shared" si="381"/>
        <v>4</v>
      </c>
      <c r="L3408" s="3" t="str">
        <f t="shared" si="378"/>
        <v>OPORTUNO</v>
      </c>
      <c r="M3408">
        <v>14</v>
      </c>
      <c r="N3408">
        <v>100</v>
      </c>
      <c r="O3408">
        <v>24.875621890547269</v>
      </c>
    </row>
    <row r="3409" spans="1:15" customFormat="1" hidden="1" x14ac:dyDescent="0.25">
      <c r="A3409" s="11">
        <v>46107</v>
      </c>
      <c r="B3409" t="s">
        <v>30</v>
      </c>
      <c r="C3409" t="s">
        <v>26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379"/>
        <v>11</v>
      </c>
      <c r="J3409" s="3">
        <f t="shared" si="380"/>
        <v>16</v>
      </c>
      <c r="K3409" s="3">
        <f t="shared" si="381"/>
        <v>-5</v>
      </c>
      <c r="L3409" s="3" t="str">
        <f t="shared" si="378"/>
        <v>ATENÇÃO</v>
      </c>
      <c r="M3409">
        <v>9</v>
      </c>
      <c r="N3409">
        <v>100</v>
      </c>
      <c r="O3409">
        <v>28.108108108108109</v>
      </c>
    </row>
    <row r="3410" spans="1:15" customFormat="1" hidden="1" x14ac:dyDescent="0.25">
      <c r="A3410" s="11">
        <v>46107</v>
      </c>
      <c r="B3410" t="s">
        <v>21</v>
      </c>
      <c r="C3410" t="s">
        <v>16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379"/>
        <v>5</v>
      </c>
      <c r="J3410" s="3">
        <f t="shared" si="380"/>
        <v>8</v>
      </c>
      <c r="K3410" s="3">
        <f t="shared" si="381"/>
        <v>-3</v>
      </c>
      <c r="L3410" s="3" t="str">
        <f t="shared" si="378"/>
        <v>ATENÇÃO</v>
      </c>
      <c r="M3410">
        <v>4</v>
      </c>
      <c r="N3410">
        <v>100</v>
      </c>
      <c r="O3410">
        <v>35</v>
      </c>
    </row>
    <row r="3411" spans="1:15" customFormat="1" hidden="1" x14ac:dyDescent="0.25">
      <c r="A3411" s="11">
        <v>46107</v>
      </c>
      <c r="B3411" t="s">
        <v>63</v>
      </c>
      <c r="C3411" t="s">
        <v>23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si="379"/>
        <v>20</v>
      </c>
      <c r="J3411" s="3">
        <f t="shared" si="380"/>
        <v>18</v>
      </c>
      <c r="K3411" s="3">
        <f t="shared" si="381"/>
        <v>2</v>
      </c>
      <c r="L3411" s="3" t="str">
        <f t="shared" si="378"/>
        <v>OPORTUNO</v>
      </c>
      <c r="M3411">
        <v>15</v>
      </c>
      <c r="N3411">
        <v>95.35</v>
      </c>
      <c r="O3411">
        <v>28.61538461538461</v>
      </c>
    </row>
    <row r="3412" spans="1:15" customFormat="1" hidden="1" x14ac:dyDescent="0.25">
      <c r="A3412" s="11">
        <v>46107</v>
      </c>
      <c r="B3412" t="s">
        <v>45</v>
      </c>
      <c r="C3412" t="s">
        <v>32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379"/>
        <v>25</v>
      </c>
      <c r="J3412" s="3">
        <f t="shared" si="380"/>
        <v>28</v>
      </c>
      <c r="K3412" s="3">
        <f t="shared" si="381"/>
        <v>-3</v>
      </c>
      <c r="L3412" s="3" t="str">
        <f t="shared" si="378"/>
        <v>ATENÇÃO</v>
      </c>
      <c r="M3412">
        <v>25</v>
      </c>
      <c r="N3412">
        <v>98.26</v>
      </c>
      <c r="O3412">
        <v>27.54491017964072</v>
      </c>
    </row>
    <row r="3413" spans="1:15" customFormat="1" hidden="1" x14ac:dyDescent="0.25">
      <c r="A3413" s="11">
        <v>46107</v>
      </c>
      <c r="B3413" t="s">
        <v>64</v>
      </c>
      <c r="C3413" t="s">
        <v>23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379"/>
        <v>11</v>
      </c>
      <c r="J3413" s="3">
        <f t="shared" si="380"/>
        <v>18</v>
      </c>
      <c r="K3413" s="3">
        <f t="shared" si="381"/>
        <v>-7</v>
      </c>
      <c r="L3413" s="3" t="str">
        <f t="shared" si="378"/>
        <v>CRÍTICO</v>
      </c>
      <c r="M3413">
        <v>9</v>
      </c>
      <c r="N3413">
        <v>98.55</v>
      </c>
      <c r="O3413">
        <v>25.337837837837839</v>
      </c>
    </row>
    <row r="3414" spans="1:15" customFormat="1" hidden="1" x14ac:dyDescent="0.25">
      <c r="A3414" s="11">
        <v>46107</v>
      </c>
      <c r="B3414" t="s">
        <v>46</v>
      </c>
      <c r="C3414" t="s">
        <v>32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379"/>
        <v>27</v>
      </c>
      <c r="J3414" s="3">
        <f t="shared" si="380"/>
        <v>28</v>
      </c>
      <c r="K3414" s="3">
        <f t="shared" si="381"/>
        <v>-1</v>
      </c>
      <c r="L3414" s="3" t="str">
        <f t="shared" si="378"/>
        <v>ATENÇÃO</v>
      </c>
      <c r="M3414">
        <v>26</v>
      </c>
      <c r="N3414">
        <v>98.39</v>
      </c>
      <c r="O3414">
        <v>25.563909774436091</v>
      </c>
    </row>
    <row r="3415" spans="1:15" customFormat="1" hidden="1" x14ac:dyDescent="0.25">
      <c r="A3415" s="11">
        <v>46108</v>
      </c>
      <c r="B3415" t="s">
        <v>47</v>
      </c>
      <c r="C3415" t="s">
        <v>48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379"/>
        <v>22</v>
      </c>
      <c r="J3415" s="3">
        <f t="shared" si="380"/>
        <v>21</v>
      </c>
      <c r="K3415" s="3">
        <f t="shared" si="381"/>
        <v>1</v>
      </c>
      <c r="L3415" s="3" t="str">
        <f t="shared" si="378"/>
        <v>OPORTUNO</v>
      </c>
      <c r="M3415">
        <v>19</v>
      </c>
      <c r="N3415">
        <v>94.29</v>
      </c>
      <c r="O3415">
        <v>25.647668393782389</v>
      </c>
    </row>
    <row r="3416" spans="1:15" customFormat="1" hidden="1" x14ac:dyDescent="0.25">
      <c r="A3416" s="11">
        <v>46108</v>
      </c>
      <c r="B3416" t="s">
        <v>31</v>
      </c>
      <c r="C3416" t="s">
        <v>32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 t="shared" si="378"/>
        <v>OPORTUNO</v>
      </c>
      <c r="M3416">
        <v>24</v>
      </c>
      <c r="N3416">
        <v>98.26</v>
      </c>
      <c r="O3416">
        <v>26.666666666666671</v>
      </c>
    </row>
    <row r="3417" spans="1:15" customFormat="1" hidden="1" x14ac:dyDescent="0.25">
      <c r="A3417" s="11">
        <v>46108</v>
      </c>
      <c r="B3417" t="s">
        <v>59</v>
      </c>
      <c r="C3417" t="s">
        <v>23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ref="I3417:I3424" si="382">E3417+G3417+H3417</f>
        <v>29</v>
      </c>
      <c r="J3417" s="3">
        <f t="shared" ref="J3417:J3424" si="383"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17</v>
      </c>
      <c r="K3417" s="3">
        <f t="shared" ref="K3417:K3424" si="384">I3417-J3417</f>
        <v>12</v>
      </c>
      <c r="L3417" s="3" t="str">
        <f t="shared" si="378"/>
        <v>MUITO BOM</v>
      </c>
      <c r="M3417">
        <v>26</v>
      </c>
      <c r="N3417">
        <v>98.2</v>
      </c>
      <c r="O3417">
        <v>23.37962962962963</v>
      </c>
    </row>
    <row r="3418" spans="1:15" customFormat="1" hidden="1" x14ac:dyDescent="0.25">
      <c r="A3418" s="11">
        <v>46108</v>
      </c>
      <c r="B3418" t="s">
        <v>33</v>
      </c>
      <c r="C3418" t="s">
        <v>32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382"/>
        <v>22</v>
      </c>
      <c r="J3418" s="3">
        <f t="shared" si="383"/>
        <v>26</v>
      </c>
      <c r="K3418" s="3">
        <f t="shared" si="384"/>
        <v>-4</v>
      </c>
      <c r="L3418" s="3" t="str">
        <f t="shared" si="378"/>
        <v>ATENÇÃO</v>
      </c>
      <c r="M3418">
        <v>19</v>
      </c>
      <c r="N3418">
        <v>97.3</v>
      </c>
      <c r="O3418">
        <v>23.84769539078156</v>
      </c>
    </row>
    <row r="3419" spans="1:15" customFormat="1" hidden="1" x14ac:dyDescent="0.25">
      <c r="A3419" s="11">
        <v>46108</v>
      </c>
      <c r="B3419" t="s">
        <v>15</v>
      </c>
      <c r="C3419" t="s">
        <v>16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382"/>
        <v>16</v>
      </c>
      <c r="J3419" s="3">
        <f t="shared" si="383"/>
        <v>7</v>
      </c>
      <c r="K3419" s="3">
        <f t="shared" si="384"/>
        <v>9</v>
      </c>
      <c r="L3419" s="3" t="str">
        <f t="shared" si="378"/>
        <v>MUITO BOM</v>
      </c>
      <c r="M3419">
        <v>15</v>
      </c>
      <c r="N3419">
        <v>100</v>
      </c>
      <c r="O3419">
        <v>25.268817204301079</v>
      </c>
    </row>
    <row r="3420" spans="1:15" customFormat="1" hidden="1" x14ac:dyDescent="0.25">
      <c r="A3420" s="11">
        <v>46108</v>
      </c>
      <c r="B3420" t="s">
        <v>49</v>
      </c>
      <c r="C3420" t="s">
        <v>48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382"/>
        <v>29</v>
      </c>
      <c r="J3420" s="3">
        <f t="shared" si="383"/>
        <v>21</v>
      </c>
      <c r="K3420" s="3">
        <f t="shared" si="384"/>
        <v>8</v>
      </c>
      <c r="L3420" s="3" t="str">
        <f t="shared" si="378"/>
        <v>MUITO BOM</v>
      </c>
      <c r="M3420">
        <v>28</v>
      </c>
      <c r="N3420">
        <v>99.32</v>
      </c>
      <c r="O3420">
        <v>22.822822822822818</v>
      </c>
    </row>
    <row r="3421" spans="1:15" customFormat="1" hidden="1" x14ac:dyDescent="0.25">
      <c r="A3421" s="11">
        <v>46108</v>
      </c>
      <c r="B3421" t="s">
        <v>50</v>
      </c>
      <c r="C3421" t="s">
        <v>48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382"/>
        <v>17</v>
      </c>
      <c r="J3421" s="3">
        <f t="shared" si="383"/>
        <v>21</v>
      </c>
      <c r="K3421" s="3">
        <f t="shared" si="384"/>
        <v>-4</v>
      </c>
      <c r="L3421" s="3" t="str">
        <f t="shared" si="378"/>
        <v>ATENÇÃO</v>
      </c>
      <c r="M3421">
        <v>18</v>
      </c>
      <c r="N3421">
        <v>100</v>
      </c>
      <c r="O3421">
        <v>27.966101694915249</v>
      </c>
    </row>
    <row r="3422" spans="1:15" customFormat="1" hidden="1" x14ac:dyDescent="0.25">
      <c r="A3422" s="11">
        <v>46108</v>
      </c>
      <c r="B3422" t="s">
        <v>17</v>
      </c>
      <c r="C3422" t="s">
        <v>16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382"/>
        <v>10</v>
      </c>
      <c r="J3422" s="3">
        <f t="shared" si="383"/>
        <v>7</v>
      </c>
      <c r="K3422" s="3">
        <f t="shared" si="384"/>
        <v>3</v>
      </c>
      <c r="L3422" s="3" t="str">
        <f t="shared" si="378"/>
        <v>OPORTUNO</v>
      </c>
      <c r="M3422">
        <v>6</v>
      </c>
      <c r="N3422">
        <v>100</v>
      </c>
      <c r="O3422">
        <v>30.434782608695659</v>
      </c>
    </row>
    <row r="3423" spans="1:15" customFormat="1" hidden="1" x14ac:dyDescent="0.25">
      <c r="A3423" s="11">
        <v>46108</v>
      </c>
      <c r="B3423" t="s">
        <v>60</v>
      </c>
      <c r="C3423" t="s">
        <v>23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382"/>
        <v>30</v>
      </c>
      <c r="J3423" s="3">
        <f t="shared" si="383"/>
        <v>17</v>
      </c>
      <c r="K3423" s="3">
        <f t="shared" si="384"/>
        <v>13</v>
      </c>
      <c r="L3423" s="3" t="str">
        <f t="shared" si="378"/>
        <v>MUITO BOM</v>
      </c>
      <c r="M3423">
        <v>31</v>
      </c>
      <c r="N3423">
        <v>96.51</v>
      </c>
      <c r="O3423">
        <v>22.802850356294542</v>
      </c>
    </row>
    <row r="3424" spans="1:15" customFormat="1" hidden="1" x14ac:dyDescent="0.25">
      <c r="A3424" s="11">
        <v>46108</v>
      </c>
      <c r="B3424" t="s">
        <v>34</v>
      </c>
      <c r="C3424" t="s">
        <v>32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382"/>
        <v>25</v>
      </c>
      <c r="J3424" s="3">
        <f t="shared" si="383"/>
        <v>26</v>
      </c>
      <c r="K3424" s="3">
        <f t="shared" si="384"/>
        <v>-1</v>
      </c>
      <c r="L3424" s="3" t="str">
        <f t="shared" si="378"/>
        <v>ATENÇÃO</v>
      </c>
      <c r="M3424">
        <v>22</v>
      </c>
      <c r="N3424">
        <v>92.68</v>
      </c>
      <c r="O3424">
        <v>27.777777777777779</v>
      </c>
    </row>
    <row r="3425" spans="1:16" hidden="1" x14ac:dyDescent="0.25">
      <c r="A3425" s="11">
        <v>46108</v>
      </c>
      <c r="B3425" t="s">
        <v>51</v>
      </c>
      <c r="C3425" t="s">
        <v>48</v>
      </c>
      <c r="D3425">
        <v>16</v>
      </c>
      <c r="E3425">
        <v>13</v>
      </c>
      <c r="F3425">
        <v>10.34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 t="shared" si="378"/>
        <v>OPORTUNO</v>
      </c>
      <c r="M3425">
        <v>12</v>
      </c>
      <c r="N3425">
        <v>99.03</v>
      </c>
      <c r="O3425">
        <v>23.991507430997881</v>
      </c>
      <c r="P3425"/>
    </row>
    <row r="3426" spans="1:16" hidden="1" x14ac:dyDescent="0.25">
      <c r="A3426" s="11">
        <v>46108</v>
      </c>
      <c r="B3426" t="s">
        <v>61</v>
      </c>
      <c r="C3426" t="s">
        <v>23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17</v>
      </c>
      <c r="K3426" s="3">
        <f>I3426-J3426</f>
        <v>0</v>
      </c>
      <c r="L3426" s="3" t="str">
        <f t="shared" si="378"/>
        <v>OPORTUNO</v>
      </c>
      <c r="M3426">
        <v>6</v>
      </c>
      <c r="N3426">
        <v>98.41</v>
      </c>
      <c r="O3426">
        <v>28.138528138528141</v>
      </c>
      <c r="P3426"/>
    </row>
    <row r="3427" spans="1:16" hidden="1" x14ac:dyDescent="0.25">
      <c r="A3427" s="11">
        <v>46108</v>
      </c>
      <c r="B3427" t="s">
        <v>35</v>
      </c>
      <c r="C3427" t="s">
        <v>32</v>
      </c>
      <c r="D3427">
        <v>17</v>
      </c>
      <c r="E3427">
        <v>17</v>
      </c>
      <c r="F3427">
        <v>33.450000000000003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 t="shared" si="378"/>
        <v>OPORTUNO</v>
      </c>
      <c r="M3427">
        <v>18</v>
      </c>
      <c r="N3427">
        <v>98.73</v>
      </c>
      <c r="O3427">
        <v>29.142857142857139</v>
      </c>
      <c r="P3427"/>
    </row>
    <row r="3428" spans="1:16" hidden="1" x14ac:dyDescent="0.25">
      <c r="A3428" s="11">
        <v>46108</v>
      </c>
      <c r="B3428" t="s">
        <v>18</v>
      </c>
      <c r="C3428" t="s">
        <v>16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ref="I3428:I3435" si="385">E3428+G3428+H3428</f>
        <v>8</v>
      </c>
      <c r="J3428" s="3">
        <f t="shared" ref="J3428:J3435" si="386"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 t="shared" ref="K3428:K3435" si="387">I3428-J3428</f>
        <v>1</v>
      </c>
      <c r="L3428" s="3" t="str">
        <f t="shared" si="378"/>
        <v>OPORTUNO</v>
      </c>
      <c r="M3428">
        <v>8</v>
      </c>
      <c r="N3428">
        <v>90.48</v>
      </c>
      <c r="O3428">
        <v>20.68965517241379</v>
      </c>
      <c r="P3428"/>
    </row>
    <row r="3429" spans="1:16" hidden="1" x14ac:dyDescent="0.25">
      <c r="A3429" s="11">
        <v>46108</v>
      </c>
      <c r="B3429" t="s">
        <v>52</v>
      </c>
      <c r="C3429" t="s">
        <v>48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385"/>
        <v>23</v>
      </c>
      <c r="J3429" s="3">
        <f t="shared" si="386"/>
        <v>21</v>
      </c>
      <c r="K3429" s="3">
        <f t="shared" si="387"/>
        <v>2</v>
      </c>
      <c r="L3429" s="3" t="str">
        <f t="shared" si="378"/>
        <v>OPORTUNO</v>
      </c>
      <c r="M3429">
        <v>21</v>
      </c>
      <c r="N3429">
        <v>98.06</v>
      </c>
      <c r="O3429">
        <v>24.789915966386559</v>
      </c>
      <c r="P3429"/>
    </row>
    <row r="3430" spans="1:16" hidden="1" x14ac:dyDescent="0.25">
      <c r="A3430" s="11">
        <v>46108</v>
      </c>
      <c r="B3430" t="s">
        <v>36</v>
      </c>
      <c r="C3430" t="s">
        <v>32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385"/>
        <v>19</v>
      </c>
      <c r="J3430" s="3">
        <f t="shared" si="386"/>
        <v>26</v>
      </c>
      <c r="K3430" s="3">
        <f t="shared" si="387"/>
        <v>-7</v>
      </c>
      <c r="L3430" s="3" t="str">
        <f t="shared" si="378"/>
        <v>CRÍTICO</v>
      </c>
      <c r="M3430">
        <v>20</v>
      </c>
      <c r="N3430">
        <v>97.78</v>
      </c>
      <c r="O3430">
        <v>25.494071146245059</v>
      </c>
      <c r="P3430"/>
    </row>
    <row r="3431" spans="1:16" hidden="1" x14ac:dyDescent="0.25">
      <c r="A3431" s="11">
        <v>46108</v>
      </c>
      <c r="B3431" t="s">
        <v>53</v>
      </c>
      <c r="C3431" t="s">
        <v>48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385"/>
        <v>20</v>
      </c>
      <c r="J3431" s="3">
        <f t="shared" si="386"/>
        <v>21</v>
      </c>
      <c r="K3431" s="3">
        <f t="shared" si="387"/>
        <v>-1</v>
      </c>
      <c r="L3431" s="3" t="str">
        <f t="shared" si="378"/>
        <v>ATENÇÃO</v>
      </c>
      <c r="M3431">
        <v>18</v>
      </c>
      <c r="N3431">
        <v>98.02</v>
      </c>
      <c r="O3431">
        <v>23.484848484848481</v>
      </c>
      <c r="P3431"/>
    </row>
    <row r="3432" spans="1:16" hidden="1" x14ac:dyDescent="0.25">
      <c r="A3432" s="10">
        <v>46164</v>
      </c>
      <c r="B3432" s="6" t="s">
        <v>56</v>
      </c>
      <c r="C3432" s="3" t="s">
        <v>48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 t="shared" si="385"/>
        <v>19</v>
      </c>
      <c r="J3432" s="3">
        <f t="shared" si="386"/>
        <v>15</v>
      </c>
      <c r="K3432" s="3">
        <f t="shared" si="387"/>
        <v>4</v>
      </c>
      <c r="L3432" s="3" t="str">
        <f t="shared" si="378"/>
        <v>OPORTUNO</v>
      </c>
      <c r="M3432" s="3">
        <v>18</v>
      </c>
      <c r="N3432" s="3">
        <v>99</v>
      </c>
      <c r="O3432" s="3">
        <v>22.010869565217391</v>
      </c>
    </row>
    <row r="3433" spans="1:16" hidden="1" x14ac:dyDescent="0.25">
      <c r="A3433" s="11">
        <v>46108</v>
      </c>
      <c r="B3433" t="s">
        <v>54</v>
      </c>
      <c r="C3433" t="s">
        <v>48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si="385"/>
        <v>22</v>
      </c>
      <c r="J3433" s="3">
        <f t="shared" si="386"/>
        <v>21</v>
      </c>
      <c r="K3433" s="3">
        <f t="shared" si="387"/>
        <v>1</v>
      </c>
      <c r="L3433" s="3" t="str">
        <f t="shared" si="378"/>
        <v>OPORTUNO</v>
      </c>
      <c r="M3433">
        <v>14</v>
      </c>
      <c r="N3433">
        <v>100</v>
      </c>
      <c r="O3433">
        <v>27.04918032786885</v>
      </c>
      <c r="P3433"/>
    </row>
    <row r="3434" spans="1:16" hidden="1" x14ac:dyDescent="0.25">
      <c r="A3434" s="11">
        <v>46108</v>
      </c>
      <c r="B3434" t="s">
        <v>37</v>
      </c>
      <c r="C3434" t="s">
        <v>32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385"/>
        <v>39</v>
      </c>
      <c r="J3434" s="3">
        <f t="shared" si="386"/>
        <v>26</v>
      </c>
      <c r="K3434" s="3">
        <f t="shared" si="387"/>
        <v>13</v>
      </c>
      <c r="L3434" s="3" t="str">
        <f t="shared" si="378"/>
        <v>MUITO BOM</v>
      </c>
      <c r="M3434">
        <v>38</v>
      </c>
      <c r="N3434">
        <v>97.83</v>
      </c>
      <c r="O3434">
        <v>26.315789473684209</v>
      </c>
      <c r="P3434"/>
    </row>
    <row r="3435" spans="1:16" hidden="1" x14ac:dyDescent="0.25">
      <c r="A3435" s="11">
        <v>46108</v>
      </c>
      <c r="B3435" t="s">
        <v>38</v>
      </c>
      <c r="C3435" t="s">
        <v>32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385"/>
        <v>6</v>
      </c>
      <c r="J3435" s="3">
        <f t="shared" si="386"/>
        <v>26</v>
      </c>
      <c r="K3435" s="3">
        <f t="shared" si="387"/>
        <v>-20</v>
      </c>
      <c r="L3435" s="3" t="str">
        <f t="shared" si="378"/>
        <v>CRÍTICO</v>
      </c>
      <c r="M3435">
        <v>5</v>
      </c>
      <c r="N3435">
        <v>100</v>
      </c>
      <c r="O3435">
        <v>26.701570680628269</v>
      </c>
      <c r="P3435"/>
    </row>
    <row r="3436" spans="1:16" hidden="1" x14ac:dyDescent="0.25">
      <c r="A3436" s="11">
        <v>46108</v>
      </c>
      <c r="B3436" t="s">
        <v>55</v>
      </c>
      <c r="C3436" t="s">
        <v>48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378"/>
        <v>OPORTUNO</v>
      </c>
      <c r="M3436">
        <v>0</v>
      </c>
      <c r="N3436">
        <v>97.47</v>
      </c>
      <c r="O3436">
        <v>22.887323943661968</v>
      </c>
      <c r="P3436"/>
    </row>
    <row r="3437" spans="1:16" hidden="1" x14ac:dyDescent="0.25">
      <c r="A3437" s="11">
        <v>46108</v>
      </c>
      <c r="B3437" t="s">
        <v>39</v>
      </c>
      <c r="C3437" t="s">
        <v>32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 t="shared" si="378"/>
        <v>OPORTUNO</v>
      </c>
      <c r="M3437">
        <v>0</v>
      </c>
      <c r="N3437">
        <v>0</v>
      </c>
      <c r="O3437">
        <v>0</v>
      </c>
      <c r="P3437"/>
    </row>
    <row r="3438" spans="1:16" hidden="1" x14ac:dyDescent="0.25">
      <c r="A3438" s="11">
        <v>46108</v>
      </c>
      <c r="B3438" t="s">
        <v>25</v>
      </c>
      <c r="C3438" t="s">
        <v>26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15</v>
      </c>
      <c r="K3438" s="3">
        <f>I3438-J3438</f>
        <v>9</v>
      </c>
      <c r="L3438" s="3" t="str">
        <f t="shared" si="378"/>
        <v>MUITO BOM</v>
      </c>
      <c r="M3438">
        <v>23</v>
      </c>
      <c r="N3438">
        <v>98.31</v>
      </c>
      <c r="O3438">
        <v>24.920127795527151</v>
      </c>
      <c r="P3438"/>
    </row>
    <row r="3439" spans="1:16" hidden="1" x14ac:dyDescent="0.25">
      <c r="A3439" s="11">
        <v>46108</v>
      </c>
      <c r="B3439" t="s">
        <v>40</v>
      </c>
      <c r="C3439" t="s">
        <v>32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26</v>
      </c>
      <c r="K3439" s="3">
        <f>I3439-J3439</f>
        <v>-1</v>
      </c>
      <c r="L3439" s="3" t="str">
        <f t="shared" si="378"/>
        <v>ATENÇÃO</v>
      </c>
      <c r="M3439">
        <v>25</v>
      </c>
      <c r="N3439">
        <v>96.81</v>
      </c>
      <c r="O3439">
        <v>32.365145228215773</v>
      </c>
      <c r="P3439"/>
    </row>
    <row r="3440" spans="1:16" hidden="1" x14ac:dyDescent="0.25">
      <c r="A3440" s="11">
        <v>46108</v>
      </c>
      <c r="B3440" t="s">
        <v>27</v>
      </c>
      <c r="C3440" t="s">
        <v>26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15</v>
      </c>
      <c r="K3440" s="3">
        <f>I3440-J3440</f>
        <v>-4</v>
      </c>
      <c r="L3440" s="3" t="str">
        <f t="shared" si="378"/>
        <v>ATENÇÃO</v>
      </c>
      <c r="M3440">
        <v>9</v>
      </c>
      <c r="N3440">
        <v>100</v>
      </c>
      <c r="O3440">
        <v>26.47058823529412</v>
      </c>
      <c r="P3440"/>
    </row>
    <row r="3441" spans="1:15" customFormat="1" hidden="1" x14ac:dyDescent="0.25">
      <c r="A3441" s="11">
        <v>46108</v>
      </c>
      <c r="B3441" t="s">
        <v>41</v>
      </c>
      <c r="C3441" t="s">
        <v>32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26</v>
      </c>
      <c r="K3441" s="3">
        <f>I3441-J3441</f>
        <v>2</v>
      </c>
      <c r="L3441" s="3" t="str">
        <f t="shared" si="378"/>
        <v>OPORTUNO</v>
      </c>
      <c r="M3441">
        <v>26</v>
      </c>
      <c r="N3441">
        <v>100</v>
      </c>
      <c r="O3441">
        <v>28.490028490028489</v>
      </c>
    </row>
    <row r="3442" spans="1:15" customFormat="1" hidden="1" x14ac:dyDescent="0.25">
      <c r="A3442" s="11">
        <v>46108</v>
      </c>
      <c r="B3442" t="s">
        <v>56</v>
      </c>
      <c r="C3442" t="s">
        <v>48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21</v>
      </c>
      <c r="K3442" s="3">
        <f>I3442-J3442</f>
        <v>9</v>
      </c>
      <c r="L3442" s="3" t="str">
        <f t="shared" si="378"/>
        <v>MUITO BOM</v>
      </c>
      <c r="M3442">
        <v>15</v>
      </c>
      <c r="N3442">
        <v>99.14</v>
      </c>
      <c r="O3442">
        <v>27.2289156626506</v>
      </c>
    </row>
    <row r="3443" spans="1:15" customFormat="1" hidden="1" x14ac:dyDescent="0.25">
      <c r="A3443" s="11">
        <v>46108</v>
      </c>
      <c r="B3443" t="s">
        <v>57</v>
      </c>
      <c r="C3443" t="s">
        <v>48</v>
      </c>
      <c r="D3443">
        <v>21</v>
      </c>
      <c r="E3443">
        <v>19</v>
      </c>
      <c r="F3443">
        <v>21.46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378"/>
        <v>OPORTUNO</v>
      </c>
      <c r="M3443">
        <v>18</v>
      </c>
      <c r="N3443">
        <v>97.52</v>
      </c>
      <c r="O3443">
        <v>28.205128205128201</v>
      </c>
    </row>
    <row r="3444" spans="1:15" customFormat="1" hidden="1" x14ac:dyDescent="0.25">
      <c r="A3444" s="11">
        <v>46108</v>
      </c>
      <c r="B3444" t="s">
        <v>42</v>
      </c>
      <c r="C3444" t="s">
        <v>32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 t="shared" si="378"/>
        <v>OPORTUNO</v>
      </c>
      <c r="M3444">
        <v>0</v>
      </c>
      <c r="N3444">
        <v>90</v>
      </c>
      <c r="O3444">
        <v>24.186046511627911</v>
      </c>
    </row>
    <row r="3445" spans="1:15" customFormat="1" hidden="1" x14ac:dyDescent="0.25">
      <c r="A3445" s="11">
        <v>46108</v>
      </c>
      <c r="B3445" t="s">
        <v>62</v>
      </c>
      <c r="C3445" t="s">
        <v>23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17</v>
      </c>
      <c r="K3445" s="3">
        <f>I3445-J3445</f>
        <v>6</v>
      </c>
      <c r="L3445" s="3" t="str">
        <f t="shared" si="378"/>
        <v>MUITO BOM</v>
      </c>
      <c r="M3445">
        <v>20</v>
      </c>
      <c r="N3445">
        <v>98.9</v>
      </c>
      <c r="O3445">
        <v>26.763990267639901</v>
      </c>
    </row>
    <row r="3446" spans="1:15" customFormat="1" hidden="1" x14ac:dyDescent="0.25">
      <c r="A3446" s="11">
        <v>46108</v>
      </c>
      <c r="B3446" t="s">
        <v>19</v>
      </c>
      <c r="C3446" t="s">
        <v>16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 t="shared" si="378"/>
        <v>OPORTUNO</v>
      </c>
      <c r="M3446">
        <v>5</v>
      </c>
      <c r="N3446">
        <v>88.89</v>
      </c>
      <c r="O3446">
        <v>25.263157894736839</v>
      </c>
    </row>
    <row r="3447" spans="1:15" customFormat="1" hidden="1" x14ac:dyDescent="0.25">
      <c r="A3447" s="11">
        <v>46108</v>
      </c>
      <c r="B3447" t="s">
        <v>43</v>
      </c>
      <c r="C3447" t="s">
        <v>32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26</v>
      </c>
      <c r="K3447" s="3">
        <f>I3447-J3447</f>
        <v>1</v>
      </c>
      <c r="L3447" s="3" t="str">
        <f t="shared" si="378"/>
        <v>OPORTUNO</v>
      </c>
      <c r="M3447">
        <v>24</v>
      </c>
      <c r="N3447">
        <v>98.86</v>
      </c>
      <c r="O3447">
        <v>28.959276018099551</v>
      </c>
    </row>
    <row r="3448" spans="1:15" customFormat="1" hidden="1" x14ac:dyDescent="0.25">
      <c r="A3448" s="11">
        <v>46108</v>
      </c>
      <c r="B3448" t="s">
        <v>44</v>
      </c>
      <c r="C3448" t="s">
        <v>32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 t="shared" si="378"/>
        <v>OPORTUNO</v>
      </c>
      <c r="M3448">
        <v>0</v>
      </c>
      <c r="N3448">
        <v>98.06</v>
      </c>
      <c r="O3448">
        <v>22.40566037735849</v>
      </c>
    </row>
    <row r="3449" spans="1:15" customFormat="1" hidden="1" x14ac:dyDescent="0.25">
      <c r="A3449" s="11">
        <v>46108</v>
      </c>
      <c r="B3449" t="s">
        <v>20</v>
      </c>
      <c r="C3449" t="s">
        <v>16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 t="shared" si="378"/>
        <v>OPORTUNO</v>
      </c>
      <c r="M3449">
        <v>4</v>
      </c>
      <c r="N3449">
        <v>95.83</v>
      </c>
      <c r="O3449">
        <v>25.773195876288661</v>
      </c>
    </row>
    <row r="3450" spans="1:15" customFormat="1" hidden="1" x14ac:dyDescent="0.25">
      <c r="A3450" s="11">
        <v>46108</v>
      </c>
      <c r="B3450" t="s">
        <v>28</v>
      </c>
      <c r="C3450" t="s">
        <v>26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si="378"/>
        <v>OPORTUNO</v>
      </c>
      <c r="M3450">
        <v>1</v>
      </c>
      <c r="N3450">
        <v>100</v>
      </c>
      <c r="O3450">
        <v>15.38461538461539</v>
      </c>
    </row>
    <row r="3451" spans="1:15" customFormat="1" hidden="1" x14ac:dyDescent="0.25">
      <c r="A3451" s="11">
        <v>46108</v>
      </c>
      <c r="B3451" t="s">
        <v>58</v>
      </c>
      <c r="C3451" t="s">
        <v>48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 t="shared" ref="L3451:L3514" si="388">IF(K3451&lt;-5,"CRÍTICO",IF(K3451&lt;0,"ATENÇÃO",IF(K3451&lt;=5,"OPORTUNO","MUITO BOM")))</f>
        <v>OPORTUNO</v>
      </c>
      <c r="M3451">
        <v>0</v>
      </c>
      <c r="N3451">
        <v>100</v>
      </c>
      <c r="O3451">
        <v>27.514792899408281</v>
      </c>
    </row>
    <row r="3452" spans="1:15" customFormat="1" hidden="1" x14ac:dyDescent="0.25">
      <c r="A3452" s="11">
        <v>46108</v>
      </c>
      <c r="B3452" t="s">
        <v>29</v>
      </c>
      <c r="C3452" t="s">
        <v>26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ref="I3452:I3459" si="389">E3452+G3452+H3452</f>
        <v>15</v>
      </c>
      <c r="J3452" s="3">
        <f t="shared" ref="J3452:J3459" si="390"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 t="shared" ref="K3452:K3459" si="391">I3452-J3452</f>
        <v>0</v>
      </c>
      <c r="L3452" s="3" t="str">
        <f t="shared" si="388"/>
        <v>OPORTUNO</v>
      </c>
      <c r="M3452">
        <v>12</v>
      </c>
      <c r="N3452">
        <v>100</v>
      </c>
      <c r="O3452">
        <v>24.875621890547269</v>
      </c>
    </row>
    <row r="3453" spans="1:15" customFormat="1" hidden="1" x14ac:dyDescent="0.25">
      <c r="A3453" s="11">
        <v>46108</v>
      </c>
      <c r="B3453" t="s">
        <v>30</v>
      </c>
      <c r="C3453" t="s">
        <v>26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389"/>
        <v>21</v>
      </c>
      <c r="J3453" s="3">
        <f t="shared" si="390"/>
        <v>15</v>
      </c>
      <c r="K3453" s="3">
        <f t="shared" si="391"/>
        <v>6</v>
      </c>
      <c r="L3453" s="3" t="str">
        <f t="shared" si="388"/>
        <v>MUITO BOM</v>
      </c>
      <c r="M3453">
        <v>18</v>
      </c>
      <c r="N3453">
        <v>100</v>
      </c>
      <c r="O3453">
        <v>28.108108108108109</v>
      </c>
    </row>
    <row r="3454" spans="1:15" customFormat="1" hidden="1" x14ac:dyDescent="0.25">
      <c r="A3454" s="11">
        <v>46108</v>
      </c>
      <c r="B3454" t="s">
        <v>21</v>
      </c>
      <c r="C3454" t="s">
        <v>16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389"/>
        <v>6</v>
      </c>
      <c r="J3454" s="3">
        <f t="shared" si="390"/>
        <v>7</v>
      </c>
      <c r="K3454" s="3">
        <f t="shared" si="391"/>
        <v>-1</v>
      </c>
      <c r="L3454" s="3" t="str">
        <f t="shared" si="388"/>
        <v>ATENÇÃO</v>
      </c>
      <c r="M3454">
        <v>4</v>
      </c>
      <c r="N3454">
        <v>100</v>
      </c>
      <c r="O3454">
        <v>35</v>
      </c>
    </row>
    <row r="3455" spans="1:15" customFormat="1" hidden="1" x14ac:dyDescent="0.25">
      <c r="A3455" s="11">
        <v>46108</v>
      </c>
      <c r="B3455" t="s">
        <v>63</v>
      </c>
      <c r="C3455" t="s">
        <v>23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389"/>
        <v>21</v>
      </c>
      <c r="J3455" s="3">
        <f t="shared" si="390"/>
        <v>17</v>
      </c>
      <c r="K3455" s="3">
        <f t="shared" si="391"/>
        <v>4</v>
      </c>
      <c r="L3455" s="3" t="str">
        <f t="shared" si="388"/>
        <v>OPORTUNO</v>
      </c>
      <c r="M3455">
        <v>18</v>
      </c>
      <c r="N3455">
        <v>95.35</v>
      </c>
      <c r="O3455">
        <v>28.61538461538461</v>
      </c>
    </row>
    <row r="3456" spans="1:15" customFormat="1" hidden="1" x14ac:dyDescent="0.25">
      <c r="A3456" s="11">
        <v>46108</v>
      </c>
      <c r="B3456" t="s">
        <v>45</v>
      </c>
      <c r="C3456" t="s">
        <v>32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389"/>
        <v>31</v>
      </c>
      <c r="J3456" s="3">
        <f t="shared" si="390"/>
        <v>26</v>
      </c>
      <c r="K3456" s="3">
        <f t="shared" si="391"/>
        <v>5</v>
      </c>
      <c r="L3456" s="3" t="str">
        <f t="shared" si="388"/>
        <v>OPORTUNO</v>
      </c>
      <c r="M3456">
        <v>30</v>
      </c>
      <c r="N3456">
        <v>98.26</v>
      </c>
      <c r="O3456">
        <v>27.54491017964072</v>
      </c>
    </row>
    <row r="3457" spans="1:15" customFormat="1" hidden="1" x14ac:dyDescent="0.25">
      <c r="A3457" s="11">
        <v>46108</v>
      </c>
      <c r="B3457" t="s">
        <v>64</v>
      </c>
      <c r="C3457" t="s">
        <v>23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389"/>
        <v>17</v>
      </c>
      <c r="J3457" s="3">
        <f t="shared" si="390"/>
        <v>17</v>
      </c>
      <c r="K3457" s="3">
        <f t="shared" si="391"/>
        <v>0</v>
      </c>
      <c r="L3457" s="3" t="str">
        <f t="shared" si="388"/>
        <v>OPORTUNO</v>
      </c>
      <c r="M3457">
        <v>14</v>
      </c>
      <c r="N3457">
        <v>98.55</v>
      </c>
      <c r="O3457">
        <v>25.337837837837839</v>
      </c>
    </row>
    <row r="3458" spans="1:15" customFormat="1" hidden="1" x14ac:dyDescent="0.25">
      <c r="A3458" s="11">
        <v>46108</v>
      </c>
      <c r="B3458" t="s">
        <v>46</v>
      </c>
      <c r="C3458" t="s">
        <v>32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389"/>
        <v>30</v>
      </c>
      <c r="J3458" s="3">
        <f t="shared" si="390"/>
        <v>26</v>
      </c>
      <c r="K3458" s="3">
        <f t="shared" si="391"/>
        <v>4</v>
      </c>
      <c r="L3458" s="3" t="str">
        <f t="shared" si="388"/>
        <v>OPORTUNO</v>
      </c>
      <c r="M3458">
        <v>22</v>
      </c>
      <c r="N3458">
        <v>98.39</v>
      </c>
      <c r="O3458">
        <v>25.563909774436091</v>
      </c>
    </row>
    <row r="3459" spans="1:15" customFormat="1" hidden="1" x14ac:dyDescent="0.25">
      <c r="A3459" s="11">
        <v>46111</v>
      </c>
      <c r="B3459" t="s">
        <v>47</v>
      </c>
      <c r="C3459" t="s">
        <v>48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389"/>
        <v>25</v>
      </c>
      <c r="J3459" s="3">
        <f t="shared" si="390"/>
        <v>22</v>
      </c>
      <c r="K3459" s="3">
        <f t="shared" si="391"/>
        <v>3</v>
      </c>
      <c r="L3459" s="3" t="str">
        <f t="shared" si="388"/>
        <v>OPORTUNO</v>
      </c>
      <c r="M3459">
        <v>20</v>
      </c>
      <c r="N3459">
        <v>94.29</v>
      </c>
      <c r="O3459">
        <v>25.647668393782389</v>
      </c>
    </row>
    <row r="3460" spans="1:15" customFormat="1" hidden="1" x14ac:dyDescent="0.25">
      <c r="A3460" s="11">
        <v>46111</v>
      </c>
      <c r="B3460" t="s">
        <v>31</v>
      </c>
      <c r="C3460" t="s">
        <v>32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 t="shared" si="388"/>
        <v>OPORTUNO</v>
      </c>
      <c r="M3460">
        <v>25</v>
      </c>
      <c r="N3460">
        <v>98.26</v>
      </c>
      <c r="O3460">
        <v>26.666666666666671</v>
      </c>
    </row>
    <row r="3461" spans="1:15" customFormat="1" hidden="1" x14ac:dyDescent="0.25">
      <c r="A3461" s="11">
        <v>46111</v>
      </c>
      <c r="B3461" t="s">
        <v>59</v>
      </c>
      <c r="C3461" t="s">
        <v>23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ref="I3461:I3467" si="392">E3461+G3461+H3461</f>
        <v>18</v>
      </c>
      <c r="J3461" s="3">
        <f t="shared" ref="J3461:J3467" si="393"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18</v>
      </c>
      <c r="K3461" s="3">
        <f t="shared" ref="K3461:K3467" si="394">I3461-J3461</f>
        <v>0</v>
      </c>
      <c r="L3461" s="3" t="str">
        <f t="shared" si="388"/>
        <v>OPORTUNO</v>
      </c>
      <c r="M3461">
        <v>18</v>
      </c>
      <c r="N3461">
        <v>98.2</v>
      </c>
      <c r="O3461">
        <v>23.37962962962963</v>
      </c>
    </row>
    <row r="3462" spans="1:15" customFormat="1" hidden="1" x14ac:dyDescent="0.25">
      <c r="A3462" s="11">
        <v>46111</v>
      </c>
      <c r="B3462" t="s">
        <v>33</v>
      </c>
      <c r="C3462" t="s">
        <v>32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392"/>
        <v>35</v>
      </c>
      <c r="J3462" s="3">
        <f t="shared" si="393"/>
        <v>27</v>
      </c>
      <c r="K3462" s="3">
        <f t="shared" si="394"/>
        <v>8</v>
      </c>
      <c r="L3462" s="3" t="str">
        <f t="shared" si="388"/>
        <v>MUITO BOM</v>
      </c>
      <c r="M3462">
        <v>31</v>
      </c>
      <c r="N3462">
        <v>97.3</v>
      </c>
      <c r="O3462">
        <v>23.84769539078156</v>
      </c>
    </row>
    <row r="3463" spans="1:15" customFormat="1" hidden="1" x14ac:dyDescent="0.25">
      <c r="A3463" s="11">
        <v>46111</v>
      </c>
      <c r="B3463" t="s">
        <v>15</v>
      </c>
      <c r="C3463" t="s">
        <v>16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392"/>
        <v>15</v>
      </c>
      <c r="J3463" s="3">
        <f t="shared" si="393"/>
        <v>8</v>
      </c>
      <c r="K3463" s="3">
        <f t="shared" si="394"/>
        <v>7</v>
      </c>
      <c r="L3463" s="3" t="str">
        <f t="shared" si="388"/>
        <v>MUITO BOM</v>
      </c>
      <c r="M3463">
        <v>13</v>
      </c>
      <c r="N3463">
        <v>100</v>
      </c>
      <c r="O3463">
        <v>25.268817204301079</v>
      </c>
    </row>
    <row r="3464" spans="1:15" customFormat="1" hidden="1" x14ac:dyDescent="0.25">
      <c r="A3464" s="11">
        <v>46111</v>
      </c>
      <c r="B3464" t="s">
        <v>49</v>
      </c>
      <c r="C3464" t="s">
        <v>48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392"/>
        <v>33</v>
      </c>
      <c r="J3464" s="3">
        <f t="shared" si="393"/>
        <v>22</v>
      </c>
      <c r="K3464" s="3">
        <f t="shared" si="394"/>
        <v>11</v>
      </c>
      <c r="L3464" s="3" t="str">
        <f t="shared" si="388"/>
        <v>MUITO BOM</v>
      </c>
      <c r="M3464">
        <v>32</v>
      </c>
      <c r="N3464">
        <v>99.32</v>
      </c>
      <c r="O3464">
        <v>22.822822822822818</v>
      </c>
    </row>
    <row r="3465" spans="1:15" customFormat="1" hidden="1" x14ac:dyDescent="0.25">
      <c r="A3465" s="11">
        <v>46111</v>
      </c>
      <c r="B3465" t="s">
        <v>50</v>
      </c>
      <c r="C3465" t="s">
        <v>48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392"/>
        <v>24</v>
      </c>
      <c r="J3465" s="3">
        <f t="shared" si="393"/>
        <v>22</v>
      </c>
      <c r="K3465" s="3">
        <f t="shared" si="394"/>
        <v>2</v>
      </c>
      <c r="L3465" s="3" t="str">
        <f t="shared" si="388"/>
        <v>OPORTUNO</v>
      </c>
      <c r="M3465">
        <v>22</v>
      </c>
      <c r="N3465">
        <v>100</v>
      </c>
      <c r="O3465">
        <v>27.966101694915249</v>
      </c>
    </row>
    <row r="3466" spans="1:15" customFormat="1" hidden="1" x14ac:dyDescent="0.25">
      <c r="A3466" s="11">
        <v>46111</v>
      </c>
      <c r="B3466" t="s">
        <v>17</v>
      </c>
      <c r="C3466" t="s">
        <v>16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392"/>
        <v>2</v>
      </c>
      <c r="J3466" s="3">
        <f t="shared" si="393"/>
        <v>8</v>
      </c>
      <c r="K3466" s="3">
        <f t="shared" si="394"/>
        <v>-6</v>
      </c>
      <c r="L3466" s="3" t="str">
        <f t="shared" si="388"/>
        <v>CRÍTICO</v>
      </c>
      <c r="M3466">
        <v>2</v>
      </c>
      <c r="N3466">
        <v>100</v>
      </c>
      <c r="O3466">
        <v>30.434782608695659</v>
      </c>
    </row>
    <row r="3467" spans="1:15" customFormat="1" hidden="1" x14ac:dyDescent="0.25">
      <c r="A3467" s="11">
        <v>46111</v>
      </c>
      <c r="B3467" t="s">
        <v>60</v>
      </c>
      <c r="C3467" t="s">
        <v>23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392"/>
        <v>25</v>
      </c>
      <c r="J3467" s="3">
        <f t="shared" si="393"/>
        <v>18</v>
      </c>
      <c r="K3467" s="3">
        <f t="shared" si="394"/>
        <v>7</v>
      </c>
      <c r="L3467" s="3" t="str">
        <f t="shared" si="388"/>
        <v>MUITO BOM</v>
      </c>
      <c r="M3467">
        <v>21</v>
      </c>
      <c r="N3467">
        <v>96.51</v>
      </c>
      <c r="O3467">
        <v>22.802850356294542</v>
      </c>
    </row>
    <row r="3468" spans="1:15" customFormat="1" hidden="1" x14ac:dyDescent="0.25">
      <c r="A3468" s="11">
        <v>46111</v>
      </c>
      <c r="B3468" t="s">
        <v>34</v>
      </c>
      <c r="C3468" t="s">
        <v>32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388"/>
        <v>OPORTUNO</v>
      </c>
      <c r="M3468">
        <v>0</v>
      </c>
      <c r="N3468">
        <v>92.68</v>
      </c>
      <c r="O3468">
        <v>27.777777777777779</v>
      </c>
    </row>
    <row r="3469" spans="1:15" customFormat="1" hidden="1" x14ac:dyDescent="0.25">
      <c r="A3469" s="11">
        <v>46111</v>
      </c>
      <c r="B3469" t="s">
        <v>51</v>
      </c>
      <c r="C3469" t="s">
        <v>48</v>
      </c>
      <c r="D3469">
        <v>38</v>
      </c>
      <c r="E3469">
        <v>33</v>
      </c>
      <c r="F3469">
        <v>14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 t="shared" si="388"/>
        <v>OPORTUNO</v>
      </c>
      <c r="M3469">
        <v>27</v>
      </c>
      <c r="N3469">
        <v>99.03</v>
      </c>
      <c r="O3469">
        <v>23.991507430997881</v>
      </c>
    </row>
    <row r="3470" spans="1:15" customFormat="1" hidden="1" x14ac:dyDescent="0.25">
      <c r="A3470" s="11">
        <v>46111</v>
      </c>
      <c r="B3470" t="s">
        <v>61</v>
      </c>
      <c r="C3470" t="s">
        <v>23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18</v>
      </c>
      <c r="K3470" s="3">
        <f>I3470-J3470</f>
        <v>1</v>
      </c>
      <c r="L3470" s="3" t="str">
        <f t="shared" si="388"/>
        <v>OPORTUNO</v>
      </c>
      <c r="M3470">
        <v>10</v>
      </c>
      <c r="N3470">
        <v>98.41</v>
      </c>
      <c r="O3470">
        <v>28.138528138528141</v>
      </c>
    </row>
    <row r="3471" spans="1:15" customFormat="1" hidden="1" x14ac:dyDescent="0.25">
      <c r="A3471" s="11">
        <v>46111</v>
      </c>
      <c r="B3471" t="s">
        <v>35</v>
      </c>
      <c r="C3471" t="s">
        <v>32</v>
      </c>
      <c r="D3471">
        <v>30</v>
      </c>
      <c r="E3471">
        <v>30</v>
      </c>
      <c r="F3471">
        <v>20.23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 t="shared" si="388"/>
        <v>OPORTUNO</v>
      </c>
      <c r="M3471">
        <v>31</v>
      </c>
      <c r="N3471">
        <v>98.73</v>
      </c>
      <c r="O3471">
        <v>29.142857142857139</v>
      </c>
    </row>
    <row r="3472" spans="1:15" customFormat="1" hidden="1" x14ac:dyDescent="0.25">
      <c r="A3472" s="11">
        <v>46111</v>
      </c>
      <c r="B3472" t="s">
        <v>18</v>
      </c>
      <c r="C3472" t="s">
        <v>16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8</v>
      </c>
      <c r="K3472" s="3">
        <f>I3472-J3472</f>
        <v>2</v>
      </c>
      <c r="L3472" s="3" t="str">
        <f t="shared" si="388"/>
        <v>OPORTUNO</v>
      </c>
      <c r="M3472">
        <v>7</v>
      </c>
      <c r="N3472">
        <v>90.48</v>
      </c>
      <c r="O3472">
        <v>20.68965517241379</v>
      </c>
    </row>
    <row r="3473" spans="1:16" hidden="1" x14ac:dyDescent="0.25">
      <c r="A3473" s="11">
        <v>46111</v>
      </c>
      <c r="B3473" t="s">
        <v>52</v>
      </c>
      <c r="C3473" t="s">
        <v>48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22</v>
      </c>
      <c r="K3473" s="3">
        <f>I3473-J3473</f>
        <v>9</v>
      </c>
      <c r="L3473" s="3" t="str">
        <f t="shared" si="388"/>
        <v>MUITO BOM</v>
      </c>
      <c r="M3473">
        <v>27</v>
      </c>
      <c r="N3473">
        <v>98.06</v>
      </c>
      <c r="O3473">
        <v>24.789915966386559</v>
      </c>
      <c r="P3473"/>
    </row>
    <row r="3474" spans="1:16" hidden="1" x14ac:dyDescent="0.25">
      <c r="A3474" s="11">
        <v>46111</v>
      </c>
      <c r="B3474" t="s">
        <v>36</v>
      </c>
      <c r="C3474" t="s">
        <v>32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388"/>
        <v>OPORTUNO</v>
      </c>
      <c r="M3474">
        <v>0</v>
      </c>
      <c r="N3474">
        <v>97.78</v>
      </c>
      <c r="O3474">
        <v>25.494071146245059</v>
      </c>
      <c r="P3474"/>
    </row>
    <row r="3475" spans="1:16" hidden="1" x14ac:dyDescent="0.25">
      <c r="A3475" s="11">
        <v>46111</v>
      </c>
      <c r="B3475" t="s">
        <v>53</v>
      </c>
      <c r="C3475" t="s">
        <v>48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 t="shared" si="388"/>
        <v>OPORTUNO</v>
      </c>
      <c r="M3475">
        <v>0</v>
      </c>
      <c r="N3475">
        <v>98.02</v>
      </c>
      <c r="O3475">
        <v>23.484848484848481</v>
      </c>
      <c r="P3475"/>
    </row>
    <row r="3476" spans="1:16" hidden="1" x14ac:dyDescent="0.25">
      <c r="A3476" s="10">
        <v>46164</v>
      </c>
      <c r="B3476" s="6" t="s">
        <v>57</v>
      </c>
      <c r="C3476" s="3" t="s">
        <v>48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 t="shared" si="388"/>
        <v>OPORTUNO</v>
      </c>
      <c r="M3476" s="3">
        <v>0</v>
      </c>
      <c r="N3476" s="3">
        <v>100</v>
      </c>
      <c r="O3476" s="3">
        <v>25</v>
      </c>
    </row>
    <row r="3477" spans="1:16" hidden="1" x14ac:dyDescent="0.25">
      <c r="A3477" s="11">
        <v>46111</v>
      </c>
      <c r="B3477" t="s">
        <v>54</v>
      </c>
      <c r="C3477" t="s">
        <v>48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22</v>
      </c>
      <c r="K3477" s="3">
        <f>I3477-J3477</f>
        <v>6</v>
      </c>
      <c r="L3477" s="3" t="str">
        <f t="shared" si="388"/>
        <v>MUITO BOM</v>
      </c>
      <c r="M3477">
        <v>26</v>
      </c>
      <c r="N3477">
        <v>100</v>
      </c>
      <c r="O3477">
        <v>27.04918032786885</v>
      </c>
      <c r="P3477"/>
    </row>
    <row r="3478" spans="1:16" hidden="1" x14ac:dyDescent="0.25">
      <c r="A3478" s="11">
        <v>46111</v>
      </c>
      <c r="B3478" t="s">
        <v>37</v>
      </c>
      <c r="C3478" t="s">
        <v>32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13</v>
      </c>
      <c r="L3478" s="3" t="str">
        <f t="shared" si="388"/>
        <v>MUITO BOM</v>
      </c>
      <c r="M3478">
        <v>37</v>
      </c>
      <c r="N3478">
        <v>97.83</v>
      </c>
      <c r="O3478">
        <v>26.315789473684209</v>
      </c>
      <c r="P3478"/>
    </row>
    <row r="3479" spans="1:16" hidden="1" x14ac:dyDescent="0.25">
      <c r="A3479" s="11">
        <v>46111</v>
      </c>
      <c r="B3479" t="s">
        <v>38</v>
      </c>
      <c r="C3479" t="s">
        <v>32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27</v>
      </c>
      <c r="K3479" s="3">
        <f>I3479-J3479</f>
        <v>-19</v>
      </c>
      <c r="L3479" s="3" t="str">
        <f t="shared" si="388"/>
        <v>CRÍTICO</v>
      </c>
      <c r="M3479">
        <v>8</v>
      </c>
      <c r="N3479">
        <v>100</v>
      </c>
      <c r="O3479">
        <v>26.701570680628269</v>
      </c>
      <c r="P3479"/>
    </row>
    <row r="3480" spans="1:16" hidden="1" x14ac:dyDescent="0.25">
      <c r="A3480" s="11">
        <v>46111</v>
      </c>
      <c r="B3480" t="s">
        <v>55</v>
      </c>
      <c r="C3480" t="s">
        <v>48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388"/>
        <v>OPORTUNO</v>
      </c>
      <c r="M3480">
        <v>0</v>
      </c>
      <c r="N3480">
        <v>97.47</v>
      </c>
      <c r="O3480">
        <v>22.887323943661968</v>
      </c>
      <c r="P3480"/>
    </row>
    <row r="3481" spans="1:16" hidden="1" x14ac:dyDescent="0.25">
      <c r="A3481" s="11">
        <v>46111</v>
      </c>
      <c r="B3481" t="s">
        <v>39</v>
      </c>
      <c r="C3481" t="s">
        <v>32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 t="shared" si="388"/>
        <v>OPORTUNO</v>
      </c>
      <c r="M3481">
        <v>0</v>
      </c>
      <c r="N3481">
        <v>0</v>
      </c>
      <c r="O3481">
        <v>0</v>
      </c>
      <c r="P3481"/>
    </row>
    <row r="3482" spans="1:16" hidden="1" x14ac:dyDescent="0.25">
      <c r="A3482" s="11">
        <v>46111</v>
      </c>
      <c r="B3482" t="s">
        <v>25</v>
      </c>
      <c r="C3482" t="s">
        <v>26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15</v>
      </c>
      <c r="K3482" s="3">
        <f>I3482-J3482</f>
        <v>4</v>
      </c>
      <c r="L3482" s="3" t="str">
        <f t="shared" si="388"/>
        <v>OPORTUNO</v>
      </c>
      <c r="M3482">
        <v>17</v>
      </c>
      <c r="N3482">
        <v>98.31</v>
      </c>
      <c r="O3482">
        <v>24.920127795527151</v>
      </c>
      <c r="P3482"/>
    </row>
    <row r="3483" spans="1:16" hidden="1" x14ac:dyDescent="0.25">
      <c r="A3483" s="11">
        <v>46111</v>
      </c>
      <c r="B3483" t="s">
        <v>40</v>
      </c>
      <c r="C3483" t="s">
        <v>32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27</v>
      </c>
      <c r="K3483" s="3">
        <f>I3483-J3483</f>
        <v>-23</v>
      </c>
      <c r="L3483" s="3" t="str">
        <f t="shared" si="388"/>
        <v>CRÍTICO</v>
      </c>
      <c r="M3483">
        <v>17</v>
      </c>
      <c r="N3483">
        <v>96.81</v>
      </c>
      <c r="O3483">
        <v>32.365145228215773</v>
      </c>
      <c r="P3483"/>
    </row>
    <row r="3484" spans="1:16" hidden="1" x14ac:dyDescent="0.25">
      <c r="A3484" s="11">
        <v>46111</v>
      </c>
      <c r="B3484" t="s">
        <v>27</v>
      </c>
      <c r="C3484" t="s">
        <v>26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15</v>
      </c>
      <c r="K3484" s="3">
        <f>I3484-J3484</f>
        <v>-1</v>
      </c>
      <c r="L3484" s="3" t="str">
        <f t="shared" si="388"/>
        <v>ATENÇÃO</v>
      </c>
      <c r="M3484">
        <v>14</v>
      </c>
      <c r="N3484">
        <v>100</v>
      </c>
      <c r="O3484">
        <v>26.47058823529412</v>
      </c>
      <c r="P3484"/>
    </row>
    <row r="3485" spans="1:16" hidden="1" x14ac:dyDescent="0.25">
      <c r="A3485" s="11">
        <v>46111</v>
      </c>
      <c r="B3485" t="s">
        <v>41</v>
      </c>
      <c r="C3485" t="s">
        <v>32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27</v>
      </c>
      <c r="K3485" s="3">
        <f>I3485-J3485</f>
        <v>1</v>
      </c>
      <c r="L3485" s="3" t="str">
        <f t="shared" si="388"/>
        <v>OPORTUNO</v>
      </c>
      <c r="M3485">
        <v>26</v>
      </c>
      <c r="N3485">
        <v>100</v>
      </c>
      <c r="O3485">
        <v>28.490028490028489</v>
      </c>
      <c r="P3485"/>
    </row>
    <row r="3486" spans="1:16" hidden="1" x14ac:dyDescent="0.25">
      <c r="A3486" s="11">
        <v>46111</v>
      </c>
      <c r="B3486" t="s">
        <v>56</v>
      </c>
      <c r="C3486" t="s">
        <v>48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22</v>
      </c>
      <c r="K3486" s="3">
        <f>I3486-J3486</f>
        <v>-2</v>
      </c>
      <c r="L3486" s="3" t="str">
        <f t="shared" si="388"/>
        <v>ATENÇÃO</v>
      </c>
      <c r="M3486">
        <v>25</v>
      </c>
      <c r="N3486">
        <v>99.14</v>
      </c>
      <c r="O3486">
        <v>27.2289156626506</v>
      </c>
      <c r="P3486"/>
    </row>
    <row r="3487" spans="1:16" hidden="1" x14ac:dyDescent="0.25">
      <c r="A3487" s="11">
        <v>46111</v>
      </c>
      <c r="B3487" t="s">
        <v>57</v>
      </c>
      <c r="C3487" t="s">
        <v>48</v>
      </c>
      <c r="D3487">
        <v>2</v>
      </c>
      <c r="E3487">
        <v>2</v>
      </c>
      <c r="F3487">
        <v>27.03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388"/>
        <v>OPORTUNO</v>
      </c>
      <c r="M3487">
        <v>1</v>
      </c>
      <c r="N3487">
        <v>97.52</v>
      </c>
      <c r="O3487">
        <v>28.205128205128201</v>
      </c>
      <c r="P3487"/>
    </row>
    <row r="3488" spans="1:16" hidden="1" x14ac:dyDescent="0.25">
      <c r="A3488" s="11">
        <v>46111</v>
      </c>
      <c r="B3488" t="s">
        <v>42</v>
      </c>
      <c r="C3488" t="s">
        <v>32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 t="shared" si="388"/>
        <v>OPORTUNO</v>
      </c>
      <c r="M3488">
        <v>0</v>
      </c>
      <c r="N3488">
        <v>90</v>
      </c>
      <c r="O3488">
        <v>24.186046511627911</v>
      </c>
      <c r="P3488"/>
    </row>
    <row r="3489" spans="1:15" customFormat="1" hidden="1" x14ac:dyDescent="0.25">
      <c r="A3489" s="11">
        <v>46111</v>
      </c>
      <c r="B3489" t="s">
        <v>62</v>
      </c>
      <c r="C3489" t="s">
        <v>23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ref="I3489:I3503" si="395">E3489+G3489+H3489</f>
        <v>27</v>
      </c>
      <c r="J3489" s="3">
        <f t="shared" ref="J3489:J3503" si="396"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18</v>
      </c>
      <c r="K3489" s="3">
        <f t="shared" ref="K3489:K3503" si="397">I3489-J3489</f>
        <v>9</v>
      </c>
      <c r="L3489" s="3" t="str">
        <f t="shared" si="388"/>
        <v>MUITO BOM</v>
      </c>
      <c r="M3489">
        <v>23</v>
      </c>
      <c r="N3489">
        <v>98.9</v>
      </c>
      <c r="O3489">
        <v>26.763990267639901</v>
      </c>
    </row>
    <row r="3490" spans="1:15" customFormat="1" hidden="1" x14ac:dyDescent="0.25">
      <c r="A3490" s="11">
        <v>46111</v>
      </c>
      <c r="B3490" t="s">
        <v>19</v>
      </c>
      <c r="C3490" t="s">
        <v>16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395"/>
        <v>10</v>
      </c>
      <c r="J3490" s="3">
        <f t="shared" si="396"/>
        <v>8</v>
      </c>
      <c r="K3490" s="3">
        <f t="shared" si="397"/>
        <v>2</v>
      </c>
      <c r="L3490" s="3" t="str">
        <f t="shared" si="388"/>
        <v>OPORTUNO</v>
      </c>
      <c r="M3490">
        <v>8</v>
      </c>
      <c r="N3490">
        <v>88.89</v>
      </c>
      <c r="O3490">
        <v>25.263157894736839</v>
      </c>
    </row>
    <row r="3491" spans="1:15" customFormat="1" hidden="1" x14ac:dyDescent="0.25">
      <c r="A3491" s="11">
        <v>46111</v>
      </c>
      <c r="B3491" t="s">
        <v>43</v>
      </c>
      <c r="C3491" t="s">
        <v>32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395"/>
        <v>31</v>
      </c>
      <c r="J3491" s="3">
        <f t="shared" si="396"/>
        <v>27</v>
      </c>
      <c r="K3491" s="3">
        <f t="shared" si="397"/>
        <v>4</v>
      </c>
      <c r="L3491" s="3" t="str">
        <f t="shared" si="388"/>
        <v>OPORTUNO</v>
      </c>
      <c r="M3491">
        <v>33</v>
      </c>
      <c r="N3491">
        <v>98.86</v>
      </c>
      <c r="O3491">
        <v>28.959276018099551</v>
      </c>
    </row>
    <row r="3492" spans="1:15" customFormat="1" hidden="1" x14ac:dyDescent="0.25">
      <c r="A3492" s="11">
        <v>46111</v>
      </c>
      <c r="B3492" t="s">
        <v>44</v>
      </c>
      <c r="C3492" t="s">
        <v>32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395"/>
        <v>29</v>
      </c>
      <c r="J3492" s="3">
        <f t="shared" si="396"/>
        <v>27</v>
      </c>
      <c r="K3492" s="3">
        <f t="shared" si="397"/>
        <v>2</v>
      </c>
      <c r="L3492" s="3" t="str">
        <f t="shared" si="388"/>
        <v>OPORTUNO</v>
      </c>
      <c r="M3492">
        <v>23</v>
      </c>
      <c r="N3492">
        <v>98.06</v>
      </c>
      <c r="O3492">
        <v>22.40566037735849</v>
      </c>
    </row>
    <row r="3493" spans="1:15" customFormat="1" hidden="1" x14ac:dyDescent="0.25">
      <c r="A3493" s="11">
        <v>46111</v>
      </c>
      <c r="B3493" t="s">
        <v>20</v>
      </c>
      <c r="C3493" t="s">
        <v>16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395"/>
        <v>17</v>
      </c>
      <c r="J3493" s="3">
        <f t="shared" si="396"/>
        <v>8</v>
      </c>
      <c r="K3493" s="3">
        <f t="shared" si="397"/>
        <v>9</v>
      </c>
      <c r="L3493" s="3" t="str">
        <f t="shared" si="388"/>
        <v>MUITO BOM</v>
      </c>
      <c r="M3493">
        <v>8</v>
      </c>
      <c r="N3493">
        <v>95.83</v>
      </c>
      <c r="O3493">
        <v>25.773195876288661</v>
      </c>
    </row>
    <row r="3494" spans="1:15" customFormat="1" hidden="1" x14ac:dyDescent="0.25">
      <c r="A3494" s="11">
        <v>46111</v>
      </c>
      <c r="B3494" t="s">
        <v>28</v>
      </c>
      <c r="C3494" t="s">
        <v>26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395"/>
        <v>23</v>
      </c>
      <c r="J3494" s="3">
        <f t="shared" si="396"/>
        <v>15</v>
      </c>
      <c r="K3494" s="3">
        <f t="shared" si="397"/>
        <v>8</v>
      </c>
      <c r="L3494" s="3" t="str">
        <f t="shared" si="388"/>
        <v>MUITO BOM</v>
      </c>
      <c r="M3494">
        <v>11</v>
      </c>
      <c r="N3494">
        <v>100</v>
      </c>
      <c r="O3494">
        <v>15.38461538461539</v>
      </c>
    </row>
    <row r="3495" spans="1:15" customFormat="1" hidden="1" x14ac:dyDescent="0.25">
      <c r="A3495" s="11">
        <v>46111</v>
      </c>
      <c r="B3495" t="s">
        <v>58</v>
      </c>
      <c r="C3495" t="s">
        <v>48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395"/>
        <v>33</v>
      </c>
      <c r="J3495" s="3">
        <f t="shared" si="396"/>
        <v>22</v>
      </c>
      <c r="K3495" s="3">
        <f t="shared" si="397"/>
        <v>11</v>
      </c>
      <c r="L3495" s="3" t="str">
        <f t="shared" si="388"/>
        <v>MUITO BOM</v>
      </c>
      <c r="M3495">
        <v>32</v>
      </c>
      <c r="N3495">
        <v>100</v>
      </c>
      <c r="O3495">
        <v>27.514792899408281</v>
      </c>
    </row>
    <row r="3496" spans="1:15" customFormat="1" hidden="1" x14ac:dyDescent="0.25">
      <c r="A3496" s="11">
        <v>46111</v>
      </c>
      <c r="B3496" t="s">
        <v>29</v>
      </c>
      <c r="C3496" t="s">
        <v>26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395"/>
        <v>14</v>
      </c>
      <c r="J3496" s="3">
        <f t="shared" si="396"/>
        <v>15</v>
      </c>
      <c r="K3496" s="3">
        <f t="shared" si="397"/>
        <v>-1</v>
      </c>
      <c r="L3496" s="3" t="str">
        <f t="shared" si="388"/>
        <v>ATENÇÃO</v>
      </c>
      <c r="M3496">
        <v>12</v>
      </c>
      <c r="N3496">
        <v>100</v>
      </c>
      <c r="O3496">
        <v>24.875621890547269</v>
      </c>
    </row>
    <row r="3497" spans="1:15" customFormat="1" hidden="1" x14ac:dyDescent="0.25">
      <c r="A3497" s="11">
        <v>46111</v>
      </c>
      <c r="B3497" t="s">
        <v>30</v>
      </c>
      <c r="C3497" t="s">
        <v>26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395"/>
        <v>22</v>
      </c>
      <c r="J3497" s="3">
        <f t="shared" si="396"/>
        <v>15</v>
      </c>
      <c r="K3497" s="3">
        <f t="shared" si="397"/>
        <v>7</v>
      </c>
      <c r="L3497" s="3" t="str">
        <f t="shared" si="388"/>
        <v>MUITO BOM</v>
      </c>
      <c r="M3497">
        <v>17</v>
      </c>
      <c r="N3497">
        <v>100</v>
      </c>
      <c r="O3497">
        <v>28.108108108108109</v>
      </c>
    </row>
    <row r="3498" spans="1:15" customFormat="1" hidden="1" x14ac:dyDescent="0.25">
      <c r="A3498" s="11">
        <v>46111</v>
      </c>
      <c r="B3498" t="s">
        <v>21</v>
      </c>
      <c r="C3498" t="s">
        <v>16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395"/>
        <v>4</v>
      </c>
      <c r="J3498" s="3">
        <f t="shared" si="396"/>
        <v>8</v>
      </c>
      <c r="K3498" s="3">
        <f t="shared" si="397"/>
        <v>-4</v>
      </c>
      <c r="L3498" s="3" t="str">
        <f t="shared" si="388"/>
        <v>ATENÇÃO</v>
      </c>
      <c r="M3498">
        <v>4</v>
      </c>
      <c r="N3498">
        <v>100</v>
      </c>
      <c r="O3498">
        <v>35</v>
      </c>
    </row>
    <row r="3499" spans="1:15" customFormat="1" hidden="1" x14ac:dyDescent="0.25">
      <c r="A3499" s="11">
        <v>46111</v>
      </c>
      <c r="B3499" t="s">
        <v>63</v>
      </c>
      <c r="C3499" t="s">
        <v>23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395"/>
        <v>23</v>
      </c>
      <c r="J3499" s="3">
        <f t="shared" si="396"/>
        <v>18</v>
      </c>
      <c r="K3499" s="3">
        <f t="shared" si="397"/>
        <v>5</v>
      </c>
      <c r="L3499" s="3" t="str">
        <f t="shared" si="388"/>
        <v>OPORTUNO</v>
      </c>
      <c r="M3499">
        <v>14</v>
      </c>
      <c r="N3499">
        <v>95.35</v>
      </c>
      <c r="O3499">
        <v>28.61538461538461</v>
      </c>
    </row>
    <row r="3500" spans="1:15" customFormat="1" hidden="1" x14ac:dyDescent="0.25">
      <c r="A3500" s="11">
        <v>46111</v>
      </c>
      <c r="B3500" t="s">
        <v>45</v>
      </c>
      <c r="C3500" t="s">
        <v>32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395"/>
        <v>38</v>
      </c>
      <c r="J3500" s="3">
        <f t="shared" si="396"/>
        <v>27</v>
      </c>
      <c r="K3500" s="3">
        <f t="shared" si="397"/>
        <v>11</v>
      </c>
      <c r="L3500" s="3" t="str">
        <f t="shared" si="388"/>
        <v>MUITO BOM</v>
      </c>
      <c r="M3500">
        <v>32</v>
      </c>
      <c r="N3500">
        <v>98.26</v>
      </c>
      <c r="O3500">
        <v>27.54491017964072</v>
      </c>
    </row>
    <row r="3501" spans="1:15" customFormat="1" hidden="1" x14ac:dyDescent="0.25">
      <c r="A3501" s="11">
        <v>46111</v>
      </c>
      <c r="B3501" t="s">
        <v>64</v>
      </c>
      <c r="C3501" t="s">
        <v>23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395"/>
        <v>21</v>
      </c>
      <c r="J3501" s="3">
        <f t="shared" si="396"/>
        <v>18</v>
      </c>
      <c r="K3501" s="3">
        <f t="shared" si="397"/>
        <v>3</v>
      </c>
      <c r="L3501" s="3" t="str">
        <f t="shared" si="388"/>
        <v>OPORTUNO</v>
      </c>
      <c r="M3501">
        <v>19</v>
      </c>
      <c r="N3501">
        <v>98.55</v>
      </c>
      <c r="O3501">
        <v>25.337837837837839</v>
      </c>
    </row>
    <row r="3502" spans="1:15" customFormat="1" hidden="1" x14ac:dyDescent="0.25">
      <c r="A3502" s="11">
        <v>46111</v>
      </c>
      <c r="B3502" t="s">
        <v>46</v>
      </c>
      <c r="C3502" t="s">
        <v>32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395"/>
        <v>36</v>
      </c>
      <c r="J3502" s="3">
        <f t="shared" si="396"/>
        <v>27</v>
      </c>
      <c r="K3502" s="3">
        <f t="shared" si="397"/>
        <v>9</v>
      </c>
      <c r="L3502" s="3" t="str">
        <f t="shared" si="388"/>
        <v>MUITO BOM</v>
      </c>
      <c r="M3502">
        <v>30</v>
      </c>
      <c r="N3502">
        <v>98.39</v>
      </c>
      <c r="O3502">
        <v>25.563909774436091</v>
      </c>
    </row>
    <row r="3503" spans="1:15" customFormat="1" hidden="1" x14ac:dyDescent="0.25">
      <c r="A3503" s="11">
        <v>46112</v>
      </c>
      <c r="B3503" t="s">
        <v>47</v>
      </c>
      <c r="C3503" t="s">
        <v>48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395"/>
        <v>20</v>
      </c>
      <c r="J3503" s="3">
        <f t="shared" si="396"/>
        <v>24</v>
      </c>
      <c r="K3503" s="3">
        <f t="shared" si="397"/>
        <v>-4</v>
      </c>
      <c r="L3503" s="3" t="str">
        <f t="shared" si="388"/>
        <v>ATENÇÃO</v>
      </c>
      <c r="M3503">
        <v>10</v>
      </c>
      <c r="N3503">
        <v>94.29</v>
      </c>
      <c r="O3503">
        <v>25.647668393782389</v>
      </c>
    </row>
    <row r="3504" spans="1:15" customFormat="1" hidden="1" x14ac:dyDescent="0.25">
      <c r="A3504" s="11">
        <v>46112</v>
      </c>
      <c r="B3504" t="s">
        <v>31</v>
      </c>
      <c r="C3504" t="s">
        <v>32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 t="shared" si="388"/>
        <v>OPORTUNO</v>
      </c>
      <c r="M3504">
        <v>23</v>
      </c>
      <c r="N3504">
        <v>98.26</v>
      </c>
      <c r="O3504">
        <v>26.666666666666671</v>
      </c>
    </row>
    <row r="3505" spans="1:16" hidden="1" x14ac:dyDescent="0.25">
      <c r="A3505" s="11">
        <v>46112</v>
      </c>
      <c r="B3505" t="s">
        <v>59</v>
      </c>
      <c r="C3505" t="s">
        <v>23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ref="I3505:I3512" si="398">E3505+G3505+H3505</f>
        <v>22</v>
      </c>
      <c r="J3505" s="3">
        <f t="shared" ref="J3505:J3512" si="399"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20</v>
      </c>
      <c r="K3505" s="3">
        <f t="shared" ref="K3505:K3512" si="400">I3505-J3505</f>
        <v>2</v>
      </c>
      <c r="L3505" s="3" t="str">
        <f t="shared" si="388"/>
        <v>OPORTUNO</v>
      </c>
      <c r="M3505">
        <v>20</v>
      </c>
      <c r="N3505">
        <v>98.2</v>
      </c>
      <c r="O3505">
        <v>23.37962962962963</v>
      </c>
      <c r="P3505"/>
    </row>
    <row r="3506" spans="1:16" hidden="1" x14ac:dyDescent="0.25">
      <c r="A3506" s="11">
        <v>46112</v>
      </c>
      <c r="B3506" t="s">
        <v>33</v>
      </c>
      <c r="C3506" t="s">
        <v>32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398"/>
        <v>27</v>
      </c>
      <c r="J3506" s="3">
        <f t="shared" si="399"/>
        <v>30</v>
      </c>
      <c r="K3506" s="3">
        <f t="shared" si="400"/>
        <v>-3</v>
      </c>
      <c r="L3506" s="3" t="str">
        <f t="shared" si="388"/>
        <v>ATENÇÃO</v>
      </c>
      <c r="M3506">
        <v>23</v>
      </c>
      <c r="N3506">
        <v>97.3</v>
      </c>
      <c r="O3506">
        <v>23.84769539078156</v>
      </c>
      <c r="P3506"/>
    </row>
    <row r="3507" spans="1:16" hidden="1" x14ac:dyDescent="0.25">
      <c r="A3507" s="11">
        <v>46112</v>
      </c>
      <c r="B3507" t="s">
        <v>15</v>
      </c>
      <c r="C3507" t="s">
        <v>16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398"/>
        <v>21</v>
      </c>
      <c r="J3507" s="3">
        <f t="shared" si="399"/>
        <v>8</v>
      </c>
      <c r="K3507" s="3">
        <f t="shared" si="400"/>
        <v>13</v>
      </c>
      <c r="L3507" s="3" t="str">
        <f t="shared" si="388"/>
        <v>MUITO BOM</v>
      </c>
      <c r="M3507">
        <v>16</v>
      </c>
      <c r="N3507">
        <v>100</v>
      </c>
      <c r="O3507">
        <v>25.268817204301079</v>
      </c>
      <c r="P3507"/>
    </row>
    <row r="3508" spans="1:16" hidden="1" x14ac:dyDescent="0.25">
      <c r="A3508" s="11">
        <v>46112</v>
      </c>
      <c r="B3508" t="s">
        <v>49</v>
      </c>
      <c r="C3508" t="s">
        <v>48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398"/>
        <v>27</v>
      </c>
      <c r="J3508" s="3">
        <f t="shared" si="399"/>
        <v>24</v>
      </c>
      <c r="K3508" s="3">
        <f t="shared" si="400"/>
        <v>3</v>
      </c>
      <c r="L3508" s="3" t="str">
        <f t="shared" si="388"/>
        <v>OPORTUNO</v>
      </c>
      <c r="M3508">
        <v>30</v>
      </c>
      <c r="N3508">
        <v>99.32</v>
      </c>
      <c r="O3508">
        <v>22.822822822822818</v>
      </c>
      <c r="P3508"/>
    </row>
    <row r="3509" spans="1:16" hidden="1" x14ac:dyDescent="0.25">
      <c r="A3509" s="11">
        <v>46112</v>
      </c>
      <c r="B3509" t="s">
        <v>50</v>
      </c>
      <c r="C3509" t="s">
        <v>48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398"/>
        <v>27</v>
      </c>
      <c r="J3509" s="3">
        <f t="shared" si="399"/>
        <v>24</v>
      </c>
      <c r="K3509" s="3">
        <f t="shared" si="400"/>
        <v>3</v>
      </c>
      <c r="L3509" s="3" t="str">
        <f t="shared" si="388"/>
        <v>OPORTUNO</v>
      </c>
      <c r="M3509">
        <v>26</v>
      </c>
      <c r="N3509">
        <v>100</v>
      </c>
      <c r="O3509">
        <v>27.966101694915249</v>
      </c>
      <c r="P3509"/>
    </row>
    <row r="3510" spans="1:16" hidden="1" x14ac:dyDescent="0.25">
      <c r="A3510" s="11">
        <v>46112</v>
      </c>
      <c r="B3510" t="s">
        <v>17</v>
      </c>
      <c r="C3510" t="s">
        <v>16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398"/>
        <v>10</v>
      </c>
      <c r="J3510" s="3">
        <f t="shared" si="399"/>
        <v>8</v>
      </c>
      <c r="K3510" s="3">
        <f t="shared" si="400"/>
        <v>2</v>
      </c>
      <c r="L3510" s="3" t="str">
        <f t="shared" si="388"/>
        <v>OPORTUNO</v>
      </c>
      <c r="M3510">
        <v>6</v>
      </c>
      <c r="N3510">
        <v>100</v>
      </c>
      <c r="O3510">
        <v>30.434782608695659</v>
      </c>
      <c r="P3510"/>
    </row>
    <row r="3511" spans="1:16" hidden="1" x14ac:dyDescent="0.25">
      <c r="A3511" s="11">
        <v>46112</v>
      </c>
      <c r="B3511" t="s">
        <v>60</v>
      </c>
      <c r="C3511" t="s">
        <v>23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398"/>
        <v>12</v>
      </c>
      <c r="J3511" s="3">
        <f t="shared" si="399"/>
        <v>20</v>
      </c>
      <c r="K3511" s="3">
        <f t="shared" si="400"/>
        <v>-8</v>
      </c>
      <c r="L3511" s="3" t="str">
        <f t="shared" si="388"/>
        <v>CRÍTICO</v>
      </c>
      <c r="M3511">
        <v>10</v>
      </c>
      <c r="N3511">
        <v>96.51</v>
      </c>
      <c r="O3511">
        <v>22.802850356294542</v>
      </c>
      <c r="P3511"/>
    </row>
    <row r="3512" spans="1:16" hidden="1" x14ac:dyDescent="0.25">
      <c r="A3512" s="11">
        <v>46112</v>
      </c>
      <c r="B3512" t="s">
        <v>34</v>
      </c>
      <c r="C3512" t="s">
        <v>32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398"/>
        <v>30</v>
      </c>
      <c r="J3512" s="3">
        <f t="shared" si="399"/>
        <v>30</v>
      </c>
      <c r="K3512" s="3">
        <f t="shared" si="400"/>
        <v>0</v>
      </c>
      <c r="L3512" s="3" t="str">
        <f t="shared" si="388"/>
        <v>OPORTUNO</v>
      </c>
      <c r="M3512">
        <v>26</v>
      </c>
      <c r="N3512">
        <v>92.68</v>
      </c>
      <c r="O3512">
        <v>27.777777777777779</v>
      </c>
      <c r="P3512"/>
    </row>
    <row r="3513" spans="1:16" hidden="1" x14ac:dyDescent="0.25">
      <c r="A3513" s="11">
        <v>46112</v>
      </c>
      <c r="B3513" t="s">
        <v>51</v>
      </c>
      <c r="C3513" t="s">
        <v>48</v>
      </c>
      <c r="D3513">
        <v>14</v>
      </c>
      <c r="E3513">
        <v>12</v>
      </c>
      <c r="F3513">
        <v>16.420000000000002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 t="shared" si="388"/>
        <v>OPORTUNO</v>
      </c>
      <c r="M3513">
        <v>11</v>
      </c>
      <c r="N3513">
        <v>99.03</v>
      </c>
      <c r="O3513">
        <v>23.991507430997881</v>
      </c>
      <c r="P3513"/>
    </row>
    <row r="3514" spans="1:16" hidden="1" x14ac:dyDescent="0.25">
      <c r="A3514" s="11">
        <v>46112</v>
      </c>
      <c r="B3514" t="s">
        <v>61</v>
      </c>
      <c r="C3514" t="s">
        <v>23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20</v>
      </c>
      <c r="K3514" s="3">
        <f>I3514-J3514</f>
        <v>-2</v>
      </c>
      <c r="L3514" s="3" t="str">
        <f t="shared" si="388"/>
        <v>ATENÇÃO</v>
      </c>
      <c r="M3514">
        <v>8</v>
      </c>
      <c r="N3514">
        <v>98.41</v>
      </c>
      <c r="O3514">
        <v>28.138528138528141</v>
      </c>
      <c r="P3514"/>
    </row>
    <row r="3515" spans="1:16" hidden="1" x14ac:dyDescent="0.25">
      <c r="A3515" s="11">
        <v>46112</v>
      </c>
      <c r="B3515" t="s">
        <v>35</v>
      </c>
      <c r="C3515" t="s">
        <v>32</v>
      </c>
      <c r="D3515">
        <v>37</v>
      </c>
      <c r="E3515">
        <v>35</v>
      </c>
      <c r="F3515">
        <v>17.059999999999999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 t="shared" ref="L3515:L3578" si="401">IF(K3515&lt;-5,"CRÍTICO",IF(K3515&lt;0,"ATENÇÃO",IF(K3515&lt;=5,"OPORTUNO","MUITO BOM")))</f>
        <v>OPORTUNO</v>
      </c>
      <c r="M3515">
        <v>35</v>
      </c>
      <c r="N3515">
        <v>98.73</v>
      </c>
      <c r="O3515">
        <v>29.142857142857139</v>
      </c>
      <c r="P3515"/>
    </row>
    <row r="3516" spans="1:16" hidden="1" x14ac:dyDescent="0.25">
      <c r="A3516" s="11">
        <v>46112</v>
      </c>
      <c r="B3516" t="s">
        <v>18</v>
      </c>
      <c r="C3516" t="s">
        <v>16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 t="shared" si="401"/>
        <v>ATENÇÃO</v>
      </c>
      <c r="M3516">
        <v>3</v>
      </c>
      <c r="N3516">
        <v>90.48</v>
      </c>
      <c r="O3516">
        <v>20.68965517241379</v>
      </c>
      <c r="P3516"/>
    </row>
    <row r="3517" spans="1:16" hidden="1" x14ac:dyDescent="0.25">
      <c r="A3517" s="11">
        <v>46112</v>
      </c>
      <c r="B3517" t="s">
        <v>52</v>
      </c>
      <c r="C3517" t="s">
        <v>48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24</v>
      </c>
      <c r="K3517" s="3">
        <f>I3517-J3517</f>
        <v>-3</v>
      </c>
      <c r="L3517" s="3" t="str">
        <f t="shared" si="401"/>
        <v>ATENÇÃO</v>
      </c>
      <c r="M3517">
        <v>18</v>
      </c>
      <c r="N3517">
        <v>98.06</v>
      </c>
      <c r="O3517">
        <v>24.789915966386559</v>
      </c>
      <c r="P3517"/>
    </row>
    <row r="3518" spans="1:16" hidden="1" x14ac:dyDescent="0.25">
      <c r="A3518" s="11">
        <v>46112</v>
      </c>
      <c r="B3518" t="s">
        <v>36</v>
      </c>
      <c r="C3518" t="s">
        <v>32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 t="shared" si="401"/>
        <v>OPORTUNO</v>
      </c>
      <c r="M3518">
        <v>0</v>
      </c>
      <c r="N3518">
        <v>97.78</v>
      </c>
      <c r="O3518">
        <v>25.494071146245059</v>
      </c>
      <c r="P3518"/>
    </row>
    <row r="3519" spans="1:16" hidden="1" x14ac:dyDescent="0.25">
      <c r="A3519" s="11">
        <v>46112</v>
      </c>
      <c r="B3519" t="s">
        <v>53</v>
      </c>
      <c r="C3519" t="s">
        <v>48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24</v>
      </c>
      <c r="K3519" s="3">
        <f>I3519-J3519</f>
        <v>2</v>
      </c>
      <c r="L3519" s="3" t="str">
        <f t="shared" si="401"/>
        <v>OPORTUNO</v>
      </c>
      <c r="M3519">
        <v>22</v>
      </c>
      <c r="N3519">
        <v>98.02</v>
      </c>
      <c r="O3519">
        <v>23.484848484848481</v>
      </c>
      <c r="P3519"/>
    </row>
    <row r="3520" spans="1:16" hidden="1" x14ac:dyDescent="0.25">
      <c r="A3520" s="10">
        <v>46164</v>
      </c>
      <c r="B3520" s="6" t="s">
        <v>58</v>
      </c>
      <c r="C3520" s="3" t="s">
        <v>48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 t="shared" si="401"/>
        <v>OPORTUNO</v>
      </c>
      <c r="M3520" s="3">
        <v>12</v>
      </c>
      <c r="N3520" s="3">
        <v>100</v>
      </c>
      <c r="O3520" s="3">
        <v>20.183486238532112</v>
      </c>
    </row>
    <row r="3521" spans="1:15" customFormat="1" hidden="1" x14ac:dyDescent="0.25">
      <c r="A3521" s="11">
        <v>46112</v>
      </c>
      <c r="B3521" t="s">
        <v>54</v>
      </c>
      <c r="C3521" t="s">
        <v>48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5</v>
      </c>
      <c r="L3521" s="3" t="str">
        <f t="shared" si="401"/>
        <v>OPORTUNO</v>
      </c>
      <c r="M3521">
        <v>29</v>
      </c>
      <c r="N3521">
        <v>100</v>
      </c>
      <c r="O3521">
        <v>27.04918032786885</v>
      </c>
    </row>
    <row r="3522" spans="1:15" customFormat="1" hidden="1" x14ac:dyDescent="0.25">
      <c r="A3522" s="11">
        <v>46112</v>
      </c>
      <c r="B3522" t="s">
        <v>37</v>
      </c>
      <c r="C3522" t="s">
        <v>32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30</v>
      </c>
      <c r="K3522" s="3">
        <f>I3522-J3522</f>
        <v>12</v>
      </c>
      <c r="L3522" s="3" t="str">
        <f t="shared" si="401"/>
        <v>MUITO BOM</v>
      </c>
      <c r="M3522">
        <v>45</v>
      </c>
      <c r="N3522">
        <v>97.83</v>
      </c>
      <c r="O3522">
        <v>26.315789473684209</v>
      </c>
    </row>
    <row r="3523" spans="1:15" customFormat="1" hidden="1" x14ac:dyDescent="0.25">
      <c r="A3523" s="11">
        <v>46112</v>
      </c>
      <c r="B3523" t="s">
        <v>38</v>
      </c>
      <c r="C3523" t="s">
        <v>32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 t="shared" si="401"/>
        <v>OPORTUNO</v>
      </c>
      <c r="M3523">
        <v>0</v>
      </c>
      <c r="N3523">
        <v>100</v>
      </c>
      <c r="O3523">
        <v>26.701570680628269</v>
      </c>
    </row>
    <row r="3524" spans="1:15" customFormat="1" hidden="1" x14ac:dyDescent="0.25">
      <c r="A3524" s="11">
        <v>46112</v>
      </c>
      <c r="B3524" t="s">
        <v>55</v>
      </c>
      <c r="C3524" t="s">
        <v>48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24</v>
      </c>
      <c r="K3524" s="3">
        <f>I3524-J3524</f>
        <v>-10</v>
      </c>
      <c r="L3524" s="3" t="str">
        <f t="shared" si="401"/>
        <v>CRÍTICO</v>
      </c>
      <c r="M3524">
        <v>13</v>
      </c>
      <c r="N3524">
        <v>97.47</v>
      </c>
      <c r="O3524">
        <v>22.887323943661968</v>
      </c>
    </row>
    <row r="3525" spans="1:15" customFormat="1" hidden="1" x14ac:dyDescent="0.25">
      <c r="A3525" s="11">
        <v>46112</v>
      </c>
      <c r="B3525" t="s">
        <v>39</v>
      </c>
      <c r="C3525" t="s">
        <v>32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 t="shared" si="401"/>
        <v>OPORTUNO</v>
      </c>
      <c r="M3525">
        <v>0</v>
      </c>
      <c r="N3525">
        <v>0</v>
      </c>
      <c r="O3525">
        <v>0</v>
      </c>
    </row>
    <row r="3526" spans="1:15" customFormat="1" hidden="1" x14ac:dyDescent="0.25">
      <c r="A3526" s="11">
        <v>46112</v>
      </c>
      <c r="B3526" t="s">
        <v>25</v>
      </c>
      <c r="C3526" t="s">
        <v>26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17</v>
      </c>
      <c r="K3526" s="3">
        <f>I3526-J3526</f>
        <v>4</v>
      </c>
      <c r="L3526" s="3" t="str">
        <f t="shared" si="401"/>
        <v>OPORTUNO</v>
      </c>
      <c r="M3526">
        <v>19</v>
      </c>
      <c r="N3526">
        <v>98.31</v>
      </c>
      <c r="O3526">
        <v>24.920127795527151</v>
      </c>
    </row>
    <row r="3527" spans="1:15" customFormat="1" hidden="1" x14ac:dyDescent="0.25">
      <c r="A3527" s="11">
        <v>46112</v>
      </c>
      <c r="B3527" t="s">
        <v>40</v>
      </c>
      <c r="C3527" t="s">
        <v>32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30</v>
      </c>
      <c r="K3527" s="3">
        <f>I3527-J3527</f>
        <v>-24</v>
      </c>
      <c r="L3527" s="3" t="str">
        <f t="shared" si="401"/>
        <v>CRÍTICO</v>
      </c>
      <c r="M3527">
        <v>7</v>
      </c>
      <c r="N3527">
        <v>96.81</v>
      </c>
      <c r="O3527">
        <v>32.365145228215773</v>
      </c>
    </row>
    <row r="3528" spans="1:15" customFormat="1" hidden="1" x14ac:dyDescent="0.25">
      <c r="A3528" s="11">
        <v>46112</v>
      </c>
      <c r="B3528" t="s">
        <v>27</v>
      </c>
      <c r="C3528" t="s">
        <v>26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17</v>
      </c>
      <c r="K3528" s="3">
        <f>I3528-J3528</f>
        <v>1</v>
      </c>
      <c r="L3528" s="3" t="str">
        <f t="shared" si="401"/>
        <v>OPORTUNO</v>
      </c>
      <c r="M3528">
        <v>16</v>
      </c>
      <c r="N3528">
        <v>100</v>
      </c>
      <c r="O3528">
        <v>26.47058823529412</v>
      </c>
    </row>
    <row r="3529" spans="1:15" customFormat="1" hidden="1" x14ac:dyDescent="0.25">
      <c r="A3529" s="11">
        <v>46112</v>
      </c>
      <c r="B3529" t="s">
        <v>41</v>
      </c>
      <c r="C3529" t="s">
        <v>32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-1</v>
      </c>
      <c r="L3529" s="3" t="str">
        <f t="shared" si="401"/>
        <v>ATENÇÃO</v>
      </c>
      <c r="M3529">
        <v>28</v>
      </c>
      <c r="N3529">
        <v>100</v>
      </c>
      <c r="O3529">
        <v>28.490028490028489</v>
      </c>
    </row>
    <row r="3530" spans="1:15" customFormat="1" hidden="1" x14ac:dyDescent="0.25">
      <c r="A3530" s="11">
        <v>46112</v>
      </c>
      <c r="B3530" t="s">
        <v>56</v>
      </c>
      <c r="C3530" t="s">
        <v>48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24</v>
      </c>
      <c r="K3530" s="3">
        <f>I3530-J3530</f>
        <v>-1</v>
      </c>
      <c r="L3530" s="3" t="str">
        <f t="shared" si="401"/>
        <v>ATENÇÃO</v>
      </c>
      <c r="M3530">
        <v>9</v>
      </c>
      <c r="N3530">
        <v>99.14</v>
      </c>
      <c r="O3530">
        <v>27.2289156626506</v>
      </c>
    </row>
    <row r="3531" spans="1:15" customFormat="1" hidden="1" x14ac:dyDescent="0.25">
      <c r="A3531" s="11">
        <v>46112</v>
      </c>
      <c r="B3531" t="s">
        <v>57</v>
      </c>
      <c r="C3531" t="s">
        <v>48</v>
      </c>
      <c r="D3531">
        <v>6</v>
      </c>
      <c r="E3531">
        <v>6</v>
      </c>
      <c r="F3531">
        <v>16.47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 t="shared" si="401"/>
        <v>OPORTUNO</v>
      </c>
      <c r="M3531">
        <v>3</v>
      </c>
      <c r="N3531">
        <v>97.52</v>
      </c>
      <c r="O3531">
        <v>28.205128205128201</v>
      </c>
    </row>
    <row r="3532" spans="1:15" customFormat="1" hidden="1" x14ac:dyDescent="0.25">
      <c r="A3532" s="11">
        <v>46112</v>
      </c>
      <c r="B3532" t="s">
        <v>42</v>
      </c>
      <c r="C3532" t="s">
        <v>32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ref="I3532:I3547" si="402">E3532+G3532+H3532</f>
        <v>36</v>
      </c>
      <c r="J3532" s="3">
        <f t="shared" ref="J3532:J3547" si="403"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30</v>
      </c>
      <c r="K3532" s="3">
        <f t="shared" ref="K3532:K3547" si="404">I3532-J3532</f>
        <v>6</v>
      </c>
      <c r="L3532" s="3" t="str">
        <f t="shared" si="401"/>
        <v>MUITO BOM</v>
      </c>
      <c r="M3532">
        <v>26</v>
      </c>
      <c r="N3532">
        <v>90</v>
      </c>
      <c r="O3532">
        <v>24.186046511627911</v>
      </c>
    </row>
    <row r="3533" spans="1:15" customFormat="1" hidden="1" x14ac:dyDescent="0.25">
      <c r="A3533" s="11">
        <v>46112</v>
      </c>
      <c r="B3533" t="s">
        <v>62</v>
      </c>
      <c r="C3533" t="s">
        <v>23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402"/>
        <v>28</v>
      </c>
      <c r="J3533" s="3">
        <f t="shared" si="403"/>
        <v>20</v>
      </c>
      <c r="K3533" s="3">
        <f t="shared" si="404"/>
        <v>8</v>
      </c>
      <c r="L3533" s="3" t="str">
        <f t="shared" si="401"/>
        <v>MUITO BOM</v>
      </c>
      <c r="M3533">
        <v>28</v>
      </c>
      <c r="N3533">
        <v>98.9</v>
      </c>
      <c r="O3533">
        <v>26.763990267639901</v>
      </c>
    </row>
    <row r="3534" spans="1:15" customFormat="1" hidden="1" x14ac:dyDescent="0.25">
      <c r="A3534" s="11">
        <v>46112</v>
      </c>
      <c r="B3534" t="s">
        <v>19</v>
      </c>
      <c r="C3534" t="s">
        <v>16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402"/>
        <v>8</v>
      </c>
      <c r="J3534" s="3">
        <f t="shared" si="403"/>
        <v>8</v>
      </c>
      <c r="K3534" s="3">
        <f t="shared" si="404"/>
        <v>0</v>
      </c>
      <c r="L3534" s="3" t="str">
        <f t="shared" si="401"/>
        <v>OPORTUNO</v>
      </c>
      <c r="M3534">
        <v>7</v>
      </c>
      <c r="N3534">
        <v>88.89</v>
      </c>
      <c r="O3534">
        <v>25.263157894736839</v>
      </c>
    </row>
    <row r="3535" spans="1:15" customFormat="1" hidden="1" x14ac:dyDescent="0.25">
      <c r="A3535" s="11">
        <v>46112</v>
      </c>
      <c r="B3535" t="s">
        <v>43</v>
      </c>
      <c r="C3535" t="s">
        <v>32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402"/>
        <v>30</v>
      </c>
      <c r="J3535" s="3">
        <f t="shared" si="403"/>
        <v>30</v>
      </c>
      <c r="K3535" s="3">
        <f t="shared" si="404"/>
        <v>0</v>
      </c>
      <c r="L3535" s="3" t="str">
        <f t="shared" si="401"/>
        <v>OPORTUNO</v>
      </c>
      <c r="M3535">
        <v>28</v>
      </c>
      <c r="N3535">
        <v>98.86</v>
      </c>
      <c r="O3535">
        <v>28.959276018099551</v>
      </c>
    </row>
    <row r="3536" spans="1:15" customFormat="1" hidden="1" x14ac:dyDescent="0.25">
      <c r="A3536" s="11">
        <v>46112</v>
      </c>
      <c r="B3536" t="s">
        <v>44</v>
      </c>
      <c r="C3536" t="s">
        <v>32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402"/>
        <v>37</v>
      </c>
      <c r="J3536" s="3">
        <f t="shared" si="403"/>
        <v>30</v>
      </c>
      <c r="K3536" s="3">
        <f t="shared" si="404"/>
        <v>7</v>
      </c>
      <c r="L3536" s="3" t="str">
        <f t="shared" si="401"/>
        <v>MUITO BOM</v>
      </c>
      <c r="M3536">
        <v>25</v>
      </c>
      <c r="N3536">
        <v>98.06</v>
      </c>
      <c r="O3536">
        <v>22.40566037735849</v>
      </c>
    </row>
    <row r="3537" spans="1:15" customFormat="1" hidden="1" x14ac:dyDescent="0.25">
      <c r="A3537" s="11">
        <v>46112</v>
      </c>
      <c r="B3537" t="s">
        <v>20</v>
      </c>
      <c r="C3537" t="s">
        <v>16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402"/>
        <v>19</v>
      </c>
      <c r="J3537" s="3">
        <f t="shared" si="403"/>
        <v>8</v>
      </c>
      <c r="K3537" s="3">
        <f t="shared" si="404"/>
        <v>11</v>
      </c>
      <c r="L3537" s="3" t="str">
        <f t="shared" si="401"/>
        <v>MUITO BOM</v>
      </c>
      <c r="M3537">
        <v>7</v>
      </c>
      <c r="N3537">
        <v>95.83</v>
      </c>
      <c r="O3537">
        <v>25.773195876288661</v>
      </c>
    </row>
    <row r="3538" spans="1:15" customFormat="1" hidden="1" x14ac:dyDescent="0.25">
      <c r="A3538" s="11">
        <v>46112</v>
      </c>
      <c r="B3538" t="s">
        <v>28</v>
      </c>
      <c r="C3538" t="s">
        <v>26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402"/>
        <v>17</v>
      </c>
      <c r="J3538" s="3">
        <f t="shared" si="403"/>
        <v>17</v>
      </c>
      <c r="K3538" s="3">
        <f t="shared" si="404"/>
        <v>0</v>
      </c>
      <c r="L3538" s="3" t="str">
        <f t="shared" si="401"/>
        <v>OPORTUNO</v>
      </c>
      <c r="M3538">
        <v>14</v>
      </c>
      <c r="N3538">
        <v>100</v>
      </c>
      <c r="O3538">
        <v>15.38461538461539</v>
      </c>
    </row>
    <row r="3539" spans="1:15" customFormat="1" hidden="1" x14ac:dyDescent="0.25">
      <c r="A3539" s="11">
        <v>46112</v>
      </c>
      <c r="B3539" t="s">
        <v>58</v>
      </c>
      <c r="C3539" t="s">
        <v>48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402"/>
        <v>30</v>
      </c>
      <c r="J3539" s="3">
        <f t="shared" si="403"/>
        <v>24</v>
      </c>
      <c r="K3539" s="3">
        <f t="shared" si="404"/>
        <v>6</v>
      </c>
      <c r="L3539" s="3" t="str">
        <f t="shared" si="401"/>
        <v>MUITO BOM</v>
      </c>
      <c r="M3539">
        <v>20</v>
      </c>
      <c r="N3539">
        <v>100</v>
      </c>
      <c r="O3539">
        <v>27.514792899408281</v>
      </c>
    </row>
    <row r="3540" spans="1:15" customFormat="1" hidden="1" x14ac:dyDescent="0.25">
      <c r="A3540" s="11">
        <v>46112</v>
      </c>
      <c r="B3540" t="s">
        <v>29</v>
      </c>
      <c r="C3540" t="s">
        <v>26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402"/>
        <v>19</v>
      </c>
      <c r="J3540" s="3">
        <f t="shared" si="403"/>
        <v>17</v>
      </c>
      <c r="K3540" s="3">
        <f t="shared" si="404"/>
        <v>2</v>
      </c>
      <c r="L3540" s="3" t="str">
        <f t="shared" si="401"/>
        <v>OPORTUNO</v>
      </c>
      <c r="M3540">
        <v>12</v>
      </c>
      <c r="N3540">
        <v>100</v>
      </c>
      <c r="O3540">
        <v>24.875621890547269</v>
      </c>
    </row>
    <row r="3541" spans="1:15" customFormat="1" hidden="1" x14ac:dyDescent="0.25">
      <c r="A3541" s="11">
        <v>46112</v>
      </c>
      <c r="B3541" t="s">
        <v>30</v>
      </c>
      <c r="C3541" t="s">
        <v>26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402"/>
        <v>25</v>
      </c>
      <c r="J3541" s="3">
        <f t="shared" si="403"/>
        <v>17</v>
      </c>
      <c r="K3541" s="3">
        <f t="shared" si="404"/>
        <v>8</v>
      </c>
      <c r="L3541" s="3" t="str">
        <f t="shared" si="401"/>
        <v>MUITO BOM</v>
      </c>
      <c r="M3541">
        <v>19</v>
      </c>
      <c r="N3541">
        <v>100</v>
      </c>
      <c r="O3541">
        <v>28.108108108108109</v>
      </c>
    </row>
    <row r="3542" spans="1:15" customFormat="1" hidden="1" x14ac:dyDescent="0.25">
      <c r="A3542" s="11">
        <v>46112</v>
      </c>
      <c r="B3542" t="s">
        <v>21</v>
      </c>
      <c r="C3542" t="s">
        <v>16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402"/>
        <v>6</v>
      </c>
      <c r="J3542" s="3">
        <f t="shared" si="403"/>
        <v>8</v>
      </c>
      <c r="K3542" s="3">
        <f t="shared" si="404"/>
        <v>-2</v>
      </c>
      <c r="L3542" s="3" t="str">
        <f t="shared" si="401"/>
        <v>ATENÇÃO</v>
      </c>
      <c r="M3542">
        <v>3</v>
      </c>
      <c r="N3542">
        <v>100</v>
      </c>
      <c r="O3542">
        <v>35</v>
      </c>
    </row>
    <row r="3543" spans="1:15" customFormat="1" hidden="1" x14ac:dyDescent="0.25">
      <c r="A3543" s="11">
        <v>46112</v>
      </c>
      <c r="B3543" t="s">
        <v>63</v>
      </c>
      <c r="C3543" t="s">
        <v>23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402"/>
        <v>28</v>
      </c>
      <c r="J3543" s="3">
        <f t="shared" si="403"/>
        <v>20</v>
      </c>
      <c r="K3543" s="3">
        <f t="shared" si="404"/>
        <v>8</v>
      </c>
      <c r="L3543" s="3" t="str">
        <f t="shared" si="401"/>
        <v>MUITO BOM</v>
      </c>
      <c r="M3543">
        <v>17</v>
      </c>
      <c r="N3543">
        <v>95.35</v>
      </c>
      <c r="O3543">
        <v>28.61538461538461</v>
      </c>
    </row>
    <row r="3544" spans="1:15" customFormat="1" hidden="1" x14ac:dyDescent="0.25">
      <c r="A3544" s="11">
        <v>46112</v>
      </c>
      <c r="B3544" t="s">
        <v>45</v>
      </c>
      <c r="C3544" t="s">
        <v>32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402"/>
        <v>42</v>
      </c>
      <c r="J3544" s="3">
        <f t="shared" si="403"/>
        <v>30</v>
      </c>
      <c r="K3544" s="3">
        <f t="shared" si="404"/>
        <v>12</v>
      </c>
      <c r="L3544" s="3" t="str">
        <f t="shared" si="401"/>
        <v>MUITO BOM</v>
      </c>
      <c r="M3544">
        <v>35</v>
      </c>
      <c r="N3544">
        <v>98.26</v>
      </c>
      <c r="O3544">
        <v>27.54491017964072</v>
      </c>
    </row>
    <row r="3545" spans="1:15" customFormat="1" hidden="1" x14ac:dyDescent="0.25">
      <c r="A3545" s="11">
        <v>46112</v>
      </c>
      <c r="B3545" t="s">
        <v>64</v>
      </c>
      <c r="C3545" t="s">
        <v>23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402"/>
        <v>16</v>
      </c>
      <c r="J3545" s="3">
        <f t="shared" si="403"/>
        <v>20</v>
      </c>
      <c r="K3545" s="3">
        <f t="shared" si="404"/>
        <v>-4</v>
      </c>
      <c r="L3545" s="3" t="str">
        <f t="shared" si="401"/>
        <v>ATENÇÃO</v>
      </c>
      <c r="M3545">
        <v>14</v>
      </c>
      <c r="N3545">
        <v>98.55</v>
      </c>
      <c r="O3545">
        <v>25.337837837837839</v>
      </c>
    </row>
    <row r="3546" spans="1:15" customFormat="1" hidden="1" x14ac:dyDescent="0.25">
      <c r="A3546" s="11">
        <v>46112</v>
      </c>
      <c r="B3546" t="s">
        <v>46</v>
      </c>
      <c r="C3546" t="s">
        <v>32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402"/>
        <v>33</v>
      </c>
      <c r="J3546" s="3">
        <f t="shared" si="403"/>
        <v>30</v>
      </c>
      <c r="K3546" s="3">
        <f t="shared" si="404"/>
        <v>3</v>
      </c>
      <c r="L3546" s="3" t="str">
        <f t="shared" si="401"/>
        <v>OPORTUNO</v>
      </c>
      <c r="M3546">
        <v>27</v>
      </c>
      <c r="N3546">
        <v>98.39</v>
      </c>
      <c r="O3546">
        <v>25.563909774436091</v>
      </c>
    </row>
    <row r="3547" spans="1:15" customFormat="1" hidden="1" x14ac:dyDescent="0.25">
      <c r="A3547" s="11">
        <v>46113</v>
      </c>
      <c r="B3547" t="s">
        <v>47</v>
      </c>
      <c r="C3547" t="s">
        <v>48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402"/>
        <v>15</v>
      </c>
      <c r="J3547" s="3">
        <f t="shared" si="403"/>
        <v>25</v>
      </c>
      <c r="K3547" s="3">
        <f t="shared" si="404"/>
        <v>-10</v>
      </c>
      <c r="L3547" s="3" t="str">
        <f t="shared" si="401"/>
        <v>CRÍTICO</v>
      </c>
      <c r="M3547">
        <v>13</v>
      </c>
      <c r="N3547">
        <v>100</v>
      </c>
      <c r="O3547">
        <v>32.764505119453922</v>
      </c>
    </row>
    <row r="3548" spans="1:15" customFormat="1" hidden="1" x14ac:dyDescent="0.25">
      <c r="A3548" s="11">
        <v>46113</v>
      </c>
      <c r="B3548" t="s">
        <v>31</v>
      </c>
      <c r="C3548" t="s">
        <v>32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 t="shared" si="401"/>
        <v>OPORTUNO</v>
      </c>
      <c r="M3548">
        <v>24</v>
      </c>
      <c r="N3548">
        <v>98.66</v>
      </c>
      <c r="O3548">
        <v>35.416666666666671</v>
      </c>
    </row>
    <row r="3549" spans="1:15" customFormat="1" hidden="1" x14ac:dyDescent="0.25">
      <c r="A3549" s="11">
        <v>46113</v>
      </c>
      <c r="B3549" t="s">
        <v>59</v>
      </c>
      <c r="C3549" t="s">
        <v>23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ref="I3549:I3556" si="405">E3549+G3549+H3549</f>
        <v>26</v>
      </c>
      <c r="J3549" s="3">
        <f t="shared" ref="J3549:J3556" si="406"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21</v>
      </c>
      <c r="K3549" s="3">
        <f t="shared" ref="K3549:K3556" si="407">I3549-J3549</f>
        <v>5</v>
      </c>
      <c r="L3549" s="3" t="str">
        <f t="shared" si="401"/>
        <v>OPORTUNO</v>
      </c>
      <c r="M3549">
        <v>26</v>
      </c>
      <c r="N3549">
        <v>99.32</v>
      </c>
      <c r="O3549">
        <v>30.648330058939099</v>
      </c>
    </row>
    <row r="3550" spans="1:15" customFormat="1" hidden="1" x14ac:dyDescent="0.25">
      <c r="A3550" s="11">
        <v>46113</v>
      </c>
      <c r="B3550" t="s">
        <v>33</v>
      </c>
      <c r="C3550" t="s">
        <v>32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405"/>
        <v>21</v>
      </c>
      <c r="J3550" s="3">
        <f t="shared" si="406"/>
        <v>32</v>
      </c>
      <c r="K3550" s="3">
        <f t="shared" si="407"/>
        <v>-11</v>
      </c>
      <c r="L3550" s="3" t="str">
        <f t="shared" si="401"/>
        <v>CRÍTICO</v>
      </c>
      <c r="M3550">
        <v>20</v>
      </c>
      <c r="N3550">
        <v>100</v>
      </c>
      <c r="O3550">
        <v>27.803738317757009</v>
      </c>
    </row>
    <row r="3551" spans="1:15" customFormat="1" hidden="1" x14ac:dyDescent="0.25">
      <c r="A3551" s="11">
        <v>46113</v>
      </c>
      <c r="B3551" t="s">
        <v>15</v>
      </c>
      <c r="C3551" t="s">
        <v>16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405"/>
        <v>16</v>
      </c>
      <c r="J3551" s="3">
        <f t="shared" si="406"/>
        <v>9</v>
      </c>
      <c r="K3551" s="3">
        <f t="shared" si="407"/>
        <v>7</v>
      </c>
      <c r="L3551" s="3" t="str">
        <f t="shared" si="401"/>
        <v>MUITO BOM</v>
      </c>
      <c r="M3551">
        <v>15</v>
      </c>
      <c r="N3551">
        <v>96.74</v>
      </c>
      <c r="O3551">
        <v>28.67647058823529</v>
      </c>
    </row>
    <row r="3552" spans="1:15" customFormat="1" hidden="1" x14ac:dyDescent="0.25">
      <c r="A3552" s="11">
        <v>46113</v>
      </c>
      <c r="B3552" t="s">
        <v>49</v>
      </c>
      <c r="C3552" t="s">
        <v>48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405"/>
        <v>36</v>
      </c>
      <c r="J3552" s="3">
        <f t="shared" si="406"/>
        <v>25</v>
      </c>
      <c r="K3552" s="3">
        <f t="shared" si="407"/>
        <v>11</v>
      </c>
      <c r="L3552" s="3" t="str">
        <f t="shared" si="401"/>
        <v>MUITO BOM</v>
      </c>
      <c r="M3552">
        <v>39</v>
      </c>
      <c r="N3552">
        <v>98.82</v>
      </c>
      <c r="O3552">
        <v>30.741410488245929</v>
      </c>
    </row>
    <row r="3553" spans="1:16" hidden="1" x14ac:dyDescent="0.25">
      <c r="A3553" s="11">
        <v>46113</v>
      </c>
      <c r="B3553" t="s">
        <v>50</v>
      </c>
      <c r="C3553" t="s">
        <v>48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405"/>
        <v>20</v>
      </c>
      <c r="J3553" s="3">
        <f t="shared" si="406"/>
        <v>25</v>
      </c>
      <c r="K3553" s="3">
        <f t="shared" si="407"/>
        <v>-5</v>
      </c>
      <c r="L3553" s="3" t="str">
        <f t="shared" si="401"/>
        <v>ATENÇÃO</v>
      </c>
      <c r="M3553">
        <v>18</v>
      </c>
      <c r="N3553">
        <v>98.2</v>
      </c>
      <c r="O3553">
        <v>27.170868347338931</v>
      </c>
      <c r="P3553"/>
    </row>
    <row r="3554" spans="1:16" hidden="1" x14ac:dyDescent="0.25">
      <c r="A3554" s="11">
        <v>46113</v>
      </c>
      <c r="B3554" t="s">
        <v>17</v>
      </c>
      <c r="C3554" t="s">
        <v>16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405"/>
        <v>9</v>
      </c>
      <c r="J3554" s="3">
        <f t="shared" si="406"/>
        <v>9</v>
      </c>
      <c r="K3554" s="3">
        <f t="shared" si="407"/>
        <v>0</v>
      </c>
      <c r="L3554" s="3" t="str">
        <f t="shared" si="401"/>
        <v>OPORTUNO</v>
      </c>
      <c r="M3554">
        <v>9</v>
      </c>
      <c r="N3554">
        <v>100</v>
      </c>
      <c r="O3554">
        <v>23.134328358208951</v>
      </c>
      <c r="P3554"/>
    </row>
    <row r="3555" spans="1:16" hidden="1" x14ac:dyDescent="0.25">
      <c r="A3555" s="11">
        <v>46113</v>
      </c>
      <c r="B3555" t="s">
        <v>60</v>
      </c>
      <c r="C3555" t="s">
        <v>23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405"/>
        <v>26</v>
      </c>
      <c r="J3555" s="3">
        <f t="shared" si="406"/>
        <v>21</v>
      </c>
      <c r="K3555" s="3">
        <f t="shared" si="407"/>
        <v>5</v>
      </c>
      <c r="L3555" s="3" t="str">
        <f t="shared" si="401"/>
        <v>OPORTUNO</v>
      </c>
      <c r="M3555">
        <v>26</v>
      </c>
      <c r="N3555">
        <v>96.3</v>
      </c>
      <c r="O3555">
        <v>32.219570405727922</v>
      </c>
      <c r="P3555"/>
    </row>
    <row r="3556" spans="1:16" hidden="1" x14ac:dyDescent="0.25">
      <c r="A3556" s="11">
        <v>46113</v>
      </c>
      <c r="B3556" t="s">
        <v>34</v>
      </c>
      <c r="C3556" t="s">
        <v>32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405"/>
        <v>28</v>
      </c>
      <c r="J3556" s="3">
        <f t="shared" si="406"/>
        <v>32</v>
      </c>
      <c r="K3556" s="3">
        <f t="shared" si="407"/>
        <v>-4</v>
      </c>
      <c r="L3556" s="3" t="str">
        <f t="shared" si="401"/>
        <v>ATENÇÃO</v>
      </c>
      <c r="M3556">
        <v>25</v>
      </c>
      <c r="N3556">
        <v>93.75</v>
      </c>
      <c r="O3556">
        <v>26.819923371647509</v>
      </c>
      <c r="P3556"/>
    </row>
    <row r="3557" spans="1:16" hidden="1" x14ac:dyDescent="0.25">
      <c r="A3557" s="11">
        <v>46113</v>
      </c>
      <c r="B3557" t="s">
        <v>51</v>
      </c>
      <c r="C3557" t="s">
        <v>48</v>
      </c>
      <c r="D3557">
        <v>36</v>
      </c>
      <c r="E3557">
        <v>32</v>
      </c>
      <c r="F3557">
        <v>20.190000000000001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 t="shared" si="401"/>
        <v>OPORTUNO</v>
      </c>
      <c r="M3557">
        <v>28</v>
      </c>
      <c r="N3557">
        <v>97.86</v>
      </c>
      <c r="O3557">
        <v>31.018518518518519</v>
      </c>
      <c r="P3557"/>
    </row>
    <row r="3558" spans="1:16" hidden="1" x14ac:dyDescent="0.25">
      <c r="A3558" s="11">
        <v>46113</v>
      </c>
      <c r="B3558" t="s">
        <v>61</v>
      </c>
      <c r="C3558" t="s">
        <v>23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21</v>
      </c>
      <c r="K3558" s="3">
        <f>I3558-J3558</f>
        <v>4</v>
      </c>
      <c r="L3558" s="3" t="str">
        <f t="shared" si="401"/>
        <v>OPORTUNO</v>
      </c>
      <c r="M3558">
        <v>7</v>
      </c>
      <c r="N3558">
        <v>100</v>
      </c>
      <c r="O3558">
        <v>36.594202898550733</v>
      </c>
      <c r="P3558"/>
    </row>
    <row r="3559" spans="1:16" hidden="1" x14ac:dyDescent="0.25">
      <c r="A3559" s="11">
        <v>46113</v>
      </c>
      <c r="B3559" t="s">
        <v>35</v>
      </c>
      <c r="C3559" t="s">
        <v>32</v>
      </c>
      <c r="D3559">
        <v>26</v>
      </c>
      <c r="E3559">
        <v>25</v>
      </c>
      <c r="F3559">
        <v>22.07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401"/>
        <v>OPORTUNO</v>
      </c>
      <c r="M3559">
        <v>25</v>
      </c>
      <c r="N3559">
        <v>100</v>
      </c>
      <c r="O3559">
        <v>38.653846153846153</v>
      </c>
      <c r="P3559"/>
    </row>
    <row r="3560" spans="1:16" hidden="1" x14ac:dyDescent="0.25">
      <c r="A3560" s="11">
        <v>46113</v>
      </c>
      <c r="B3560" t="s">
        <v>18</v>
      </c>
      <c r="C3560" t="s">
        <v>16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 t="shared" si="401"/>
        <v>OPORTUNO</v>
      </c>
      <c r="M3560">
        <v>0</v>
      </c>
      <c r="N3560">
        <v>100</v>
      </c>
      <c r="O3560">
        <v>27.368421052631579</v>
      </c>
      <c r="P3560"/>
    </row>
    <row r="3561" spans="1:16" hidden="1" x14ac:dyDescent="0.25">
      <c r="A3561" s="11">
        <v>46113</v>
      </c>
      <c r="B3561" t="s">
        <v>52</v>
      </c>
      <c r="C3561" t="s">
        <v>48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25</v>
      </c>
      <c r="K3561" s="3">
        <f>I3561-J3561</f>
        <v>-4</v>
      </c>
      <c r="L3561" s="3" t="str">
        <f t="shared" si="401"/>
        <v>ATENÇÃO</v>
      </c>
      <c r="M3561">
        <v>22</v>
      </c>
      <c r="N3561">
        <v>97.83</v>
      </c>
      <c r="O3561">
        <v>28.35164835164835</v>
      </c>
      <c r="P3561"/>
    </row>
    <row r="3562" spans="1:16" hidden="1" x14ac:dyDescent="0.25">
      <c r="A3562" s="11">
        <v>46113</v>
      </c>
      <c r="B3562" t="s">
        <v>36</v>
      </c>
      <c r="C3562" t="s">
        <v>32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32</v>
      </c>
      <c r="K3562" s="3">
        <f>I3562-J3562</f>
        <v>-7</v>
      </c>
      <c r="L3562" s="3" t="str">
        <f t="shared" si="401"/>
        <v>CRÍTICO</v>
      </c>
      <c r="M3562">
        <v>25</v>
      </c>
      <c r="N3562">
        <v>99.26</v>
      </c>
      <c r="O3562">
        <v>29.766536964980549</v>
      </c>
      <c r="P3562"/>
    </row>
    <row r="3563" spans="1:16" hidden="1" x14ac:dyDescent="0.25">
      <c r="A3563" s="11">
        <v>46113</v>
      </c>
      <c r="B3563" t="s">
        <v>53</v>
      </c>
      <c r="C3563" t="s">
        <v>48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25</v>
      </c>
      <c r="K3563" s="3">
        <f>I3563-J3563</f>
        <v>10</v>
      </c>
      <c r="L3563" s="3" t="str">
        <f t="shared" si="401"/>
        <v>MUITO BOM</v>
      </c>
      <c r="M3563">
        <v>37</v>
      </c>
      <c r="N3563">
        <v>99.19</v>
      </c>
      <c r="O3563">
        <v>29.462365591397852</v>
      </c>
      <c r="P3563"/>
    </row>
    <row r="3564" spans="1:16" x14ac:dyDescent="0.25">
      <c r="A3564" s="11">
        <v>46167</v>
      </c>
      <c r="B3564" t="s">
        <v>47</v>
      </c>
      <c r="C3564" t="s">
        <v>48</v>
      </c>
      <c r="D3564" s="3">
        <v>34</v>
      </c>
      <c r="E3564" s="3">
        <v>30</v>
      </c>
      <c r="F3564" s="3">
        <v>10.14</v>
      </c>
      <c r="G3564" s="3">
        <v>0</v>
      </c>
      <c r="H3564" s="3">
        <v>0</v>
      </c>
      <c r="I3564" s="3">
        <v>0</v>
      </c>
      <c r="J3564" s="3">
        <v>0</v>
      </c>
      <c r="K3564" s="3">
        <v>0</v>
      </c>
      <c r="L3564" s="3" t="str">
        <f t="shared" si="401"/>
        <v>OPORTUNO</v>
      </c>
      <c r="M3564" s="3">
        <v>23</v>
      </c>
      <c r="N3564" s="3">
        <v>99.18</v>
      </c>
      <c r="O3564" s="3">
        <v>24.501424501424498</v>
      </c>
    </row>
    <row r="3565" spans="1:16" hidden="1" x14ac:dyDescent="0.25">
      <c r="A3565" s="11">
        <v>46113</v>
      </c>
      <c r="B3565" t="s">
        <v>54</v>
      </c>
      <c r="C3565" t="s">
        <v>48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10</v>
      </c>
      <c r="L3565" s="3" t="str">
        <f t="shared" si="401"/>
        <v>MUITO BOM</v>
      </c>
      <c r="M3565">
        <v>32</v>
      </c>
      <c r="N3565">
        <v>100</v>
      </c>
      <c r="O3565">
        <v>28.921568627450981</v>
      </c>
      <c r="P3565"/>
    </row>
    <row r="3566" spans="1:16" hidden="1" x14ac:dyDescent="0.25">
      <c r="A3566" s="11">
        <v>46113</v>
      </c>
      <c r="B3566" t="s">
        <v>37</v>
      </c>
      <c r="C3566" t="s">
        <v>32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9</v>
      </c>
      <c r="L3566" s="3" t="str">
        <f t="shared" si="401"/>
        <v>MUITO BOM</v>
      </c>
      <c r="M3566">
        <v>41</v>
      </c>
      <c r="N3566">
        <v>99.57</v>
      </c>
      <c r="O3566">
        <v>30.635838150289018</v>
      </c>
      <c r="P3566"/>
    </row>
    <row r="3567" spans="1:16" hidden="1" x14ac:dyDescent="0.25">
      <c r="A3567" s="11">
        <v>46113</v>
      </c>
      <c r="B3567" t="s">
        <v>38</v>
      </c>
      <c r="C3567" t="s">
        <v>32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32</v>
      </c>
      <c r="K3567" s="3">
        <f>I3567-J3567</f>
        <v>-30</v>
      </c>
      <c r="L3567" s="3" t="str">
        <f t="shared" si="401"/>
        <v>CRÍTICO</v>
      </c>
      <c r="M3567">
        <v>2</v>
      </c>
      <c r="N3567">
        <v>95.65</v>
      </c>
      <c r="O3567">
        <v>32.432432432432442</v>
      </c>
      <c r="P3567"/>
    </row>
    <row r="3568" spans="1:16" hidden="1" x14ac:dyDescent="0.25">
      <c r="A3568" s="11">
        <v>46113</v>
      </c>
      <c r="B3568" t="s">
        <v>55</v>
      </c>
      <c r="C3568" t="s">
        <v>48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25</v>
      </c>
      <c r="K3568" s="3">
        <f>I3568-J3568</f>
        <v>0</v>
      </c>
      <c r="L3568" s="3" t="str">
        <f t="shared" si="401"/>
        <v>OPORTUNO</v>
      </c>
      <c r="M3568">
        <v>26</v>
      </c>
      <c r="N3568">
        <v>98.81</v>
      </c>
      <c r="O3568">
        <v>26.256983240223459</v>
      </c>
      <c r="P3568"/>
    </row>
    <row r="3569" spans="1:15" customFormat="1" hidden="1" x14ac:dyDescent="0.25">
      <c r="A3569" s="11">
        <v>46113</v>
      </c>
      <c r="B3569" t="s">
        <v>39</v>
      </c>
      <c r="C3569" t="s">
        <v>32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 t="shared" si="401"/>
        <v>OPORTUNO</v>
      </c>
      <c r="M3569">
        <v>0</v>
      </c>
      <c r="N3569">
        <v>0</v>
      </c>
      <c r="O3569">
        <v>0</v>
      </c>
    </row>
    <row r="3570" spans="1:15" customFormat="1" hidden="1" x14ac:dyDescent="0.25">
      <c r="A3570" s="11">
        <v>46113</v>
      </c>
      <c r="B3570" t="s">
        <v>25</v>
      </c>
      <c r="C3570" t="s">
        <v>26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18</v>
      </c>
      <c r="K3570" s="3">
        <f>I3570-J3570</f>
        <v>0</v>
      </c>
      <c r="L3570" s="3" t="str">
        <f t="shared" si="401"/>
        <v>OPORTUNO</v>
      </c>
      <c r="M3570">
        <v>19</v>
      </c>
      <c r="N3570">
        <v>97.17</v>
      </c>
      <c r="O3570">
        <v>28.81844380403458</v>
      </c>
    </row>
    <row r="3571" spans="1:15" customFormat="1" hidden="1" x14ac:dyDescent="0.25">
      <c r="A3571" s="11">
        <v>46113</v>
      </c>
      <c r="B3571" t="s">
        <v>40</v>
      </c>
      <c r="C3571" t="s">
        <v>32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32</v>
      </c>
      <c r="K3571" s="3">
        <f>I3571-J3571</f>
        <v>-13</v>
      </c>
      <c r="L3571" s="3" t="str">
        <f t="shared" si="401"/>
        <v>CRÍTICO</v>
      </c>
      <c r="M3571">
        <v>19</v>
      </c>
      <c r="N3571">
        <v>96.81</v>
      </c>
      <c r="O3571">
        <v>48.018648018648022</v>
      </c>
    </row>
    <row r="3572" spans="1:15" customFormat="1" hidden="1" x14ac:dyDescent="0.25">
      <c r="A3572" s="11">
        <v>46113</v>
      </c>
      <c r="B3572" t="s">
        <v>27</v>
      </c>
      <c r="C3572" t="s">
        <v>26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18</v>
      </c>
      <c r="K3572" s="3">
        <f>I3572-J3572</f>
        <v>-4</v>
      </c>
      <c r="L3572" s="3" t="str">
        <f t="shared" si="401"/>
        <v>ATENÇÃO</v>
      </c>
      <c r="M3572">
        <v>11</v>
      </c>
      <c r="N3572">
        <v>98.15</v>
      </c>
      <c r="O3572">
        <v>27.1551724137931</v>
      </c>
    </row>
    <row r="3573" spans="1:15" customFormat="1" hidden="1" x14ac:dyDescent="0.25">
      <c r="A3573" s="11">
        <v>46113</v>
      </c>
      <c r="B3573" t="s">
        <v>41</v>
      </c>
      <c r="C3573" t="s">
        <v>32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-8</v>
      </c>
      <c r="L3573" s="3" t="str">
        <f t="shared" si="401"/>
        <v>CRÍTICO</v>
      </c>
      <c r="M3573">
        <v>21</v>
      </c>
      <c r="N3573">
        <v>99.15</v>
      </c>
      <c r="O3573">
        <v>27.586206896551719</v>
      </c>
    </row>
    <row r="3574" spans="1:15" customFormat="1" hidden="1" x14ac:dyDescent="0.25">
      <c r="A3574" s="11">
        <v>46113</v>
      </c>
      <c r="B3574" t="s">
        <v>56</v>
      </c>
      <c r="C3574" t="s">
        <v>48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25</v>
      </c>
      <c r="K3574" s="3">
        <f>I3574-J3574</f>
        <v>-1</v>
      </c>
      <c r="L3574" s="3" t="str">
        <f t="shared" si="401"/>
        <v>ATENÇÃO</v>
      </c>
      <c r="M3574">
        <v>23</v>
      </c>
      <c r="N3574">
        <v>99.17</v>
      </c>
      <c r="O3574">
        <v>29.75206611570248</v>
      </c>
    </row>
    <row r="3575" spans="1:15" customFormat="1" hidden="1" x14ac:dyDescent="0.25">
      <c r="A3575" s="11">
        <v>46113</v>
      </c>
      <c r="B3575" t="s">
        <v>57</v>
      </c>
      <c r="C3575" t="s">
        <v>48</v>
      </c>
      <c r="D3575">
        <v>35</v>
      </c>
      <c r="E3575">
        <v>34</v>
      </c>
      <c r="F3575">
        <v>15.59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 t="shared" si="401"/>
        <v>OPORTUNO</v>
      </c>
      <c r="M3575">
        <v>33</v>
      </c>
      <c r="N3575">
        <v>98.73</v>
      </c>
      <c r="O3575">
        <v>28.961748633879779</v>
      </c>
    </row>
    <row r="3576" spans="1:15" customFormat="1" hidden="1" x14ac:dyDescent="0.25">
      <c r="A3576" s="11">
        <v>46113</v>
      </c>
      <c r="B3576" t="s">
        <v>42</v>
      </c>
      <c r="C3576" t="s">
        <v>32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32</v>
      </c>
      <c r="K3576" s="3">
        <f>I3576-J3576</f>
        <v>16</v>
      </c>
      <c r="L3576" s="3" t="str">
        <f t="shared" si="401"/>
        <v>MUITO BOM</v>
      </c>
      <c r="M3576">
        <v>39</v>
      </c>
      <c r="N3576">
        <v>88.68</v>
      </c>
      <c r="O3576">
        <v>22.03389830508474</v>
      </c>
    </row>
    <row r="3577" spans="1:15" customFormat="1" hidden="1" x14ac:dyDescent="0.25">
      <c r="A3577" s="11">
        <v>46113</v>
      </c>
      <c r="B3577" t="s">
        <v>62</v>
      </c>
      <c r="C3577" t="s">
        <v>23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21</v>
      </c>
      <c r="K3577" s="3">
        <f>I3577-J3577</f>
        <v>3</v>
      </c>
      <c r="L3577" s="3" t="str">
        <f t="shared" si="401"/>
        <v>OPORTUNO</v>
      </c>
      <c r="M3577">
        <v>27</v>
      </c>
      <c r="N3577">
        <v>97.37</v>
      </c>
      <c r="O3577">
        <v>25.76530612244898</v>
      </c>
    </row>
    <row r="3578" spans="1:15" customFormat="1" hidden="1" x14ac:dyDescent="0.25">
      <c r="A3578" s="11">
        <v>46113</v>
      </c>
      <c r="B3578" t="s">
        <v>19</v>
      </c>
      <c r="C3578" t="s">
        <v>16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 t="shared" si="401"/>
        <v>OPORTUNO</v>
      </c>
      <c r="M3578">
        <v>0</v>
      </c>
      <c r="N3578">
        <v>100</v>
      </c>
      <c r="O3578">
        <v>25</v>
      </c>
    </row>
    <row r="3579" spans="1:15" customFormat="1" hidden="1" x14ac:dyDescent="0.25">
      <c r="A3579" s="11">
        <v>46113</v>
      </c>
      <c r="B3579" t="s">
        <v>43</v>
      </c>
      <c r="C3579" t="s">
        <v>32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ref="I3579:I3591" si="408">E3579+G3579+H3579</f>
        <v>48</v>
      </c>
      <c r="J3579" s="3">
        <f t="shared" ref="J3579:J3591" si="409"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 t="shared" ref="K3579:K3591" si="410">I3579-J3579</f>
        <v>16</v>
      </c>
      <c r="L3579" s="3" t="str">
        <f t="shared" ref="L3579:L3642" si="411">IF(K3579&lt;-5,"CRÍTICO",IF(K3579&lt;0,"ATENÇÃO",IF(K3579&lt;=5,"OPORTUNO","MUITO BOM")))</f>
        <v>MUITO BOM</v>
      </c>
      <c r="M3579">
        <v>47</v>
      </c>
      <c r="N3579">
        <v>100</v>
      </c>
      <c r="O3579">
        <v>23.9870340356564</v>
      </c>
    </row>
    <row r="3580" spans="1:15" customFormat="1" hidden="1" x14ac:dyDescent="0.25">
      <c r="A3580" s="11">
        <v>46113</v>
      </c>
      <c r="B3580" t="s">
        <v>44</v>
      </c>
      <c r="C3580" t="s">
        <v>32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408"/>
        <v>31</v>
      </c>
      <c r="J3580" s="3">
        <f t="shared" si="409"/>
        <v>32</v>
      </c>
      <c r="K3580" s="3">
        <f t="shared" si="410"/>
        <v>-1</v>
      </c>
      <c r="L3580" s="3" t="str">
        <f t="shared" si="411"/>
        <v>ATENÇÃO</v>
      </c>
      <c r="M3580">
        <v>25</v>
      </c>
      <c r="N3580">
        <v>95.49</v>
      </c>
      <c r="O3580">
        <v>28.370221327967808</v>
      </c>
    </row>
    <row r="3581" spans="1:15" customFormat="1" hidden="1" x14ac:dyDescent="0.25">
      <c r="A3581" s="11">
        <v>46113</v>
      </c>
      <c r="B3581" t="s">
        <v>20</v>
      </c>
      <c r="C3581" t="s">
        <v>16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408"/>
        <v>16</v>
      </c>
      <c r="J3581" s="3">
        <f t="shared" si="409"/>
        <v>9</v>
      </c>
      <c r="K3581" s="3">
        <f t="shared" si="410"/>
        <v>7</v>
      </c>
      <c r="L3581" s="3" t="str">
        <f t="shared" si="411"/>
        <v>MUITO BOM</v>
      </c>
      <c r="M3581">
        <v>9</v>
      </c>
      <c r="N3581">
        <v>100</v>
      </c>
      <c r="O3581">
        <v>23.77622377622378</v>
      </c>
    </row>
    <row r="3582" spans="1:15" customFormat="1" hidden="1" x14ac:dyDescent="0.25">
      <c r="A3582" s="11">
        <v>46113</v>
      </c>
      <c r="B3582" t="s">
        <v>28</v>
      </c>
      <c r="C3582" t="s">
        <v>26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408"/>
        <v>23</v>
      </c>
      <c r="J3582" s="3">
        <f t="shared" si="409"/>
        <v>18</v>
      </c>
      <c r="K3582" s="3">
        <f t="shared" si="410"/>
        <v>5</v>
      </c>
      <c r="L3582" s="3" t="str">
        <f t="shared" si="411"/>
        <v>OPORTUNO</v>
      </c>
      <c r="M3582">
        <v>11</v>
      </c>
      <c r="N3582">
        <v>96.15</v>
      </c>
      <c r="O3582">
        <v>24.045801526717561</v>
      </c>
    </row>
    <row r="3583" spans="1:15" customFormat="1" hidden="1" x14ac:dyDescent="0.25">
      <c r="A3583" s="11">
        <v>46113</v>
      </c>
      <c r="B3583" t="s">
        <v>58</v>
      </c>
      <c r="C3583" t="s">
        <v>48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408"/>
        <v>21</v>
      </c>
      <c r="J3583" s="3">
        <f t="shared" si="409"/>
        <v>25</v>
      </c>
      <c r="K3583" s="3">
        <f t="shared" si="410"/>
        <v>-4</v>
      </c>
      <c r="L3583" s="3" t="str">
        <f t="shared" si="411"/>
        <v>ATENÇÃO</v>
      </c>
      <c r="M3583">
        <v>19</v>
      </c>
      <c r="N3583">
        <v>99.02</v>
      </c>
      <c r="O3583">
        <v>34.797297297297298</v>
      </c>
    </row>
    <row r="3584" spans="1:15" customFormat="1" hidden="1" x14ac:dyDescent="0.25">
      <c r="A3584" s="11">
        <v>46113</v>
      </c>
      <c r="B3584" t="s">
        <v>29</v>
      </c>
      <c r="C3584" t="s">
        <v>26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408"/>
        <v>21</v>
      </c>
      <c r="J3584" s="3">
        <f t="shared" si="409"/>
        <v>18</v>
      </c>
      <c r="K3584" s="3">
        <f t="shared" si="410"/>
        <v>3</v>
      </c>
      <c r="L3584" s="3" t="str">
        <f t="shared" si="411"/>
        <v>OPORTUNO</v>
      </c>
      <c r="M3584">
        <v>16</v>
      </c>
      <c r="N3584">
        <v>98.84</v>
      </c>
      <c r="O3584">
        <v>31.868131868131869</v>
      </c>
    </row>
    <row r="3585" spans="1:15" customFormat="1" hidden="1" x14ac:dyDescent="0.25">
      <c r="A3585" s="11">
        <v>46113</v>
      </c>
      <c r="B3585" t="s">
        <v>30</v>
      </c>
      <c r="C3585" t="s">
        <v>26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408"/>
        <v>19</v>
      </c>
      <c r="J3585" s="3">
        <f t="shared" si="409"/>
        <v>18</v>
      </c>
      <c r="K3585" s="3">
        <f t="shared" si="410"/>
        <v>1</v>
      </c>
      <c r="L3585" s="3" t="str">
        <f t="shared" si="411"/>
        <v>OPORTUNO</v>
      </c>
      <c r="M3585">
        <v>18</v>
      </c>
      <c r="N3585">
        <v>100</v>
      </c>
      <c r="O3585">
        <v>34.666666666666671</v>
      </c>
    </row>
    <row r="3586" spans="1:15" customFormat="1" hidden="1" x14ac:dyDescent="0.25">
      <c r="A3586" s="11">
        <v>46113</v>
      </c>
      <c r="B3586" t="s">
        <v>21</v>
      </c>
      <c r="C3586" t="s">
        <v>16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408"/>
        <v>10</v>
      </c>
      <c r="J3586" s="3">
        <f t="shared" si="409"/>
        <v>9</v>
      </c>
      <c r="K3586" s="3">
        <f t="shared" si="410"/>
        <v>1</v>
      </c>
      <c r="L3586" s="3" t="str">
        <f t="shared" si="411"/>
        <v>OPORTUNO</v>
      </c>
      <c r="M3586">
        <v>9</v>
      </c>
      <c r="N3586">
        <v>94.12</v>
      </c>
      <c r="O3586">
        <v>32.799999999999997</v>
      </c>
    </row>
    <row r="3587" spans="1:15" customFormat="1" hidden="1" x14ac:dyDescent="0.25">
      <c r="A3587" s="11">
        <v>46113</v>
      </c>
      <c r="B3587" t="s">
        <v>63</v>
      </c>
      <c r="C3587" t="s">
        <v>23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408"/>
        <v>32</v>
      </c>
      <c r="J3587" s="3">
        <f t="shared" si="409"/>
        <v>21</v>
      </c>
      <c r="K3587" s="3">
        <f t="shared" si="410"/>
        <v>11</v>
      </c>
      <c r="L3587" s="3" t="str">
        <f t="shared" si="411"/>
        <v>MUITO BOM</v>
      </c>
      <c r="M3587">
        <v>28</v>
      </c>
      <c r="N3587">
        <v>98.32</v>
      </c>
      <c r="O3587">
        <v>26.858513189448441</v>
      </c>
    </row>
    <row r="3588" spans="1:15" customFormat="1" hidden="1" x14ac:dyDescent="0.25">
      <c r="A3588" s="11">
        <v>46113</v>
      </c>
      <c r="B3588" t="s">
        <v>45</v>
      </c>
      <c r="C3588" t="s">
        <v>32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408"/>
        <v>42</v>
      </c>
      <c r="J3588" s="3">
        <f t="shared" si="409"/>
        <v>32</v>
      </c>
      <c r="K3588" s="3">
        <f t="shared" si="410"/>
        <v>10</v>
      </c>
      <c r="L3588" s="3" t="str">
        <f t="shared" si="411"/>
        <v>MUITO BOM</v>
      </c>
      <c r="M3588">
        <v>37</v>
      </c>
      <c r="N3588">
        <v>100</v>
      </c>
      <c r="O3588">
        <v>31.135531135531139</v>
      </c>
    </row>
    <row r="3589" spans="1:15" customFormat="1" hidden="1" x14ac:dyDescent="0.25">
      <c r="A3589" s="11">
        <v>46113</v>
      </c>
      <c r="B3589" t="s">
        <v>64</v>
      </c>
      <c r="C3589" t="s">
        <v>23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408"/>
        <v>24</v>
      </c>
      <c r="J3589" s="3">
        <f t="shared" si="409"/>
        <v>21</v>
      </c>
      <c r="K3589" s="3">
        <f t="shared" si="410"/>
        <v>3</v>
      </c>
      <c r="L3589" s="3" t="str">
        <f t="shared" si="411"/>
        <v>OPORTUNO</v>
      </c>
      <c r="M3589">
        <v>26</v>
      </c>
      <c r="N3589">
        <v>100</v>
      </c>
      <c r="O3589">
        <v>26.36986301369863</v>
      </c>
    </row>
    <row r="3590" spans="1:15" customFormat="1" hidden="1" x14ac:dyDescent="0.25">
      <c r="A3590" s="11">
        <v>46113</v>
      </c>
      <c r="B3590" t="s">
        <v>46</v>
      </c>
      <c r="C3590" t="s">
        <v>32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408"/>
        <v>31</v>
      </c>
      <c r="J3590" s="3">
        <f t="shared" si="409"/>
        <v>32</v>
      </c>
      <c r="K3590" s="3">
        <f t="shared" si="410"/>
        <v>-1</v>
      </c>
      <c r="L3590" s="3" t="str">
        <f t="shared" si="411"/>
        <v>ATENÇÃO</v>
      </c>
      <c r="M3590">
        <v>31</v>
      </c>
      <c r="N3590">
        <v>99.21</v>
      </c>
      <c r="O3590">
        <v>25.188916876574311</v>
      </c>
    </row>
    <row r="3591" spans="1:15" customFormat="1" hidden="1" x14ac:dyDescent="0.25">
      <c r="A3591" s="11">
        <v>46114</v>
      </c>
      <c r="B3591" t="s">
        <v>47</v>
      </c>
      <c r="C3591" t="s">
        <v>48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408"/>
        <v>8</v>
      </c>
      <c r="J3591" s="3">
        <f t="shared" si="409"/>
        <v>27</v>
      </c>
      <c r="K3591" s="3">
        <f t="shared" si="410"/>
        <v>-19</v>
      </c>
      <c r="L3591" s="3" t="str">
        <f t="shared" si="411"/>
        <v>CRÍTICO</v>
      </c>
      <c r="M3591">
        <v>4</v>
      </c>
      <c r="N3591">
        <v>100</v>
      </c>
      <c r="O3591">
        <v>32.764505119453922</v>
      </c>
    </row>
    <row r="3592" spans="1:15" customFormat="1" hidden="1" x14ac:dyDescent="0.25">
      <c r="A3592" s="11">
        <v>46114</v>
      </c>
      <c r="B3592" t="s">
        <v>31</v>
      </c>
      <c r="C3592" t="s">
        <v>32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 t="shared" si="411"/>
        <v>OPORTUNO</v>
      </c>
      <c r="M3592">
        <v>31</v>
      </c>
      <c r="N3592">
        <v>98.66</v>
      </c>
      <c r="O3592">
        <v>35.416666666666671</v>
      </c>
    </row>
    <row r="3593" spans="1:15" customFormat="1" hidden="1" x14ac:dyDescent="0.25">
      <c r="A3593" s="11">
        <v>46114</v>
      </c>
      <c r="B3593" t="s">
        <v>59</v>
      </c>
      <c r="C3593" t="s">
        <v>23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ref="I3593:I3600" si="412">E3593+G3593+H3593</f>
        <v>35</v>
      </c>
      <c r="J3593" s="3">
        <f t="shared" ref="J3593:J3600" si="413"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22</v>
      </c>
      <c r="K3593" s="3">
        <f t="shared" ref="K3593:K3600" si="414">I3593-J3593</f>
        <v>13</v>
      </c>
      <c r="L3593" s="3" t="str">
        <f t="shared" si="411"/>
        <v>MUITO BOM</v>
      </c>
      <c r="M3593">
        <v>31</v>
      </c>
      <c r="N3593">
        <v>99.32</v>
      </c>
      <c r="O3593">
        <v>30.648330058939099</v>
      </c>
    </row>
    <row r="3594" spans="1:15" customFormat="1" hidden="1" x14ac:dyDescent="0.25">
      <c r="A3594" s="11">
        <v>46114</v>
      </c>
      <c r="B3594" t="s">
        <v>33</v>
      </c>
      <c r="C3594" t="s">
        <v>32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412"/>
        <v>28</v>
      </c>
      <c r="J3594" s="3">
        <f t="shared" si="413"/>
        <v>34</v>
      </c>
      <c r="K3594" s="3">
        <f t="shared" si="414"/>
        <v>-6</v>
      </c>
      <c r="L3594" s="3" t="str">
        <f t="shared" si="411"/>
        <v>CRÍTICO</v>
      </c>
      <c r="M3594">
        <v>32</v>
      </c>
      <c r="N3594">
        <v>100</v>
      </c>
      <c r="O3594">
        <v>27.803738317757009</v>
      </c>
    </row>
    <row r="3595" spans="1:15" customFormat="1" hidden="1" x14ac:dyDescent="0.25">
      <c r="A3595" s="11">
        <v>46114</v>
      </c>
      <c r="B3595" t="s">
        <v>15</v>
      </c>
      <c r="C3595" t="s">
        <v>16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412"/>
        <v>13</v>
      </c>
      <c r="J3595" s="3">
        <f t="shared" si="413"/>
        <v>10</v>
      </c>
      <c r="K3595" s="3">
        <f t="shared" si="414"/>
        <v>3</v>
      </c>
      <c r="L3595" s="3" t="str">
        <f t="shared" si="411"/>
        <v>OPORTUNO</v>
      </c>
      <c r="M3595">
        <v>12</v>
      </c>
      <c r="N3595">
        <v>96.74</v>
      </c>
      <c r="O3595">
        <v>28.67647058823529</v>
      </c>
    </row>
    <row r="3596" spans="1:15" customFormat="1" hidden="1" x14ac:dyDescent="0.25">
      <c r="A3596" s="11">
        <v>46114</v>
      </c>
      <c r="B3596" t="s">
        <v>49</v>
      </c>
      <c r="C3596" t="s">
        <v>48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412"/>
        <v>31</v>
      </c>
      <c r="J3596" s="3">
        <f t="shared" si="413"/>
        <v>27</v>
      </c>
      <c r="K3596" s="3">
        <f t="shared" si="414"/>
        <v>4</v>
      </c>
      <c r="L3596" s="3" t="str">
        <f t="shared" si="411"/>
        <v>OPORTUNO</v>
      </c>
      <c r="M3596">
        <v>37</v>
      </c>
      <c r="N3596">
        <v>98.82</v>
      </c>
      <c r="O3596">
        <v>30.741410488245929</v>
      </c>
    </row>
    <row r="3597" spans="1:15" customFormat="1" hidden="1" x14ac:dyDescent="0.25">
      <c r="A3597" s="11">
        <v>46114</v>
      </c>
      <c r="B3597" t="s">
        <v>50</v>
      </c>
      <c r="C3597" t="s">
        <v>48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412"/>
        <v>28</v>
      </c>
      <c r="J3597" s="3">
        <f t="shared" si="413"/>
        <v>27</v>
      </c>
      <c r="K3597" s="3">
        <f t="shared" si="414"/>
        <v>1</v>
      </c>
      <c r="L3597" s="3" t="str">
        <f t="shared" si="411"/>
        <v>OPORTUNO</v>
      </c>
      <c r="M3597">
        <v>27</v>
      </c>
      <c r="N3597">
        <v>98.2</v>
      </c>
      <c r="O3597">
        <v>27.170868347338931</v>
      </c>
    </row>
    <row r="3598" spans="1:15" customFormat="1" hidden="1" x14ac:dyDescent="0.25">
      <c r="A3598" s="11">
        <v>46114</v>
      </c>
      <c r="B3598" t="s">
        <v>17</v>
      </c>
      <c r="C3598" t="s">
        <v>16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412"/>
        <v>10</v>
      </c>
      <c r="J3598" s="3">
        <f t="shared" si="413"/>
        <v>10</v>
      </c>
      <c r="K3598" s="3">
        <f t="shared" si="414"/>
        <v>0</v>
      </c>
      <c r="L3598" s="3" t="str">
        <f t="shared" si="411"/>
        <v>OPORTUNO</v>
      </c>
      <c r="M3598">
        <v>10</v>
      </c>
      <c r="N3598">
        <v>100</v>
      </c>
      <c r="O3598">
        <v>23.134328358208951</v>
      </c>
    </row>
    <row r="3599" spans="1:15" customFormat="1" hidden="1" x14ac:dyDescent="0.25">
      <c r="A3599" s="11">
        <v>46114</v>
      </c>
      <c r="B3599" t="s">
        <v>60</v>
      </c>
      <c r="C3599" t="s">
        <v>23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412"/>
        <v>21</v>
      </c>
      <c r="J3599" s="3">
        <f t="shared" si="413"/>
        <v>22</v>
      </c>
      <c r="K3599" s="3">
        <f t="shared" si="414"/>
        <v>-1</v>
      </c>
      <c r="L3599" s="3" t="str">
        <f t="shared" si="411"/>
        <v>ATENÇÃO</v>
      </c>
      <c r="M3599">
        <v>25</v>
      </c>
      <c r="N3599">
        <v>96.3</v>
      </c>
      <c r="O3599">
        <v>32.219570405727922</v>
      </c>
    </row>
    <row r="3600" spans="1:15" customFormat="1" hidden="1" x14ac:dyDescent="0.25">
      <c r="A3600" s="11">
        <v>46114</v>
      </c>
      <c r="B3600" t="s">
        <v>34</v>
      </c>
      <c r="C3600" t="s">
        <v>32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412"/>
        <v>42</v>
      </c>
      <c r="J3600" s="3">
        <f t="shared" si="413"/>
        <v>34</v>
      </c>
      <c r="K3600" s="3">
        <f t="shared" si="414"/>
        <v>8</v>
      </c>
      <c r="L3600" s="3" t="str">
        <f t="shared" si="411"/>
        <v>MUITO BOM</v>
      </c>
      <c r="M3600">
        <v>33</v>
      </c>
      <c r="N3600">
        <v>93.75</v>
      </c>
      <c r="O3600">
        <v>26.819923371647509</v>
      </c>
    </row>
    <row r="3601" spans="1:16" hidden="1" x14ac:dyDescent="0.25">
      <c r="A3601" s="11">
        <v>46114</v>
      </c>
      <c r="B3601" t="s">
        <v>51</v>
      </c>
      <c r="C3601" t="s">
        <v>48</v>
      </c>
      <c r="D3601">
        <v>25</v>
      </c>
      <c r="E3601">
        <v>21</v>
      </c>
      <c r="F3601">
        <v>23.35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 t="shared" si="411"/>
        <v>OPORTUNO</v>
      </c>
      <c r="M3601">
        <v>21</v>
      </c>
      <c r="N3601">
        <v>97.86</v>
      </c>
      <c r="O3601">
        <v>31.018518518518519</v>
      </c>
      <c r="P3601"/>
    </row>
    <row r="3602" spans="1:16" hidden="1" x14ac:dyDescent="0.25">
      <c r="A3602" s="11">
        <v>46114</v>
      </c>
      <c r="B3602" t="s">
        <v>61</v>
      </c>
      <c r="C3602" t="s">
        <v>23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22</v>
      </c>
      <c r="K3602" s="3">
        <f>I3602-J3602</f>
        <v>-4</v>
      </c>
      <c r="L3602" s="3" t="str">
        <f t="shared" si="411"/>
        <v>ATENÇÃO</v>
      </c>
      <c r="M3602">
        <v>6</v>
      </c>
      <c r="N3602">
        <v>100</v>
      </c>
      <c r="O3602">
        <v>36.594202898550733</v>
      </c>
      <c r="P3602"/>
    </row>
    <row r="3603" spans="1:16" hidden="1" x14ac:dyDescent="0.25">
      <c r="A3603" s="11">
        <v>46114</v>
      </c>
      <c r="B3603" t="s">
        <v>35</v>
      </c>
      <c r="C3603" t="s">
        <v>32</v>
      </c>
      <c r="D3603">
        <v>35</v>
      </c>
      <c r="E3603">
        <v>33</v>
      </c>
      <c r="F3603">
        <v>18.2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 t="shared" si="411"/>
        <v>OPORTUNO</v>
      </c>
      <c r="M3603">
        <v>33</v>
      </c>
      <c r="N3603">
        <v>100</v>
      </c>
      <c r="O3603">
        <v>38.653846153846153</v>
      </c>
      <c r="P3603"/>
    </row>
    <row r="3604" spans="1:16" hidden="1" x14ac:dyDescent="0.25">
      <c r="A3604" s="11">
        <v>46114</v>
      </c>
      <c r="B3604" t="s">
        <v>18</v>
      </c>
      <c r="C3604" t="s">
        <v>16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10</v>
      </c>
      <c r="K3604" s="3">
        <f>I3604-J3604</f>
        <v>-4</v>
      </c>
      <c r="L3604" s="3" t="str">
        <f t="shared" si="411"/>
        <v>ATENÇÃO</v>
      </c>
      <c r="M3604">
        <v>5</v>
      </c>
      <c r="N3604">
        <v>100</v>
      </c>
      <c r="O3604">
        <v>27.368421052631579</v>
      </c>
      <c r="P3604"/>
    </row>
    <row r="3605" spans="1:16" hidden="1" x14ac:dyDescent="0.25">
      <c r="A3605" s="11">
        <v>46114</v>
      </c>
      <c r="B3605" t="s">
        <v>52</v>
      </c>
      <c r="C3605" t="s">
        <v>48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27</v>
      </c>
      <c r="K3605" s="3">
        <f>I3605-J3605</f>
        <v>4</v>
      </c>
      <c r="L3605" s="3" t="str">
        <f t="shared" si="411"/>
        <v>OPORTUNO</v>
      </c>
      <c r="M3605">
        <v>24</v>
      </c>
      <c r="N3605">
        <v>97.83</v>
      </c>
      <c r="O3605">
        <v>28.35164835164835</v>
      </c>
      <c r="P3605"/>
    </row>
    <row r="3606" spans="1:16" hidden="1" x14ac:dyDescent="0.25">
      <c r="A3606" s="11">
        <v>46114</v>
      </c>
      <c r="B3606" t="s">
        <v>36</v>
      </c>
      <c r="C3606" t="s">
        <v>32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34</v>
      </c>
      <c r="K3606" s="3">
        <f>I3606-J3606</f>
        <v>-8</v>
      </c>
      <c r="L3606" s="3" t="str">
        <f t="shared" si="411"/>
        <v>CRÍTICO</v>
      </c>
      <c r="M3606">
        <v>26</v>
      </c>
      <c r="N3606">
        <v>99.26</v>
      </c>
      <c r="O3606">
        <v>29.766536964980549</v>
      </c>
      <c r="P3606"/>
    </row>
    <row r="3607" spans="1:16" hidden="1" x14ac:dyDescent="0.25">
      <c r="A3607" s="11">
        <v>46114</v>
      </c>
      <c r="B3607" t="s">
        <v>53</v>
      </c>
      <c r="C3607" t="s">
        <v>48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27</v>
      </c>
      <c r="K3607" s="3">
        <f>I3607-J3607</f>
        <v>6</v>
      </c>
      <c r="L3607" s="3" t="str">
        <f t="shared" si="411"/>
        <v>MUITO BOM</v>
      </c>
      <c r="M3607">
        <v>29</v>
      </c>
      <c r="N3607">
        <v>99.19</v>
      </c>
      <c r="O3607">
        <v>29.462365591397852</v>
      </c>
      <c r="P3607"/>
    </row>
    <row r="3608" spans="1:16" hidden="1" x14ac:dyDescent="0.25">
      <c r="A3608" s="11">
        <v>46167</v>
      </c>
      <c r="B3608" t="s">
        <v>49</v>
      </c>
      <c r="C3608" t="s">
        <v>48</v>
      </c>
      <c r="D3608" s="3">
        <v>35</v>
      </c>
      <c r="E3608" s="3">
        <v>31</v>
      </c>
      <c r="F3608" s="3">
        <v>10.11</v>
      </c>
      <c r="G3608" s="3">
        <v>0</v>
      </c>
      <c r="H3608" s="3">
        <v>0</v>
      </c>
      <c r="I3608" s="3">
        <v>0</v>
      </c>
      <c r="J3608" s="3">
        <v>0</v>
      </c>
      <c r="K3608" s="3">
        <v>0</v>
      </c>
      <c r="L3608" s="3" t="str">
        <f t="shared" si="411"/>
        <v>OPORTUNO</v>
      </c>
      <c r="M3608" s="3">
        <v>30</v>
      </c>
      <c r="N3608" s="3">
        <v>99.35</v>
      </c>
      <c r="O3608" s="3">
        <v>19.852941176470591</v>
      </c>
    </row>
    <row r="3609" spans="1:16" hidden="1" x14ac:dyDescent="0.25">
      <c r="A3609" s="11">
        <v>46114</v>
      </c>
      <c r="B3609" t="s">
        <v>54</v>
      </c>
      <c r="C3609" t="s">
        <v>48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7</v>
      </c>
      <c r="L3609" s="3" t="str">
        <f t="shared" si="411"/>
        <v>MUITO BOM</v>
      </c>
      <c r="M3609">
        <v>30</v>
      </c>
      <c r="N3609">
        <v>100</v>
      </c>
      <c r="O3609">
        <v>28.921568627450981</v>
      </c>
      <c r="P3609"/>
    </row>
    <row r="3610" spans="1:16" hidden="1" x14ac:dyDescent="0.25">
      <c r="A3610" s="11">
        <v>46114</v>
      </c>
      <c r="B3610" t="s">
        <v>37</v>
      </c>
      <c r="C3610" t="s">
        <v>32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16</v>
      </c>
      <c r="L3610" s="3" t="str">
        <f t="shared" si="411"/>
        <v>MUITO BOM</v>
      </c>
      <c r="M3610">
        <v>49</v>
      </c>
      <c r="N3610">
        <v>99.57</v>
      </c>
      <c r="O3610">
        <v>30.635838150289018</v>
      </c>
      <c r="P3610"/>
    </row>
    <row r="3611" spans="1:16" hidden="1" x14ac:dyDescent="0.25">
      <c r="A3611" s="11">
        <v>46114</v>
      </c>
      <c r="B3611" t="s">
        <v>38</v>
      </c>
      <c r="C3611" t="s">
        <v>32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34</v>
      </c>
      <c r="K3611" s="3">
        <f>I3611-J3611</f>
        <v>-22</v>
      </c>
      <c r="L3611" s="3" t="str">
        <f t="shared" si="411"/>
        <v>CRÍTICO</v>
      </c>
      <c r="M3611">
        <v>10</v>
      </c>
      <c r="N3611">
        <v>95.65</v>
      </c>
      <c r="O3611">
        <v>32.432432432432442</v>
      </c>
      <c r="P3611"/>
    </row>
    <row r="3612" spans="1:16" hidden="1" x14ac:dyDescent="0.25">
      <c r="A3612" s="11">
        <v>46114</v>
      </c>
      <c r="B3612" t="s">
        <v>55</v>
      </c>
      <c r="C3612" t="s">
        <v>48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27</v>
      </c>
      <c r="K3612" s="3">
        <f>I3612-J3612</f>
        <v>-9</v>
      </c>
      <c r="L3612" s="3" t="str">
        <f t="shared" si="411"/>
        <v>CRÍTICO</v>
      </c>
      <c r="M3612">
        <v>15</v>
      </c>
      <c r="N3612">
        <v>98.81</v>
      </c>
      <c r="O3612">
        <v>26.256983240223459</v>
      </c>
      <c r="P3612"/>
    </row>
    <row r="3613" spans="1:16" hidden="1" x14ac:dyDescent="0.25">
      <c r="A3613" s="11">
        <v>46114</v>
      </c>
      <c r="B3613" t="s">
        <v>39</v>
      </c>
      <c r="C3613" t="s">
        <v>32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 t="shared" si="411"/>
        <v>OPORTUNO</v>
      </c>
      <c r="M3613">
        <v>0</v>
      </c>
      <c r="N3613">
        <v>0</v>
      </c>
      <c r="O3613">
        <v>0</v>
      </c>
      <c r="P3613"/>
    </row>
    <row r="3614" spans="1:16" hidden="1" x14ac:dyDescent="0.25">
      <c r="A3614" s="11">
        <v>46114</v>
      </c>
      <c r="B3614" t="s">
        <v>25</v>
      </c>
      <c r="C3614" t="s">
        <v>26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19</v>
      </c>
      <c r="K3614" s="3">
        <f>I3614-J3614</f>
        <v>3</v>
      </c>
      <c r="L3614" s="3" t="str">
        <f t="shared" si="411"/>
        <v>OPORTUNO</v>
      </c>
      <c r="M3614">
        <v>20</v>
      </c>
      <c r="N3614">
        <v>97.17</v>
      </c>
      <c r="O3614">
        <v>28.81844380403458</v>
      </c>
      <c r="P3614"/>
    </row>
    <row r="3615" spans="1:16" hidden="1" x14ac:dyDescent="0.25">
      <c r="A3615" s="11">
        <v>46114</v>
      </c>
      <c r="B3615" t="s">
        <v>40</v>
      </c>
      <c r="C3615" t="s">
        <v>32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34</v>
      </c>
      <c r="K3615" s="3">
        <f>I3615-J3615</f>
        <v>-28</v>
      </c>
      <c r="L3615" s="3" t="str">
        <f t="shared" si="411"/>
        <v>CRÍTICO</v>
      </c>
      <c r="M3615">
        <v>6</v>
      </c>
      <c r="N3615">
        <v>96.81</v>
      </c>
      <c r="O3615">
        <v>48.018648018648022</v>
      </c>
      <c r="P3615"/>
    </row>
    <row r="3616" spans="1:16" hidden="1" x14ac:dyDescent="0.25">
      <c r="A3616" s="11">
        <v>46114</v>
      </c>
      <c r="B3616" t="s">
        <v>27</v>
      </c>
      <c r="C3616" t="s">
        <v>26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19</v>
      </c>
      <c r="K3616" s="3">
        <f>I3616-J3616</f>
        <v>2</v>
      </c>
      <c r="L3616" s="3" t="str">
        <f t="shared" si="411"/>
        <v>OPORTUNO</v>
      </c>
      <c r="M3616">
        <v>19</v>
      </c>
      <c r="N3616">
        <v>98.15</v>
      </c>
      <c r="O3616">
        <v>27.1551724137931</v>
      </c>
      <c r="P3616"/>
    </row>
    <row r="3617" spans="1:15" customFormat="1" hidden="1" x14ac:dyDescent="0.25">
      <c r="A3617" s="11">
        <v>46114</v>
      </c>
      <c r="B3617" t="s">
        <v>41</v>
      </c>
      <c r="C3617" t="s">
        <v>32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4</v>
      </c>
      <c r="L3617" s="3" t="str">
        <f t="shared" si="411"/>
        <v>OPORTUNO</v>
      </c>
      <c r="M3617">
        <v>35</v>
      </c>
      <c r="N3617">
        <v>99.15</v>
      </c>
      <c r="O3617">
        <v>27.586206896551719</v>
      </c>
    </row>
    <row r="3618" spans="1:15" customFormat="1" hidden="1" x14ac:dyDescent="0.25">
      <c r="A3618" s="11">
        <v>46114</v>
      </c>
      <c r="B3618" t="s">
        <v>56</v>
      </c>
      <c r="C3618" t="s">
        <v>48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27</v>
      </c>
      <c r="K3618" s="3">
        <f>I3618-J3618</f>
        <v>8</v>
      </c>
      <c r="L3618" s="3" t="str">
        <f t="shared" si="411"/>
        <v>MUITO BOM</v>
      </c>
      <c r="M3618">
        <v>20</v>
      </c>
      <c r="N3618">
        <v>99.17</v>
      </c>
      <c r="O3618">
        <v>29.75206611570248</v>
      </c>
    </row>
    <row r="3619" spans="1:15" customFormat="1" hidden="1" x14ac:dyDescent="0.25">
      <c r="A3619" s="11">
        <v>46114</v>
      </c>
      <c r="B3619" t="s">
        <v>57</v>
      </c>
      <c r="C3619" t="s">
        <v>48</v>
      </c>
      <c r="D3619">
        <v>45</v>
      </c>
      <c r="E3619">
        <v>42</v>
      </c>
      <c r="F3619">
        <v>16.47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 t="shared" si="411"/>
        <v>OPORTUNO</v>
      </c>
      <c r="M3619">
        <v>39</v>
      </c>
      <c r="N3619">
        <v>98.73</v>
      </c>
      <c r="O3619">
        <v>28.961748633879779</v>
      </c>
    </row>
    <row r="3620" spans="1:15" customFormat="1" hidden="1" x14ac:dyDescent="0.25">
      <c r="A3620" s="11">
        <v>46114</v>
      </c>
      <c r="B3620" t="s">
        <v>42</v>
      </c>
      <c r="C3620" t="s">
        <v>32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ref="I3620:I3634" si="415">E3620+G3620+H3620</f>
        <v>32</v>
      </c>
      <c r="J3620" s="3">
        <f t="shared" ref="J3620:J3634" si="416"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34</v>
      </c>
      <c r="K3620" s="3">
        <f t="shared" ref="K3620:K3634" si="417">I3620-J3620</f>
        <v>-2</v>
      </c>
      <c r="L3620" s="3" t="str">
        <f t="shared" si="411"/>
        <v>ATENÇÃO</v>
      </c>
      <c r="M3620">
        <v>27</v>
      </c>
      <c r="N3620">
        <v>88.68</v>
      </c>
      <c r="O3620">
        <v>22.03389830508474</v>
      </c>
    </row>
    <row r="3621" spans="1:15" customFormat="1" hidden="1" x14ac:dyDescent="0.25">
      <c r="A3621" s="11">
        <v>46114</v>
      </c>
      <c r="B3621" t="s">
        <v>62</v>
      </c>
      <c r="C3621" t="s">
        <v>23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415"/>
        <v>27</v>
      </c>
      <c r="J3621" s="3">
        <f t="shared" si="416"/>
        <v>22</v>
      </c>
      <c r="K3621" s="3">
        <f t="shared" si="417"/>
        <v>5</v>
      </c>
      <c r="L3621" s="3" t="str">
        <f t="shared" si="411"/>
        <v>OPORTUNO</v>
      </c>
      <c r="M3621">
        <v>28</v>
      </c>
      <c r="N3621">
        <v>97.37</v>
      </c>
      <c r="O3621">
        <v>25.76530612244898</v>
      </c>
    </row>
    <row r="3622" spans="1:15" customFormat="1" hidden="1" x14ac:dyDescent="0.25">
      <c r="A3622" s="11">
        <v>46114</v>
      </c>
      <c r="B3622" t="s">
        <v>19</v>
      </c>
      <c r="C3622" t="s">
        <v>16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415"/>
        <v>10</v>
      </c>
      <c r="J3622" s="3">
        <f t="shared" si="416"/>
        <v>10</v>
      </c>
      <c r="K3622" s="3">
        <f t="shared" si="417"/>
        <v>0</v>
      </c>
      <c r="L3622" s="3" t="str">
        <f t="shared" si="411"/>
        <v>OPORTUNO</v>
      </c>
      <c r="M3622">
        <v>7</v>
      </c>
      <c r="N3622">
        <v>100</v>
      </c>
      <c r="O3622">
        <v>25</v>
      </c>
    </row>
    <row r="3623" spans="1:15" customFormat="1" hidden="1" x14ac:dyDescent="0.25">
      <c r="A3623" s="11">
        <v>46114</v>
      </c>
      <c r="B3623" t="s">
        <v>43</v>
      </c>
      <c r="C3623" t="s">
        <v>32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415"/>
        <v>41</v>
      </c>
      <c r="J3623" s="3">
        <f t="shared" si="416"/>
        <v>34</v>
      </c>
      <c r="K3623" s="3">
        <f t="shared" si="417"/>
        <v>7</v>
      </c>
      <c r="L3623" s="3" t="str">
        <f t="shared" si="411"/>
        <v>MUITO BOM</v>
      </c>
      <c r="M3623">
        <v>37</v>
      </c>
      <c r="N3623">
        <v>100</v>
      </c>
      <c r="O3623">
        <v>23.9870340356564</v>
      </c>
    </row>
    <row r="3624" spans="1:15" customFormat="1" hidden="1" x14ac:dyDescent="0.25">
      <c r="A3624" s="11">
        <v>46114</v>
      </c>
      <c r="B3624" t="s">
        <v>44</v>
      </c>
      <c r="C3624" t="s">
        <v>32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415"/>
        <v>32</v>
      </c>
      <c r="J3624" s="3">
        <f t="shared" si="416"/>
        <v>34</v>
      </c>
      <c r="K3624" s="3">
        <f t="shared" si="417"/>
        <v>-2</v>
      </c>
      <c r="L3624" s="3" t="str">
        <f t="shared" si="411"/>
        <v>ATENÇÃO</v>
      </c>
      <c r="M3624">
        <v>29</v>
      </c>
      <c r="N3624">
        <v>95.49</v>
      </c>
      <c r="O3624">
        <v>28.370221327967808</v>
      </c>
    </row>
    <row r="3625" spans="1:15" customFormat="1" hidden="1" x14ac:dyDescent="0.25">
      <c r="A3625" s="11">
        <v>46114</v>
      </c>
      <c r="B3625" t="s">
        <v>20</v>
      </c>
      <c r="C3625" t="s">
        <v>16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415"/>
        <v>18</v>
      </c>
      <c r="J3625" s="3">
        <f t="shared" si="416"/>
        <v>10</v>
      </c>
      <c r="K3625" s="3">
        <f t="shared" si="417"/>
        <v>8</v>
      </c>
      <c r="L3625" s="3" t="str">
        <f t="shared" si="411"/>
        <v>MUITO BOM</v>
      </c>
      <c r="M3625">
        <v>11</v>
      </c>
      <c r="N3625">
        <v>100</v>
      </c>
      <c r="O3625">
        <v>23.77622377622378</v>
      </c>
    </row>
    <row r="3626" spans="1:15" customFormat="1" hidden="1" x14ac:dyDescent="0.25">
      <c r="A3626" s="11">
        <v>46114</v>
      </c>
      <c r="B3626" t="s">
        <v>28</v>
      </c>
      <c r="C3626" t="s">
        <v>26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415"/>
        <v>17</v>
      </c>
      <c r="J3626" s="3">
        <f t="shared" si="416"/>
        <v>19</v>
      </c>
      <c r="K3626" s="3">
        <f t="shared" si="417"/>
        <v>-2</v>
      </c>
      <c r="L3626" s="3" t="str">
        <f t="shared" si="411"/>
        <v>ATENÇÃO</v>
      </c>
      <c r="M3626">
        <v>16</v>
      </c>
      <c r="N3626">
        <v>96.15</v>
      </c>
      <c r="O3626">
        <v>24.045801526717561</v>
      </c>
    </row>
    <row r="3627" spans="1:15" customFormat="1" hidden="1" x14ac:dyDescent="0.25">
      <c r="A3627" s="11">
        <v>46114</v>
      </c>
      <c r="B3627" t="s">
        <v>58</v>
      </c>
      <c r="C3627" t="s">
        <v>48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415"/>
        <v>18</v>
      </c>
      <c r="J3627" s="3">
        <f t="shared" si="416"/>
        <v>27</v>
      </c>
      <c r="K3627" s="3">
        <f t="shared" si="417"/>
        <v>-9</v>
      </c>
      <c r="L3627" s="3" t="str">
        <f t="shared" si="411"/>
        <v>CRÍTICO</v>
      </c>
      <c r="M3627">
        <v>15</v>
      </c>
      <c r="N3627">
        <v>99.02</v>
      </c>
      <c r="O3627">
        <v>34.797297297297298</v>
      </c>
    </row>
    <row r="3628" spans="1:15" customFormat="1" hidden="1" x14ac:dyDescent="0.25">
      <c r="A3628" s="11">
        <v>46114</v>
      </c>
      <c r="B3628" t="s">
        <v>29</v>
      </c>
      <c r="C3628" t="s">
        <v>26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415"/>
        <v>21</v>
      </c>
      <c r="J3628" s="3">
        <f t="shared" si="416"/>
        <v>19</v>
      </c>
      <c r="K3628" s="3">
        <f t="shared" si="417"/>
        <v>2</v>
      </c>
      <c r="L3628" s="3" t="str">
        <f t="shared" si="411"/>
        <v>OPORTUNO</v>
      </c>
      <c r="M3628">
        <v>18</v>
      </c>
      <c r="N3628">
        <v>98.84</v>
      </c>
      <c r="O3628">
        <v>31.868131868131869</v>
      </c>
    </row>
    <row r="3629" spans="1:15" customFormat="1" hidden="1" x14ac:dyDescent="0.25">
      <c r="A3629" s="11">
        <v>46114</v>
      </c>
      <c r="B3629" t="s">
        <v>30</v>
      </c>
      <c r="C3629" t="s">
        <v>26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415"/>
        <v>17</v>
      </c>
      <c r="J3629" s="3">
        <f t="shared" si="416"/>
        <v>19</v>
      </c>
      <c r="K3629" s="3">
        <f t="shared" si="417"/>
        <v>-2</v>
      </c>
      <c r="L3629" s="3" t="str">
        <f t="shared" si="411"/>
        <v>ATENÇÃO</v>
      </c>
      <c r="M3629">
        <v>15</v>
      </c>
      <c r="N3629">
        <v>100</v>
      </c>
      <c r="O3629">
        <v>34.666666666666671</v>
      </c>
    </row>
    <row r="3630" spans="1:15" customFormat="1" hidden="1" x14ac:dyDescent="0.25">
      <c r="A3630" s="11">
        <v>46114</v>
      </c>
      <c r="B3630" t="s">
        <v>21</v>
      </c>
      <c r="C3630" t="s">
        <v>16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415"/>
        <v>7</v>
      </c>
      <c r="J3630" s="3">
        <f t="shared" si="416"/>
        <v>10</v>
      </c>
      <c r="K3630" s="3">
        <f t="shared" si="417"/>
        <v>-3</v>
      </c>
      <c r="L3630" s="3" t="str">
        <f t="shared" si="411"/>
        <v>ATENÇÃO</v>
      </c>
      <c r="M3630">
        <v>3</v>
      </c>
      <c r="N3630">
        <v>94.12</v>
      </c>
      <c r="O3630">
        <v>32.799999999999997</v>
      </c>
    </row>
    <row r="3631" spans="1:15" customFormat="1" hidden="1" x14ac:dyDescent="0.25">
      <c r="A3631" s="11">
        <v>46114</v>
      </c>
      <c r="B3631" t="s">
        <v>63</v>
      </c>
      <c r="C3631" t="s">
        <v>23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415"/>
        <v>29</v>
      </c>
      <c r="J3631" s="3">
        <f t="shared" si="416"/>
        <v>22</v>
      </c>
      <c r="K3631" s="3">
        <f t="shared" si="417"/>
        <v>7</v>
      </c>
      <c r="L3631" s="3" t="str">
        <f t="shared" si="411"/>
        <v>MUITO BOM</v>
      </c>
      <c r="M3631">
        <v>23</v>
      </c>
      <c r="N3631">
        <v>98.32</v>
      </c>
      <c r="O3631">
        <v>26.858513189448441</v>
      </c>
    </row>
    <row r="3632" spans="1:15" customFormat="1" hidden="1" x14ac:dyDescent="0.25">
      <c r="A3632" s="11">
        <v>46114</v>
      </c>
      <c r="B3632" t="s">
        <v>45</v>
      </c>
      <c r="C3632" t="s">
        <v>32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415"/>
        <v>38</v>
      </c>
      <c r="J3632" s="3">
        <f t="shared" si="416"/>
        <v>34</v>
      </c>
      <c r="K3632" s="3">
        <f t="shared" si="417"/>
        <v>4</v>
      </c>
      <c r="L3632" s="3" t="str">
        <f t="shared" si="411"/>
        <v>OPORTUNO</v>
      </c>
      <c r="M3632">
        <v>35</v>
      </c>
      <c r="N3632">
        <v>100</v>
      </c>
      <c r="O3632">
        <v>31.135531135531139</v>
      </c>
    </row>
    <row r="3633" spans="1:15" customFormat="1" hidden="1" x14ac:dyDescent="0.25">
      <c r="A3633" s="11">
        <v>46114</v>
      </c>
      <c r="B3633" t="s">
        <v>64</v>
      </c>
      <c r="C3633" t="s">
        <v>23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415"/>
        <v>18</v>
      </c>
      <c r="J3633" s="3">
        <f t="shared" si="416"/>
        <v>22</v>
      </c>
      <c r="K3633" s="3">
        <f t="shared" si="417"/>
        <v>-4</v>
      </c>
      <c r="L3633" s="3" t="str">
        <f t="shared" si="411"/>
        <v>ATENÇÃO</v>
      </c>
      <c r="M3633">
        <v>17</v>
      </c>
      <c r="N3633">
        <v>100</v>
      </c>
      <c r="O3633">
        <v>26.36986301369863</v>
      </c>
    </row>
    <row r="3634" spans="1:15" customFormat="1" hidden="1" x14ac:dyDescent="0.25">
      <c r="A3634" s="11">
        <v>46114</v>
      </c>
      <c r="B3634" t="s">
        <v>46</v>
      </c>
      <c r="C3634" t="s">
        <v>32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415"/>
        <v>32</v>
      </c>
      <c r="J3634" s="3">
        <f t="shared" si="416"/>
        <v>34</v>
      </c>
      <c r="K3634" s="3">
        <f t="shared" si="417"/>
        <v>-2</v>
      </c>
      <c r="L3634" s="3" t="str">
        <f t="shared" si="411"/>
        <v>ATENÇÃO</v>
      </c>
      <c r="M3634">
        <v>28</v>
      </c>
      <c r="N3634">
        <v>99.21</v>
      </c>
      <c r="O3634">
        <v>25.188916876574311</v>
      </c>
    </row>
    <row r="3635" spans="1:15" customFormat="1" hidden="1" x14ac:dyDescent="0.25">
      <c r="A3635" s="11">
        <v>46115</v>
      </c>
      <c r="B3635" t="s">
        <v>47</v>
      </c>
      <c r="C3635" t="s">
        <v>48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11"/>
        <v>OPORTUNO</v>
      </c>
      <c r="M3635">
        <v>0</v>
      </c>
      <c r="N3635">
        <v>100</v>
      </c>
      <c r="O3635">
        <v>32.764505119453922</v>
      </c>
    </row>
    <row r="3636" spans="1:15" customFormat="1" hidden="1" x14ac:dyDescent="0.25">
      <c r="A3636" s="11">
        <v>46115</v>
      </c>
      <c r="B3636" t="s">
        <v>31</v>
      </c>
      <c r="C3636" t="s">
        <v>32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11"/>
        <v>OPORTUNO</v>
      </c>
      <c r="M3636">
        <v>0</v>
      </c>
      <c r="N3636">
        <v>98.66</v>
      </c>
      <c r="O3636">
        <v>35.416666666666671</v>
      </c>
    </row>
    <row r="3637" spans="1:15" customFormat="1" hidden="1" x14ac:dyDescent="0.25">
      <c r="A3637" s="11">
        <v>46115</v>
      </c>
      <c r="B3637" t="s">
        <v>59</v>
      </c>
      <c r="C3637" t="s">
        <v>23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11"/>
        <v>OPORTUNO</v>
      </c>
      <c r="M3637">
        <v>0</v>
      </c>
      <c r="N3637">
        <v>99.32</v>
      </c>
      <c r="O3637">
        <v>30.648330058939099</v>
      </c>
    </row>
    <row r="3638" spans="1:15" customFormat="1" hidden="1" x14ac:dyDescent="0.25">
      <c r="A3638" s="11">
        <v>46115</v>
      </c>
      <c r="B3638" t="s">
        <v>33</v>
      </c>
      <c r="C3638" t="s">
        <v>32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11"/>
        <v>OPORTUNO</v>
      </c>
      <c r="M3638">
        <v>0</v>
      </c>
      <c r="N3638">
        <v>100</v>
      </c>
      <c r="O3638">
        <v>27.803738317757009</v>
      </c>
    </row>
    <row r="3639" spans="1:15" customFormat="1" hidden="1" x14ac:dyDescent="0.25">
      <c r="A3639" s="11">
        <v>46115</v>
      </c>
      <c r="B3639" t="s">
        <v>15</v>
      </c>
      <c r="C3639" t="s">
        <v>16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11"/>
        <v>OPORTUNO</v>
      </c>
      <c r="M3639">
        <v>0</v>
      </c>
      <c r="N3639">
        <v>96.74</v>
      </c>
      <c r="O3639">
        <v>28.67647058823529</v>
      </c>
    </row>
    <row r="3640" spans="1:15" customFormat="1" hidden="1" x14ac:dyDescent="0.25">
      <c r="A3640" s="11">
        <v>46115</v>
      </c>
      <c r="B3640" t="s">
        <v>49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11"/>
        <v>OPORTUNO</v>
      </c>
      <c r="M3640">
        <v>0</v>
      </c>
      <c r="N3640">
        <v>98.82</v>
      </c>
      <c r="O3640">
        <v>30.741410488245929</v>
      </c>
    </row>
    <row r="3641" spans="1:15" customFormat="1" hidden="1" x14ac:dyDescent="0.25">
      <c r="A3641" s="11">
        <v>46115</v>
      </c>
      <c r="B3641" t="s">
        <v>50</v>
      </c>
      <c r="C3641" t="s">
        <v>48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11"/>
        <v>OPORTUNO</v>
      </c>
      <c r="M3641">
        <v>0</v>
      </c>
      <c r="N3641">
        <v>98.2</v>
      </c>
      <c r="O3641">
        <v>27.170868347338931</v>
      </c>
    </row>
    <row r="3642" spans="1:15" customFormat="1" hidden="1" x14ac:dyDescent="0.25">
      <c r="A3642" s="11">
        <v>46115</v>
      </c>
      <c r="B3642" t="s">
        <v>17</v>
      </c>
      <c r="C3642" t="s">
        <v>16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si="411"/>
        <v>OPORTUNO</v>
      </c>
      <c r="M3642">
        <v>0</v>
      </c>
      <c r="N3642">
        <v>100</v>
      </c>
      <c r="O3642">
        <v>23.134328358208951</v>
      </c>
    </row>
    <row r="3643" spans="1:15" customFormat="1" hidden="1" x14ac:dyDescent="0.25">
      <c r="A3643" s="11">
        <v>46115</v>
      </c>
      <c r="B3643" t="s">
        <v>60</v>
      </c>
      <c r="C3643" t="s">
        <v>23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ref="L3643:L3706" si="418">IF(K3643&lt;-5,"CRÍTICO",IF(K3643&lt;0,"ATENÇÃO",IF(K3643&lt;=5,"OPORTUNO","MUITO BOM")))</f>
        <v>OPORTUNO</v>
      </c>
      <c r="M3643">
        <v>0</v>
      </c>
      <c r="N3643">
        <v>96.3</v>
      </c>
      <c r="O3643">
        <v>32.219570405727922</v>
      </c>
    </row>
    <row r="3644" spans="1:15" customFormat="1" hidden="1" x14ac:dyDescent="0.25">
      <c r="A3644" s="11">
        <v>46115</v>
      </c>
      <c r="B3644" t="s">
        <v>34</v>
      </c>
      <c r="C3644" t="s">
        <v>32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18"/>
        <v>OPORTUNO</v>
      </c>
      <c r="M3644">
        <v>0</v>
      </c>
      <c r="N3644">
        <v>93.75</v>
      </c>
      <c r="O3644">
        <v>26.819923371647509</v>
      </c>
    </row>
    <row r="3645" spans="1:15" customFormat="1" hidden="1" x14ac:dyDescent="0.25">
      <c r="A3645" s="11">
        <v>46115</v>
      </c>
      <c r="B3645" t="s">
        <v>51</v>
      </c>
      <c r="C3645" t="s">
        <v>48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18"/>
        <v>OPORTUNO</v>
      </c>
      <c r="M3645">
        <v>0</v>
      </c>
      <c r="N3645">
        <v>97.86</v>
      </c>
      <c r="O3645">
        <v>31.018518518518519</v>
      </c>
    </row>
    <row r="3646" spans="1:15" customFormat="1" hidden="1" x14ac:dyDescent="0.25">
      <c r="A3646" s="11">
        <v>46115</v>
      </c>
      <c r="B3646" t="s">
        <v>61</v>
      </c>
      <c r="C3646" t="s">
        <v>23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18"/>
        <v>OPORTUNO</v>
      </c>
      <c r="M3646">
        <v>0</v>
      </c>
      <c r="N3646">
        <v>100</v>
      </c>
      <c r="O3646">
        <v>36.594202898550733</v>
      </c>
    </row>
    <row r="3647" spans="1:15" customFormat="1" hidden="1" x14ac:dyDescent="0.25">
      <c r="A3647" s="11">
        <v>46115</v>
      </c>
      <c r="B3647" t="s">
        <v>35</v>
      </c>
      <c r="C3647" t="s">
        <v>32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18"/>
        <v>OPORTUNO</v>
      </c>
      <c r="M3647">
        <v>0</v>
      </c>
      <c r="N3647">
        <v>100</v>
      </c>
      <c r="O3647">
        <v>38.653846153846153</v>
      </c>
    </row>
    <row r="3648" spans="1:15" customFormat="1" hidden="1" x14ac:dyDescent="0.25">
      <c r="A3648" s="11">
        <v>46115</v>
      </c>
      <c r="B3648" t="s">
        <v>18</v>
      </c>
      <c r="C3648" t="s">
        <v>16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18"/>
        <v>OPORTUNO</v>
      </c>
      <c r="M3648">
        <v>0</v>
      </c>
      <c r="N3648">
        <v>100</v>
      </c>
      <c r="O3648">
        <v>27.368421052631579</v>
      </c>
    </row>
    <row r="3649" spans="1:16" hidden="1" x14ac:dyDescent="0.25">
      <c r="A3649" s="11">
        <v>46115</v>
      </c>
      <c r="B3649" t="s">
        <v>52</v>
      </c>
      <c r="C3649" t="s">
        <v>48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18"/>
        <v>OPORTUNO</v>
      </c>
      <c r="M3649">
        <v>0</v>
      </c>
      <c r="N3649">
        <v>97.83</v>
      </c>
      <c r="O3649">
        <v>28.35164835164835</v>
      </c>
      <c r="P3649"/>
    </row>
    <row r="3650" spans="1:16" hidden="1" x14ac:dyDescent="0.25">
      <c r="A3650" s="11">
        <v>46115</v>
      </c>
      <c r="B3650" t="s">
        <v>36</v>
      </c>
      <c r="C3650" t="s">
        <v>32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18"/>
        <v>OPORTUNO</v>
      </c>
      <c r="M3650">
        <v>0</v>
      </c>
      <c r="N3650">
        <v>99.26</v>
      </c>
      <c r="O3650">
        <v>29.766536964980549</v>
      </c>
      <c r="P3650"/>
    </row>
    <row r="3651" spans="1:16" hidden="1" x14ac:dyDescent="0.25">
      <c r="A3651" s="11">
        <v>46115</v>
      </c>
      <c r="B3651" t="s">
        <v>53</v>
      </c>
      <c r="C3651" t="s">
        <v>48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 t="shared" si="418"/>
        <v>OPORTUNO</v>
      </c>
      <c r="M3651">
        <v>0</v>
      </c>
      <c r="N3651">
        <v>99.19</v>
      </c>
      <c r="O3651">
        <v>29.462365591397852</v>
      </c>
      <c r="P3651"/>
    </row>
    <row r="3652" spans="1:16" hidden="1" x14ac:dyDescent="0.25">
      <c r="A3652" s="11">
        <v>46167</v>
      </c>
      <c r="B3652" t="s">
        <v>50</v>
      </c>
      <c r="C3652" t="s">
        <v>48</v>
      </c>
      <c r="D3652" s="3">
        <v>23</v>
      </c>
      <c r="E3652" s="3">
        <v>23</v>
      </c>
      <c r="F3652" s="3">
        <v>20.51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 t="shared" si="418"/>
        <v>OPORTUNO</v>
      </c>
      <c r="M3652" s="3">
        <v>20</v>
      </c>
      <c r="N3652" s="3">
        <v>99.07</v>
      </c>
      <c r="O3652" s="3">
        <v>20.098039215686271</v>
      </c>
    </row>
    <row r="3653" spans="1:16" hidden="1" x14ac:dyDescent="0.25">
      <c r="A3653" s="11">
        <v>46115</v>
      </c>
      <c r="B3653" t="s">
        <v>54</v>
      </c>
      <c r="C3653" t="s">
        <v>48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18"/>
        <v>OPORTUNO</v>
      </c>
      <c r="M3653">
        <v>0</v>
      </c>
      <c r="N3653">
        <v>100</v>
      </c>
      <c r="O3653">
        <v>28.921568627450981</v>
      </c>
      <c r="P3653"/>
    </row>
    <row r="3654" spans="1:16" hidden="1" x14ac:dyDescent="0.25">
      <c r="A3654" s="11">
        <v>46115</v>
      </c>
      <c r="B3654" t="s">
        <v>37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18"/>
        <v>OPORTUNO</v>
      </c>
      <c r="M3654">
        <v>0</v>
      </c>
      <c r="N3654">
        <v>99.57</v>
      </c>
      <c r="O3654">
        <v>30.635838150289018</v>
      </c>
      <c r="P3654"/>
    </row>
    <row r="3655" spans="1:16" hidden="1" x14ac:dyDescent="0.25">
      <c r="A3655" s="11">
        <v>46115</v>
      </c>
      <c r="B3655" t="s">
        <v>38</v>
      </c>
      <c r="C3655" t="s">
        <v>32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18"/>
        <v>OPORTUNO</v>
      </c>
      <c r="M3655">
        <v>0</v>
      </c>
      <c r="N3655">
        <v>95.65</v>
      </c>
      <c r="O3655">
        <v>32.432432432432442</v>
      </c>
      <c r="P3655"/>
    </row>
    <row r="3656" spans="1:16" hidden="1" x14ac:dyDescent="0.25">
      <c r="A3656" s="11">
        <v>46115</v>
      </c>
      <c r="B3656" t="s">
        <v>55</v>
      </c>
      <c r="C3656" t="s">
        <v>48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18"/>
        <v>OPORTUNO</v>
      </c>
      <c r="M3656">
        <v>0</v>
      </c>
      <c r="N3656">
        <v>98.81</v>
      </c>
      <c r="O3656">
        <v>26.256983240223459</v>
      </c>
      <c r="P3656"/>
    </row>
    <row r="3657" spans="1:16" hidden="1" x14ac:dyDescent="0.25">
      <c r="A3657" s="11">
        <v>46115</v>
      </c>
      <c r="B3657" t="s">
        <v>39</v>
      </c>
      <c r="C3657" t="s">
        <v>32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18"/>
        <v>OPORTUNO</v>
      </c>
      <c r="M3657">
        <v>0</v>
      </c>
      <c r="N3657">
        <v>0</v>
      </c>
      <c r="O3657">
        <v>0</v>
      </c>
      <c r="P3657"/>
    </row>
    <row r="3658" spans="1:16" hidden="1" x14ac:dyDescent="0.25">
      <c r="A3658" s="11">
        <v>46115</v>
      </c>
      <c r="B3658" t="s">
        <v>25</v>
      </c>
      <c r="C3658" t="s">
        <v>26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18"/>
        <v>OPORTUNO</v>
      </c>
      <c r="M3658">
        <v>0</v>
      </c>
      <c r="N3658">
        <v>97.17</v>
      </c>
      <c r="O3658">
        <v>28.81844380403458</v>
      </c>
      <c r="P3658"/>
    </row>
    <row r="3659" spans="1:16" hidden="1" x14ac:dyDescent="0.25">
      <c r="A3659" s="11">
        <v>46115</v>
      </c>
      <c r="B3659" t="s">
        <v>40</v>
      </c>
      <c r="C3659" t="s">
        <v>32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18"/>
        <v>OPORTUNO</v>
      </c>
      <c r="M3659">
        <v>0</v>
      </c>
      <c r="N3659">
        <v>96.81</v>
      </c>
      <c r="O3659">
        <v>48.018648018648022</v>
      </c>
      <c r="P3659"/>
    </row>
    <row r="3660" spans="1:16" hidden="1" x14ac:dyDescent="0.25">
      <c r="A3660" s="11">
        <v>46115</v>
      </c>
      <c r="B3660" t="s">
        <v>27</v>
      </c>
      <c r="C3660" t="s">
        <v>26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18"/>
        <v>OPORTUNO</v>
      </c>
      <c r="M3660">
        <v>0</v>
      </c>
      <c r="N3660">
        <v>98.15</v>
      </c>
      <c r="O3660">
        <v>27.1551724137931</v>
      </c>
      <c r="P3660"/>
    </row>
    <row r="3661" spans="1:16" hidden="1" x14ac:dyDescent="0.25">
      <c r="A3661" s="11">
        <v>46115</v>
      </c>
      <c r="B3661" t="s">
        <v>41</v>
      </c>
      <c r="C3661" t="s">
        <v>32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18"/>
        <v>OPORTUNO</v>
      </c>
      <c r="M3661">
        <v>0</v>
      </c>
      <c r="N3661">
        <v>99.15</v>
      </c>
      <c r="O3661">
        <v>27.586206896551719</v>
      </c>
      <c r="P3661"/>
    </row>
    <row r="3662" spans="1:16" hidden="1" x14ac:dyDescent="0.25">
      <c r="A3662" s="11">
        <v>46115</v>
      </c>
      <c r="B3662" t="s">
        <v>56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18"/>
        <v>OPORTUNO</v>
      </c>
      <c r="M3662">
        <v>10</v>
      </c>
      <c r="N3662">
        <v>99.17</v>
      </c>
      <c r="O3662">
        <v>29.75206611570248</v>
      </c>
      <c r="P3662"/>
    </row>
    <row r="3663" spans="1:16" hidden="1" x14ac:dyDescent="0.25">
      <c r="A3663" s="11">
        <v>46115</v>
      </c>
      <c r="B3663" t="s">
        <v>57</v>
      </c>
      <c r="C3663" t="s">
        <v>48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18"/>
        <v>OPORTUNO</v>
      </c>
      <c r="M3663">
        <v>0</v>
      </c>
      <c r="N3663">
        <v>98.73</v>
      </c>
      <c r="O3663">
        <v>28.961748633879779</v>
      </c>
      <c r="P3663"/>
    </row>
    <row r="3664" spans="1:16" hidden="1" x14ac:dyDescent="0.25">
      <c r="A3664" s="11">
        <v>46115</v>
      </c>
      <c r="B3664" t="s">
        <v>42</v>
      </c>
      <c r="C3664" t="s">
        <v>32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18"/>
        <v>OPORTUNO</v>
      </c>
      <c r="M3664">
        <v>0</v>
      </c>
      <c r="N3664">
        <v>88.68</v>
      </c>
      <c r="O3664">
        <v>22.03389830508474</v>
      </c>
      <c r="P3664"/>
    </row>
    <row r="3665" spans="1:15" customFormat="1" hidden="1" x14ac:dyDescent="0.25">
      <c r="A3665" s="11">
        <v>46115</v>
      </c>
      <c r="B3665" t="s">
        <v>62</v>
      </c>
      <c r="C3665" t="s">
        <v>23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18"/>
        <v>OPORTUNO</v>
      </c>
      <c r="M3665">
        <v>0</v>
      </c>
      <c r="N3665">
        <v>97.37</v>
      </c>
      <c r="O3665">
        <v>25.76530612244898</v>
      </c>
    </row>
    <row r="3666" spans="1:15" customFormat="1" hidden="1" x14ac:dyDescent="0.25">
      <c r="A3666" s="11">
        <v>46115</v>
      </c>
      <c r="B3666" t="s">
        <v>19</v>
      </c>
      <c r="C3666" t="s">
        <v>16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18"/>
        <v>OPORTUNO</v>
      </c>
      <c r="M3666">
        <v>0</v>
      </c>
      <c r="N3666">
        <v>100</v>
      </c>
      <c r="O3666">
        <v>25</v>
      </c>
    </row>
    <row r="3667" spans="1:15" customFormat="1" hidden="1" x14ac:dyDescent="0.25">
      <c r="A3667" s="11">
        <v>46115</v>
      </c>
      <c r="B3667" t="s">
        <v>43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18"/>
        <v>OPORTUNO</v>
      </c>
      <c r="M3667">
        <v>0</v>
      </c>
      <c r="N3667">
        <v>100</v>
      </c>
      <c r="O3667">
        <v>23.9870340356564</v>
      </c>
    </row>
    <row r="3668" spans="1:15" customFormat="1" hidden="1" x14ac:dyDescent="0.25">
      <c r="A3668" s="11">
        <v>46115</v>
      </c>
      <c r="B3668" t="s">
        <v>44</v>
      </c>
      <c r="C3668" t="s">
        <v>32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 t="shared" si="418"/>
        <v>OPORTUNO</v>
      </c>
      <c r="M3668">
        <v>0</v>
      </c>
      <c r="N3668">
        <v>95.49</v>
      </c>
      <c r="O3668">
        <v>28.370221327967808</v>
      </c>
    </row>
    <row r="3669" spans="1:15" customFormat="1" hidden="1" x14ac:dyDescent="0.25">
      <c r="A3669" s="11">
        <v>46115</v>
      </c>
      <c r="B3669" t="s">
        <v>20</v>
      </c>
      <c r="C3669" t="s">
        <v>16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 t="shared" si="418"/>
        <v>OPORTUNO</v>
      </c>
      <c r="M3669">
        <v>0</v>
      </c>
      <c r="N3669">
        <v>100</v>
      </c>
      <c r="O3669">
        <v>23.77622377622378</v>
      </c>
    </row>
    <row r="3670" spans="1:15" customFormat="1" hidden="1" x14ac:dyDescent="0.25">
      <c r="A3670" s="11">
        <v>46115</v>
      </c>
      <c r="B3670" t="s">
        <v>28</v>
      </c>
      <c r="C3670" t="s">
        <v>26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 t="shared" si="418"/>
        <v>OPORTUNO</v>
      </c>
      <c r="M3670">
        <v>0</v>
      </c>
      <c r="N3670">
        <v>96.15</v>
      </c>
      <c r="O3670">
        <v>24.045801526717561</v>
      </c>
    </row>
    <row r="3671" spans="1:15" customFormat="1" hidden="1" x14ac:dyDescent="0.25">
      <c r="A3671" s="11">
        <v>46115</v>
      </c>
      <c r="B3671" t="s">
        <v>58</v>
      </c>
      <c r="C3671" t="s">
        <v>48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 t="shared" si="418"/>
        <v>OPORTUNO</v>
      </c>
      <c r="M3671">
        <v>0</v>
      </c>
      <c r="N3671">
        <v>99.02</v>
      </c>
      <c r="O3671">
        <v>34.797297297297298</v>
      </c>
    </row>
    <row r="3672" spans="1:15" customFormat="1" hidden="1" x14ac:dyDescent="0.25">
      <c r="A3672" s="11">
        <v>46115</v>
      </c>
      <c r="B3672" t="s">
        <v>29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 t="shared" si="418"/>
        <v>OPORTUNO</v>
      </c>
      <c r="M3672">
        <v>0</v>
      </c>
      <c r="N3672">
        <v>98.84</v>
      </c>
      <c r="O3672">
        <v>31.868131868131869</v>
      </c>
    </row>
    <row r="3673" spans="1:15" customFormat="1" hidden="1" x14ac:dyDescent="0.25">
      <c r="A3673" s="11">
        <v>46115</v>
      </c>
      <c r="B3673" t="s">
        <v>30</v>
      </c>
      <c r="C3673" t="s">
        <v>26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 t="shared" si="418"/>
        <v>OPORTUNO</v>
      </c>
      <c r="M3673">
        <v>0</v>
      </c>
      <c r="N3673">
        <v>100</v>
      </c>
      <c r="O3673">
        <v>34.666666666666671</v>
      </c>
    </row>
    <row r="3674" spans="1:15" customFormat="1" hidden="1" x14ac:dyDescent="0.25">
      <c r="A3674" s="11">
        <v>46115</v>
      </c>
      <c r="B3674" t="s">
        <v>21</v>
      </c>
      <c r="C3674" t="s">
        <v>16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si="418"/>
        <v>OPORTUNO</v>
      </c>
      <c r="M3674">
        <v>0</v>
      </c>
      <c r="N3674">
        <v>94.12</v>
      </c>
      <c r="O3674">
        <v>32.799999999999997</v>
      </c>
    </row>
    <row r="3675" spans="1:15" customFormat="1" hidden="1" x14ac:dyDescent="0.25">
      <c r="A3675" s="11">
        <v>46115</v>
      </c>
      <c r="B3675" t="s">
        <v>63</v>
      </c>
      <c r="C3675" t="s">
        <v>23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18"/>
        <v>OPORTUNO</v>
      </c>
      <c r="M3675">
        <v>0</v>
      </c>
      <c r="N3675">
        <v>98.32</v>
      </c>
      <c r="O3675">
        <v>26.858513189448441</v>
      </c>
    </row>
    <row r="3676" spans="1:15" customFormat="1" hidden="1" x14ac:dyDescent="0.25">
      <c r="A3676" s="11">
        <v>46115</v>
      </c>
      <c r="B3676" t="s">
        <v>45</v>
      </c>
      <c r="C3676" t="s">
        <v>32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18"/>
        <v>OPORTUNO</v>
      </c>
      <c r="M3676">
        <v>0</v>
      </c>
      <c r="N3676">
        <v>100</v>
      </c>
      <c r="O3676">
        <v>31.135531135531139</v>
      </c>
    </row>
    <row r="3677" spans="1:15" customFormat="1" hidden="1" x14ac:dyDescent="0.25">
      <c r="A3677" s="11">
        <v>46115</v>
      </c>
      <c r="B3677" t="s">
        <v>64</v>
      </c>
      <c r="C3677" t="s">
        <v>23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18"/>
        <v>OPORTUNO</v>
      </c>
      <c r="M3677">
        <v>0</v>
      </c>
      <c r="N3677">
        <v>100</v>
      </c>
      <c r="O3677">
        <v>26.36986301369863</v>
      </c>
    </row>
    <row r="3678" spans="1:15" customFormat="1" hidden="1" x14ac:dyDescent="0.25">
      <c r="A3678" s="11">
        <v>46115</v>
      </c>
      <c r="B3678" t="s">
        <v>46</v>
      </c>
      <c r="C3678" t="s">
        <v>32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 t="shared" si="418"/>
        <v>OPORTUNO</v>
      </c>
      <c r="M3678">
        <v>0</v>
      </c>
      <c r="N3678">
        <v>99.21</v>
      </c>
      <c r="O3678">
        <v>25.188916876574311</v>
      </c>
    </row>
    <row r="3679" spans="1:15" customFormat="1" hidden="1" x14ac:dyDescent="0.25">
      <c r="A3679" s="11">
        <v>46118</v>
      </c>
      <c r="B3679" t="s">
        <v>47</v>
      </c>
      <c r="C3679" t="s">
        <v>48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25</v>
      </c>
      <c r="K3679" s="3">
        <f>I3679-J3679</f>
        <v>-11</v>
      </c>
      <c r="L3679" s="3" t="str">
        <f t="shared" si="418"/>
        <v>CRÍTICO</v>
      </c>
      <c r="M3679">
        <v>14</v>
      </c>
      <c r="N3679">
        <v>100</v>
      </c>
      <c r="O3679">
        <v>32.764505119453922</v>
      </c>
    </row>
    <row r="3680" spans="1:15" customFormat="1" hidden="1" x14ac:dyDescent="0.25">
      <c r="A3680" s="11">
        <v>46118</v>
      </c>
      <c r="B3680" t="s">
        <v>31</v>
      </c>
      <c r="C3680" t="s">
        <v>32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 t="shared" si="418"/>
        <v>OPORTUNO</v>
      </c>
      <c r="M3680">
        <v>32</v>
      </c>
      <c r="N3680">
        <v>98.66</v>
      </c>
      <c r="O3680">
        <v>35.416666666666671</v>
      </c>
    </row>
    <row r="3681" spans="1:16" hidden="1" x14ac:dyDescent="0.25">
      <c r="A3681" s="11">
        <v>46118</v>
      </c>
      <c r="B3681" t="s">
        <v>59</v>
      </c>
      <c r="C3681" t="s">
        <v>23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ref="I3681:I3688" si="419">E3681+G3681+H3681</f>
        <v>25</v>
      </c>
      <c r="J3681" s="3">
        <f t="shared" ref="J3681:J3688" si="420"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20</v>
      </c>
      <c r="K3681" s="3">
        <f t="shared" ref="K3681:K3688" si="421">I3681-J3681</f>
        <v>5</v>
      </c>
      <c r="L3681" s="3" t="str">
        <f t="shared" si="418"/>
        <v>OPORTUNO</v>
      </c>
      <c r="M3681">
        <v>31</v>
      </c>
      <c r="N3681">
        <v>99.32</v>
      </c>
      <c r="O3681">
        <v>30.648330058939099</v>
      </c>
      <c r="P3681"/>
    </row>
    <row r="3682" spans="1:16" hidden="1" x14ac:dyDescent="0.25">
      <c r="A3682" s="11">
        <v>46118</v>
      </c>
      <c r="B3682" t="s">
        <v>33</v>
      </c>
      <c r="C3682" t="s">
        <v>32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419"/>
        <v>41</v>
      </c>
      <c r="J3682" s="3">
        <f t="shared" si="420"/>
        <v>31</v>
      </c>
      <c r="K3682" s="3">
        <f t="shared" si="421"/>
        <v>10</v>
      </c>
      <c r="L3682" s="3" t="str">
        <f t="shared" si="418"/>
        <v>MUITO BOM</v>
      </c>
      <c r="M3682">
        <v>40</v>
      </c>
      <c r="N3682">
        <v>100</v>
      </c>
      <c r="O3682">
        <v>27.803738317757009</v>
      </c>
      <c r="P3682"/>
    </row>
    <row r="3683" spans="1:16" hidden="1" x14ac:dyDescent="0.25">
      <c r="A3683" s="11">
        <v>46118</v>
      </c>
      <c r="B3683" t="s">
        <v>15</v>
      </c>
      <c r="C3683" t="s">
        <v>16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419"/>
        <v>21</v>
      </c>
      <c r="J3683" s="3">
        <f t="shared" si="420"/>
        <v>9</v>
      </c>
      <c r="K3683" s="3">
        <f t="shared" si="421"/>
        <v>12</v>
      </c>
      <c r="L3683" s="3" t="str">
        <f t="shared" si="418"/>
        <v>MUITO BOM</v>
      </c>
      <c r="M3683">
        <v>20</v>
      </c>
      <c r="N3683">
        <v>96.74</v>
      </c>
      <c r="O3683">
        <v>28.67647058823529</v>
      </c>
      <c r="P3683"/>
    </row>
    <row r="3684" spans="1:16" hidden="1" x14ac:dyDescent="0.25">
      <c r="A3684" s="11">
        <v>46118</v>
      </c>
      <c r="B3684" t="s">
        <v>49</v>
      </c>
      <c r="C3684" t="s">
        <v>48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419"/>
        <v>36</v>
      </c>
      <c r="J3684" s="3">
        <f t="shared" si="420"/>
        <v>25</v>
      </c>
      <c r="K3684" s="3">
        <f t="shared" si="421"/>
        <v>11</v>
      </c>
      <c r="L3684" s="3" t="str">
        <f t="shared" si="418"/>
        <v>MUITO BOM</v>
      </c>
      <c r="M3684">
        <v>38</v>
      </c>
      <c r="N3684">
        <v>98.82</v>
      </c>
      <c r="O3684">
        <v>30.741410488245929</v>
      </c>
      <c r="P3684"/>
    </row>
    <row r="3685" spans="1:16" hidden="1" x14ac:dyDescent="0.25">
      <c r="A3685" s="11">
        <v>46118</v>
      </c>
      <c r="B3685" t="s">
        <v>50</v>
      </c>
      <c r="C3685" t="s">
        <v>48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419"/>
        <v>31</v>
      </c>
      <c r="J3685" s="3">
        <f t="shared" si="420"/>
        <v>25</v>
      </c>
      <c r="K3685" s="3">
        <f t="shared" si="421"/>
        <v>6</v>
      </c>
      <c r="L3685" s="3" t="str">
        <f t="shared" si="418"/>
        <v>MUITO BOM</v>
      </c>
      <c r="M3685">
        <v>28</v>
      </c>
      <c r="N3685">
        <v>98.2</v>
      </c>
      <c r="O3685">
        <v>27.170868347338931</v>
      </c>
      <c r="P3685"/>
    </row>
    <row r="3686" spans="1:16" hidden="1" x14ac:dyDescent="0.25">
      <c r="A3686" s="11">
        <v>46118</v>
      </c>
      <c r="B3686" t="s">
        <v>17</v>
      </c>
      <c r="C3686" t="s">
        <v>16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419"/>
        <v>11</v>
      </c>
      <c r="J3686" s="3">
        <f t="shared" si="420"/>
        <v>9</v>
      </c>
      <c r="K3686" s="3">
        <f t="shared" si="421"/>
        <v>2</v>
      </c>
      <c r="L3686" s="3" t="str">
        <f t="shared" si="418"/>
        <v>OPORTUNO</v>
      </c>
      <c r="M3686">
        <v>11</v>
      </c>
      <c r="N3686">
        <v>100</v>
      </c>
      <c r="O3686">
        <v>23.134328358208951</v>
      </c>
      <c r="P3686"/>
    </row>
    <row r="3687" spans="1:16" hidden="1" x14ac:dyDescent="0.25">
      <c r="A3687" s="11">
        <v>46118</v>
      </c>
      <c r="B3687" t="s">
        <v>60</v>
      </c>
      <c r="C3687" t="s">
        <v>23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419"/>
        <v>32</v>
      </c>
      <c r="J3687" s="3">
        <f t="shared" si="420"/>
        <v>20</v>
      </c>
      <c r="K3687" s="3">
        <f t="shared" si="421"/>
        <v>12</v>
      </c>
      <c r="L3687" s="3" t="str">
        <f t="shared" si="418"/>
        <v>MUITO BOM</v>
      </c>
      <c r="M3687">
        <v>32</v>
      </c>
      <c r="N3687">
        <v>96.3</v>
      </c>
      <c r="O3687">
        <v>32.219570405727922</v>
      </c>
      <c r="P3687"/>
    </row>
    <row r="3688" spans="1:16" hidden="1" x14ac:dyDescent="0.25">
      <c r="A3688" s="11">
        <v>46118</v>
      </c>
      <c r="B3688" t="s">
        <v>34</v>
      </c>
      <c r="C3688" t="s">
        <v>32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419"/>
        <v>34</v>
      </c>
      <c r="J3688" s="3">
        <f t="shared" si="420"/>
        <v>31</v>
      </c>
      <c r="K3688" s="3">
        <f t="shared" si="421"/>
        <v>3</v>
      </c>
      <c r="L3688" s="3" t="str">
        <f t="shared" si="418"/>
        <v>OPORTUNO</v>
      </c>
      <c r="M3688">
        <v>35</v>
      </c>
      <c r="N3688">
        <v>93.75</v>
      </c>
      <c r="O3688">
        <v>26.819923371647509</v>
      </c>
      <c r="P3688"/>
    </row>
    <row r="3689" spans="1:16" hidden="1" x14ac:dyDescent="0.25">
      <c r="A3689" s="11">
        <v>46118</v>
      </c>
      <c r="B3689" t="s">
        <v>51</v>
      </c>
      <c r="C3689" t="s">
        <v>48</v>
      </c>
      <c r="D3689">
        <v>33</v>
      </c>
      <c r="E3689">
        <v>29</v>
      </c>
      <c r="F3689">
        <v>13.56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 t="shared" si="418"/>
        <v>OPORTUNO</v>
      </c>
      <c r="M3689">
        <v>28</v>
      </c>
      <c r="N3689">
        <v>97.86</v>
      </c>
      <c r="O3689">
        <v>31.018518518518519</v>
      </c>
      <c r="P3689"/>
    </row>
    <row r="3690" spans="1:16" hidden="1" x14ac:dyDescent="0.25">
      <c r="A3690" s="11">
        <v>46118</v>
      </c>
      <c r="B3690" t="s">
        <v>61</v>
      </c>
      <c r="C3690" t="s">
        <v>23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20</v>
      </c>
      <c r="K3690" s="3">
        <f>I3690-J3690</f>
        <v>2</v>
      </c>
      <c r="L3690" s="3" t="str">
        <f t="shared" si="418"/>
        <v>OPORTUNO</v>
      </c>
      <c r="M3690">
        <v>12</v>
      </c>
      <c r="N3690">
        <v>100</v>
      </c>
      <c r="O3690">
        <v>36.594202898550733</v>
      </c>
      <c r="P3690"/>
    </row>
    <row r="3691" spans="1:16" hidden="1" x14ac:dyDescent="0.25">
      <c r="A3691" s="11">
        <v>46118</v>
      </c>
      <c r="B3691" t="s">
        <v>35</v>
      </c>
      <c r="C3691" t="s">
        <v>32</v>
      </c>
      <c r="D3691">
        <v>27</v>
      </c>
      <c r="E3691">
        <v>27</v>
      </c>
      <c r="F3691">
        <v>20.3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 t="shared" si="418"/>
        <v>OPORTUNO</v>
      </c>
      <c r="M3691">
        <v>35</v>
      </c>
      <c r="N3691">
        <v>100</v>
      </c>
      <c r="O3691">
        <v>38.653846153846153</v>
      </c>
      <c r="P3691"/>
    </row>
    <row r="3692" spans="1:16" hidden="1" x14ac:dyDescent="0.25">
      <c r="A3692" s="11">
        <v>46118</v>
      </c>
      <c r="B3692" t="s">
        <v>18</v>
      </c>
      <c r="C3692" t="s">
        <v>16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9</v>
      </c>
      <c r="K3692" s="3">
        <f>I3692-J3692</f>
        <v>-1</v>
      </c>
      <c r="L3692" s="3" t="str">
        <f t="shared" si="418"/>
        <v>ATENÇÃO</v>
      </c>
      <c r="M3692">
        <v>8</v>
      </c>
      <c r="N3692">
        <v>100</v>
      </c>
      <c r="O3692">
        <v>27.368421052631579</v>
      </c>
      <c r="P3692"/>
    </row>
    <row r="3693" spans="1:16" hidden="1" x14ac:dyDescent="0.25">
      <c r="A3693" s="11">
        <v>46118</v>
      </c>
      <c r="B3693" t="s">
        <v>52</v>
      </c>
      <c r="C3693" t="s">
        <v>48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25</v>
      </c>
      <c r="K3693" s="3">
        <f>I3693-J3693</f>
        <v>8</v>
      </c>
      <c r="L3693" s="3" t="str">
        <f t="shared" si="418"/>
        <v>MUITO BOM</v>
      </c>
      <c r="M3693">
        <v>31</v>
      </c>
      <c r="N3693">
        <v>97.83</v>
      </c>
      <c r="O3693">
        <v>28.35164835164835</v>
      </c>
      <c r="P3693"/>
    </row>
    <row r="3694" spans="1:16" hidden="1" x14ac:dyDescent="0.25">
      <c r="A3694" s="11">
        <v>46118</v>
      </c>
      <c r="B3694" t="s">
        <v>36</v>
      </c>
      <c r="C3694" t="s">
        <v>32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31</v>
      </c>
      <c r="K3694" s="3">
        <f>I3694-J3694</f>
        <v>-3</v>
      </c>
      <c r="L3694" s="3" t="str">
        <f t="shared" si="418"/>
        <v>ATENÇÃO</v>
      </c>
      <c r="M3694">
        <v>29</v>
      </c>
      <c r="N3694">
        <v>99.26</v>
      </c>
      <c r="O3694">
        <v>29.766536964980549</v>
      </c>
      <c r="P3694"/>
    </row>
    <row r="3695" spans="1:16" hidden="1" x14ac:dyDescent="0.25">
      <c r="A3695" s="11">
        <v>46118</v>
      </c>
      <c r="B3695" t="s">
        <v>53</v>
      </c>
      <c r="C3695" t="s">
        <v>48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25</v>
      </c>
      <c r="K3695" s="3">
        <f>I3695-J3695</f>
        <v>5</v>
      </c>
      <c r="L3695" s="3" t="str">
        <f t="shared" si="418"/>
        <v>OPORTUNO</v>
      </c>
      <c r="M3695">
        <v>29</v>
      </c>
      <c r="N3695">
        <v>99.19</v>
      </c>
      <c r="O3695">
        <v>29.462365591397852</v>
      </c>
      <c r="P3695"/>
    </row>
    <row r="3696" spans="1:16" hidden="1" x14ac:dyDescent="0.25">
      <c r="A3696" s="11">
        <v>46167</v>
      </c>
      <c r="B3696" t="s">
        <v>51</v>
      </c>
      <c r="C3696" t="s">
        <v>48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 t="shared" si="418"/>
        <v>OPORTUNO</v>
      </c>
      <c r="M3696" s="3">
        <v>0</v>
      </c>
      <c r="N3696" s="3">
        <v>98.81</v>
      </c>
      <c r="O3696" s="3">
        <v>22.767857142857139</v>
      </c>
    </row>
    <row r="3697" spans="1:15" customFormat="1" hidden="1" x14ac:dyDescent="0.25">
      <c r="A3697" s="11">
        <v>46118</v>
      </c>
      <c r="B3697" t="s">
        <v>54</v>
      </c>
      <c r="C3697" t="s">
        <v>48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 t="shared" si="418"/>
        <v>OPORTUNO</v>
      </c>
      <c r="M3697">
        <v>0</v>
      </c>
      <c r="N3697">
        <v>100</v>
      </c>
      <c r="O3697">
        <v>28.921568627450981</v>
      </c>
    </row>
    <row r="3698" spans="1:15" customFormat="1" hidden="1" x14ac:dyDescent="0.25">
      <c r="A3698" s="11">
        <v>46118</v>
      </c>
      <c r="B3698" t="s">
        <v>37</v>
      </c>
      <c r="C3698" t="s">
        <v>32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31</v>
      </c>
      <c r="K3698" s="3">
        <f>I3698-J3698</f>
        <v>15</v>
      </c>
      <c r="L3698" s="3" t="str">
        <f t="shared" si="418"/>
        <v>MUITO BOM</v>
      </c>
      <c r="M3698">
        <v>44</v>
      </c>
      <c r="N3698">
        <v>99.57</v>
      </c>
      <c r="O3698">
        <v>30.635838150289018</v>
      </c>
    </row>
    <row r="3699" spans="1:15" customFormat="1" hidden="1" x14ac:dyDescent="0.25">
      <c r="A3699" s="11">
        <v>46118</v>
      </c>
      <c r="B3699" t="s">
        <v>38</v>
      </c>
      <c r="C3699" t="s">
        <v>32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 t="shared" si="418"/>
        <v>OPORTUNO</v>
      </c>
      <c r="M3699">
        <v>0</v>
      </c>
      <c r="N3699">
        <v>95.65</v>
      </c>
      <c r="O3699">
        <v>32.432432432432442</v>
      </c>
    </row>
    <row r="3700" spans="1:15" customFormat="1" hidden="1" x14ac:dyDescent="0.25">
      <c r="A3700" s="11">
        <v>46118</v>
      </c>
      <c r="B3700" t="s">
        <v>55</v>
      </c>
      <c r="C3700" t="s">
        <v>48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25</v>
      </c>
      <c r="K3700" s="3">
        <f>I3700-J3700</f>
        <v>-13</v>
      </c>
      <c r="L3700" s="3" t="str">
        <f t="shared" si="418"/>
        <v>CRÍTICO</v>
      </c>
      <c r="M3700">
        <v>14</v>
      </c>
      <c r="N3700">
        <v>98.81</v>
      </c>
      <c r="O3700">
        <v>26.256983240223459</v>
      </c>
    </row>
    <row r="3701" spans="1:15" customFormat="1" hidden="1" x14ac:dyDescent="0.25">
      <c r="A3701" s="11">
        <v>46118</v>
      </c>
      <c r="B3701" t="s">
        <v>39</v>
      </c>
      <c r="C3701" t="s">
        <v>32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 t="shared" si="418"/>
        <v>OPORTUNO</v>
      </c>
      <c r="M3701">
        <v>0</v>
      </c>
      <c r="N3701">
        <v>0</v>
      </c>
      <c r="O3701">
        <v>0</v>
      </c>
    </row>
    <row r="3702" spans="1:15" customFormat="1" hidden="1" x14ac:dyDescent="0.25">
      <c r="A3702" s="11">
        <v>46118</v>
      </c>
      <c r="B3702" t="s">
        <v>25</v>
      </c>
      <c r="C3702" t="s">
        <v>26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18</v>
      </c>
      <c r="K3702" s="3">
        <f>I3702-J3702</f>
        <v>-1</v>
      </c>
      <c r="L3702" s="3" t="str">
        <f t="shared" si="418"/>
        <v>ATENÇÃO</v>
      </c>
      <c r="M3702">
        <v>17</v>
      </c>
      <c r="N3702">
        <v>97.17</v>
      </c>
      <c r="O3702">
        <v>28.81844380403458</v>
      </c>
    </row>
    <row r="3703" spans="1:15" customFormat="1" hidden="1" x14ac:dyDescent="0.25">
      <c r="A3703" s="11">
        <v>46118</v>
      </c>
      <c r="B3703" t="s">
        <v>40</v>
      </c>
      <c r="C3703" t="s">
        <v>32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31</v>
      </c>
      <c r="K3703" s="3">
        <f>I3703-J3703</f>
        <v>-22</v>
      </c>
      <c r="L3703" s="3" t="str">
        <f t="shared" si="418"/>
        <v>CRÍTICO</v>
      </c>
      <c r="M3703">
        <v>11</v>
      </c>
      <c r="N3703">
        <v>96.81</v>
      </c>
      <c r="O3703">
        <v>48.018648018648022</v>
      </c>
    </row>
    <row r="3704" spans="1:15" customFormat="1" hidden="1" x14ac:dyDescent="0.25">
      <c r="A3704" s="11">
        <v>46118</v>
      </c>
      <c r="B3704" t="s">
        <v>27</v>
      </c>
      <c r="C3704" t="s">
        <v>26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18</v>
      </c>
      <c r="K3704" s="3">
        <f>I3704-J3704</f>
        <v>-6</v>
      </c>
      <c r="L3704" s="3" t="str">
        <f t="shared" si="418"/>
        <v>CRÍTICO</v>
      </c>
      <c r="M3704">
        <v>12</v>
      </c>
      <c r="N3704">
        <v>98.15</v>
      </c>
      <c r="O3704">
        <v>27.1551724137931</v>
      </c>
    </row>
    <row r="3705" spans="1:15" customFormat="1" hidden="1" x14ac:dyDescent="0.25">
      <c r="A3705" s="11">
        <v>46118</v>
      </c>
      <c r="B3705" t="s">
        <v>41</v>
      </c>
      <c r="C3705" t="s">
        <v>32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31</v>
      </c>
      <c r="K3705" s="3">
        <f>I3705-J3705</f>
        <v>-2</v>
      </c>
      <c r="L3705" s="3" t="str">
        <f t="shared" si="418"/>
        <v>ATENÇÃO</v>
      </c>
      <c r="M3705">
        <v>29</v>
      </c>
      <c r="N3705">
        <v>99.15</v>
      </c>
      <c r="O3705">
        <v>27.586206896551719</v>
      </c>
    </row>
    <row r="3706" spans="1:15" customFormat="1" hidden="1" x14ac:dyDescent="0.25">
      <c r="A3706" s="11">
        <v>46118</v>
      </c>
      <c r="B3706" t="s">
        <v>56</v>
      </c>
      <c r="C3706" t="s">
        <v>48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25</v>
      </c>
      <c r="K3706" s="3">
        <f>I3706-J3706</f>
        <v>-2</v>
      </c>
      <c r="L3706" s="3" t="str">
        <f t="shared" si="418"/>
        <v>ATENÇÃO</v>
      </c>
      <c r="M3706">
        <v>10</v>
      </c>
      <c r="N3706">
        <v>99.17</v>
      </c>
      <c r="O3706">
        <v>29.75206611570248</v>
      </c>
    </row>
    <row r="3707" spans="1:15" customFormat="1" hidden="1" x14ac:dyDescent="0.25">
      <c r="A3707" s="11">
        <v>46118</v>
      </c>
      <c r="B3707" t="s">
        <v>57</v>
      </c>
      <c r="C3707" t="s">
        <v>48</v>
      </c>
      <c r="D3707">
        <v>36</v>
      </c>
      <c r="E3707">
        <v>35</v>
      </c>
      <c r="F3707">
        <v>18.25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ref="L3707:L3770" si="422">IF(K3707&lt;-5,"CRÍTICO",IF(K3707&lt;0,"ATENÇÃO",IF(K3707&lt;=5,"OPORTUNO","MUITO BOM")))</f>
        <v>OPORTUNO</v>
      </c>
      <c r="M3707">
        <v>31</v>
      </c>
      <c r="N3707">
        <v>98.73</v>
      </c>
      <c r="O3707">
        <v>28.961748633879779</v>
      </c>
    </row>
    <row r="3708" spans="1:15" customFormat="1" hidden="1" x14ac:dyDescent="0.25">
      <c r="A3708" s="11">
        <v>46118</v>
      </c>
      <c r="B3708" t="s">
        <v>42</v>
      </c>
      <c r="C3708" t="s">
        <v>32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 t="shared" si="422"/>
        <v>OPORTUNO</v>
      </c>
      <c r="M3708">
        <v>0</v>
      </c>
      <c r="N3708">
        <v>88.68</v>
      </c>
      <c r="O3708">
        <v>22.03389830508474</v>
      </c>
    </row>
    <row r="3709" spans="1:15" customFormat="1" hidden="1" x14ac:dyDescent="0.25">
      <c r="A3709" s="11">
        <v>46118</v>
      </c>
      <c r="B3709" t="s">
        <v>62</v>
      </c>
      <c r="C3709" t="s">
        <v>23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ref="I3709:I3723" si="423">E3709+G3709+H3709</f>
        <v>23</v>
      </c>
      <c r="J3709" s="3">
        <f t="shared" ref="J3709:J3723" si="424"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20</v>
      </c>
      <c r="K3709" s="3">
        <f t="shared" ref="K3709:K3723" si="425">I3709-J3709</f>
        <v>3</v>
      </c>
      <c r="L3709" s="3" t="str">
        <f t="shared" si="422"/>
        <v>OPORTUNO</v>
      </c>
      <c r="M3709">
        <v>21</v>
      </c>
      <c r="N3709">
        <v>97.37</v>
      </c>
      <c r="O3709">
        <v>25.76530612244898</v>
      </c>
    </row>
    <row r="3710" spans="1:15" customFormat="1" hidden="1" x14ac:dyDescent="0.25">
      <c r="A3710" s="11">
        <v>46118</v>
      </c>
      <c r="B3710" t="s">
        <v>19</v>
      </c>
      <c r="C3710" t="s">
        <v>16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423"/>
        <v>10</v>
      </c>
      <c r="J3710" s="3">
        <f t="shared" si="424"/>
        <v>9</v>
      </c>
      <c r="K3710" s="3">
        <f t="shared" si="425"/>
        <v>1</v>
      </c>
      <c r="L3710" s="3" t="str">
        <f t="shared" si="422"/>
        <v>OPORTUNO</v>
      </c>
      <c r="M3710">
        <v>9</v>
      </c>
      <c r="N3710">
        <v>100</v>
      </c>
      <c r="O3710">
        <v>25</v>
      </c>
    </row>
    <row r="3711" spans="1:15" customFormat="1" hidden="1" x14ac:dyDescent="0.25">
      <c r="A3711" s="11">
        <v>46118</v>
      </c>
      <c r="B3711" t="s">
        <v>43</v>
      </c>
      <c r="C3711" t="s">
        <v>32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423"/>
        <v>42</v>
      </c>
      <c r="J3711" s="3">
        <f t="shared" si="424"/>
        <v>31</v>
      </c>
      <c r="K3711" s="3">
        <f t="shared" si="425"/>
        <v>11</v>
      </c>
      <c r="L3711" s="3" t="str">
        <f t="shared" si="422"/>
        <v>MUITO BOM</v>
      </c>
      <c r="M3711">
        <v>41</v>
      </c>
      <c r="N3711">
        <v>100</v>
      </c>
      <c r="O3711">
        <v>23.9870340356564</v>
      </c>
    </row>
    <row r="3712" spans="1:15" customFormat="1" hidden="1" x14ac:dyDescent="0.25">
      <c r="A3712" s="11">
        <v>46118</v>
      </c>
      <c r="B3712" t="s">
        <v>44</v>
      </c>
      <c r="C3712" t="s">
        <v>32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423"/>
        <v>25</v>
      </c>
      <c r="J3712" s="3">
        <f t="shared" si="424"/>
        <v>31</v>
      </c>
      <c r="K3712" s="3">
        <f t="shared" si="425"/>
        <v>-6</v>
      </c>
      <c r="L3712" s="3" t="str">
        <f t="shared" si="422"/>
        <v>CRÍTICO</v>
      </c>
      <c r="M3712">
        <v>20</v>
      </c>
      <c r="N3712">
        <v>95.49</v>
      </c>
      <c r="O3712">
        <v>28.370221327967808</v>
      </c>
    </row>
    <row r="3713" spans="1:15" customFormat="1" hidden="1" x14ac:dyDescent="0.25">
      <c r="A3713" s="11">
        <v>46118</v>
      </c>
      <c r="B3713" t="s">
        <v>20</v>
      </c>
      <c r="C3713" t="s">
        <v>16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423"/>
        <v>5</v>
      </c>
      <c r="J3713" s="3">
        <f t="shared" si="424"/>
        <v>9</v>
      </c>
      <c r="K3713" s="3">
        <f t="shared" si="425"/>
        <v>-4</v>
      </c>
      <c r="L3713" s="3" t="str">
        <f t="shared" si="422"/>
        <v>ATENÇÃO</v>
      </c>
      <c r="M3713">
        <v>4</v>
      </c>
      <c r="N3713">
        <v>100</v>
      </c>
      <c r="O3713">
        <v>23.77622377622378</v>
      </c>
    </row>
    <row r="3714" spans="1:15" customFormat="1" hidden="1" x14ac:dyDescent="0.25">
      <c r="A3714" s="11">
        <v>46118</v>
      </c>
      <c r="B3714" t="s">
        <v>28</v>
      </c>
      <c r="C3714" t="s">
        <v>26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423"/>
        <v>23</v>
      </c>
      <c r="J3714" s="3">
        <f t="shared" si="424"/>
        <v>18</v>
      </c>
      <c r="K3714" s="3">
        <f t="shared" si="425"/>
        <v>5</v>
      </c>
      <c r="L3714" s="3" t="str">
        <f t="shared" si="422"/>
        <v>OPORTUNO</v>
      </c>
      <c r="M3714">
        <v>16</v>
      </c>
      <c r="N3714">
        <v>96.15</v>
      </c>
      <c r="O3714">
        <v>24.045801526717561</v>
      </c>
    </row>
    <row r="3715" spans="1:15" customFormat="1" hidden="1" x14ac:dyDescent="0.25">
      <c r="A3715" s="11">
        <v>46118</v>
      </c>
      <c r="B3715" t="s">
        <v>58</v>
      </c>
      <c r="C3715" t="s">
        <v>48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423"/>
        <v>27</v>
      </c>
      <c r="J3715" s="3">
        <f t="shared" si="424"/>
        <v>25</v>
      </c>
      <c r="K3715" s="3">
        <f t="shared" si="425"/>
        <v>2</v>
      </c>
      <c r="L3715" s="3" t="str">
        <f t="shared" si="422"/>
        <v>OPORTUNO</v>
      </c>
      <c r="M3715">
        <v>24</v>
      </c>
      <c r="N3715">
        <v>99.02</v>
      </c>
      <c r="O3715">
        <v>34.797297297297298</v>
      </c>
    </row>
    <row r="3716" spans="1:15" customFormat="1" hidden="1" x14ac:dyDescent="0.25">
      <c r="A3716" s="11">
        <v>46118</v>
      </c>
      <c r="B3716" t="s">
        <v>29</v>
      </c>
      <c r="C3716" t="s">
        <v>26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423"/>
        <v>17</v>
      </c>
      <c r="J3716" s="3">
        <f t="shared" si="424"/>
        <v>18</v>
      </c>
      <c r="K3716" s="3">
        <f t="shared" si="425"/>
        <v>-1</v>
      </c>
      <c r="L3716" s="3" t="str">
        <f t="shared" si="422"/>
        <v>ATENÇÃO</v>
      </c>
      <c r="M3716">
        <v>18</v>
      </c>
      <c r="N3716">
        <v>98.84</v>
      </c>
      <c r="O3716">
        <v>31.868131868131869</v>
      </c>
    </row>
    <row r="3717" spans="1:15" customFormat="1" hidden="1" x14ac:dyDescent="0.25">
      <c r="A3717" s="11">
        <v>46118</v>
      </c>
      <c r="B3717" t="s">
        <v>30</v>
      </c>
      <c r="C3717" t="s">
        <v>26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423"/>
        <v>20</v>
      </c>
      <c r="J3717" s="3">
        <f t="shared" si="424"/>
        <v>18</v>
      </c>
      <c r="K3717" s="3">
        <f t="shared" si="425"/>
        <v>2</v>
      </c>
      <c r="L3717" s="3" t="str">
        <f t="shared" si="422"/>
        <v>OPORTUNO</v>
      </c>
      <c r="M3717">
        <v>21</v>
      </c>
      <c r="N3717">
        <v>100</v>
      </c>
      <c r="O3717">
        <v>34.666666666666671</v>
      </c>
    </row>
    <row r="3718" spans="1:15" customFormat="1" hidden="1" x14ac:dyDescent="0.25">
      <c r="A3718" s="11">
        <v>46118</v>
      </c>
      <c r="B3718" t="s">
        <v>21</v>
      </c>
      <c r="C3718" t="s">
        <v>16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423"/>
        <v>9</v>
      </c>
      <c r="J3718" s="3">
        <f t="shared" si="424"/>
        <v>9</v>
      </c>
      <c r="K3718" s="3">
        <f t="shared" si="425"/>
        <v>0</v>
      </c>
      <c r="L3718" s="3" t="str">
        <f t="shared" si="422"/>
        <v>OPORTUNO</v>
      </c>
      <c r="M3718">
        <v>4</v>
      </c>
      <c r="N3718">
        <v>94.12</v>
      </c>
      <c r="O3718">
        <v>32.799999999999997</v>
      </c>
    </row>
    <row r="3719" spans="1:15" customFormat="1" hidden="1" x14ac:dyDescent="0.25">
      <c r="A3719" s="11">
        <v>46118</v>
      </c>
      <c r="B3719" t="s">
        <v>63</v>
      </c>
      <c r="C3719" t="s">
        <v>23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423"/>
        <v>20</v>
      </c>
      <c r="J3719" s="3">
        <f t="shared" si="424"/>
        <v>20</v>
      </c>
      <c r="K3719" s="3">
        <f t="shared" si="425"/>
        <v>0</v>
      </c>
      <c r="L3719" s="3" t="str">
        <f t="shared" si="422"/>
        <v>OPORTUNO</v>
      </c>
      <c r="M3719">
        <v>16</v>
      </c>
      <c r="N3719">
        <v>98.32</v>
      </c>
      <c r="O3719">
        <v>26.858513189448441</v>
      </c>
    </row>
    <row r="3720" spans="1:15" customFormat="1" hidden="1" x14ac:dyDescent="0.25">
      <c r="A3720" s="11">
        <v>46118</v>
      </c>
      <c r="B3720" t="s">
        <v>45</v>
      </c>
      <c r="C3720" t="s">
        <v>32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423"/>
        <v>37</v>
      </c>
      <c r="J3720" s="3">
        <f t="shared" si="424"/>
        <v>31</v>
      </c>
      <c r="K3720" s="3">
        <f t="shared" si="425"/>
        <v>6</v>
      </c>
      <c r="L3720" s="3" t="str">
        <f t="shared" si="422"/>
        <v>MUITO BOM</v>
      </c>
      <c r="M3720">
        <v>33</v>
      </c>
      <c r="N3720">
        <v>100</v>
      </c>
      <c r="O3720">
        <v>31.135531135531139</v>
      </c>
    </row>
    <row r="3721" spans="1:15" customFormat="1" hidden="1" x14ac:dyDescent="0.25">
      <c r="A3721" s="11">
        <v>46118</v>
      </c>
      <c r="B3721" t="s">
        <v>64</v>
      </c>
      <c r="C3721" t="s">
        <v>23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423"/>
        <v>17</v>
      </c>
      <c r="J3721" s="3">
        <f t="shared" si="424"/>
        <v>20</v>
      </c>
      <c r="K3721" s="3">
        <f t="shared" si="425"/>
        <v>-3</v>
      </c>
      <c r="L3721" s="3" t="str">
        <f t="shared" si="422"/>
        <v>ATENÇÃO</v>
      </c>
      <c r="M3721">
        <v>14</v>
      </c>
      <c r="N3721">
        <v>100</v>
      </c>
      <c r="O3721">
        <v>26.36986301369863</v>
      </c>
    </row>
    <row r="3722" spans="1:15" customFormat="1" hidden="1" x14ac:dyDescent="0.25">
      <c r="A3722" s="11">
        <v>46118</v>
      </c>
      <c r="B3722" t="s">
        <v>46</v>
      </c>
      <c r="C3722" t="s">
        <v>32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423"/>
        <v>28</v>
      </c>
      <c r="J3722" s="3">
        <f t="shared" si="424"/>
        <v>31</v>
      </c>
      <c r="K3722" s="3">
        <f t="shared" si="425"/>
        <v>-3</v>
      </c>
      <c r="L3722" s="3" t="str">
        <f t="shared" si="422"/>
        <v>ATENÇÃO</v>
      </c>
      <c r="M3722">
        <v>24</v>
      </c>
      <c r="N3722">
        <v>99.21</v>
      </c>
      <c r="O3722">
        <v>25.188916876574311</v>
      </c>
    </row>
    <row r="3723" spans="1:15" customFormat="1" hidden="1" x14ac:dyDescent="0.25">
      <c r="A3723" s="11">
        <v>46119</v>
      </c>
      <c r="B3723" t="s">
        <v>47</v>
      </c>
      <c r="C3723" t="s">
        <v>48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423"/>
        <v>6</v>
      </c>
      <c r="J3723" s="3">
        <f t="shared" si="424"/>
        <v>25</v>
      </c>
      <c r="K3723" s="3">
        <f t="shared" si="425"/>
        <v>-19</v>
      </c>
      <c r="L3723" s="3" t="str">
        <f t="shared" si="422"/>
        <v>CRÍTICO</v>
      </c>
      <c r="M3723">
        <v>3</v>
      </c>
      <c r="N3723">
        <v>100</v>
      </c>
      <c r="O3723">
        <v>32.764505119453922</v>
      </c>
    </row>
    <row r="3724" spans="1:15" customFormat="1" hidden="1" x14ac:dyDescent="0.25">
      <c r="A3724" s="11">
        <v>46119</v>
      </c>
      <c r="B3724" t="s">
        <v>31</v>
      </c>
      <c r="C3724" t="s">
        <v>32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 t="shared" si="422"/>
        <v>OPORTUNO</v>
      </c>
      <c r="M3724">
        <v>28</v>
      </c>
      <c r="N3724">
        <v>98.66</v>
      </c>
      <c r="O3724">
        <v>35.416666666666671</v>
      </c>
    </row>
    <row r="3725" spans="1:15" customFormat="1" hidden="1" x14ac:dyDescent="0.25">
      <c r="A3725" s="11">
        <v>46119</v>
      </c>
      <c r="B3725" t="s">
        <v>59</v>
      </c>
      <c r="C3725" t="s">
        <v>23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ref="I3725:I3732" si="426">E3725+G3725+H3725</f>
        <v>33</v>
      </c>
      <c r="J3725" s="3">
        <f t="shared" ref="J3725:J3732" si="427"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21</v>
      </c>
      <c r="K3725" s="3">
        <f t="shared" ref="K3725:K3732" si="428">I3725-J3725</f>
        <v>12</v>
      </c>
      <c r="L3725" s="3" t="str">
        <f t="shared" si="422"/>
        <v>MUITO BOM</v>
      </c>
      <c r="M3725">
        <v>34</v>
      </c>
      <c r="N3725">
        <v>99.32</v>
      </c>
      <c r="O3725">
        <v>30.648330058939099</v>
      </c>
    </row>
    <row r="3726" spans="1:15" customFormat="1" hidden="1" x14ac:dyDescent="0.25">
      <c r="A3726" s="11">
        <v>46119</v>
      </c>
      <c r="B3726" t="s">
        <v>33</v>
      </c>
      <c r="C3726" t="s">
        <v>32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426"/>
        <v>28</v>
      </c>
      <c r="J3726" s="3">
        <f t="shared" si="427"/>
        <v>31</v>
      </c>
      <c r="K3726" s="3">
        <f t="shared" si="428"/>
        <v>-3</v>
      </c>
      <c r="L3726" s="3" t="str">
        <f t="shared" si="422"/>
        <v>ATENÇÃO</v>
      </c>
      <c r="M3726">
        <v>27</v>
      </c>
      <c r="N3726">
        <v>100</v>
      </c>
      <c r="O3726">
        <v>27.803738317757009</v>
      </c>
    </row>
    <row r="3727" spans="1:15" customFormat="1" hidden="1" x14ac:dyDescent="0.25">
      <c r="A3727" s="11">
        <v>46119</v>
      </c>
      <c r="B3727" t="s">
        <v>15</v>
      </c>
      <c r="C3727" t="s">
        <v>16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426"/>
        <v>23</v>
      </c>
      <c r="J3727" s="3">
        <f t="shared" si="427"/>
        <v>9</v>
      </c>
      <c r="K3727" s="3">
        <f t="shared" si="428"/>
        <v>14</v>
      </c>
      <c r="L3727" s="3" t="str">
        <f t="shared" si="422"/>
        <v>MUITO BOM</v>
      </c>
      <c r="M3727">
        <v>20</v>
      </c>
      <c r="N3727">
        <v>96.74</v>
      </c>
      <c r="O3727">
        <v>28.67647058823529</v>
      </c>
    </row>
    <row r="3728" spans="1:15" customFormat="1" hidden="1" x14ac:dyDescent="0.25">
      <c r="A3728" s="11">
        <v>46119</v>
      </c>
      <c r="B3728" t="s">
        <v>49</v>
      </c>
      <c r="C3728" t="s">
        <v>48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426"/>
        <v>38</v>
      </c>
      <c r="J3728" s="3">
        <f t="shared" si="427"/>
        <v>25</v>
      </c>
      <c r="K3728" s="3">
        <f t="shared" si="428"/>
        <v>13</v>
      </c>
      <c r="L3728" s="3" t="str">
        <f t="shared" si="422"/>
        <v>MUITO BOM</v>
      </c>
      <c r="M3728">
        <v>38</v>
      </c>
      <c r="N3728">
        <v>98.82</v>
      </c>
      <c r="O3728">
        <v>30.741410488245929</v>
      </c>
    </row>
    <row r="3729" spans="1:16" hidden="1" x14ac:dyDescent="0.25">
      <c r="A3729" s="11">
        <v>46119</v>
      </c>
      <c r="B3729" t="s">
        <v>50</v>
      </c>
      <c r="C3729" t="s">
        <v>48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426"/>
        <v>28</v>
      </c>
      <c r="J3729" s="3">
        <f t="shared" si="427"/>
        <v>25</v>
      </c>
      <c r="K3729" s="3">
        <f t="shared" si="428"/>
        <v>3</v>
      </c>
      <c r="L3729" s="3" t="str">
        <f t="shared" si="422"/>
        <v>OPORTUNO</v>
      </c>
      <c r="M3729">
        <v>30</v>
      </c>
      <c r="N3729">
        <v>98.2</v>
      </c>
      <c r="O3729">
        <v>27.170868347338931</v>
      </c>
      <c r="P3729"/>
    </row>
    <row r="3730" spans="1:16" hidden="1" x14ac:dyDescent="0.25">
      <c r="A3730" s="11">
        <v>46119</v>
      </c>
      <c r="B3730" t="s">
        <v>17</v>
      </c>
      <c r="C3730" t="s">
        <v>16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426"/>
        <v>10</v>
      </c>
      <c r="J3730" s="3">
        <f t="shared" si="427"/>
        <v>9</v>
      </c>
      <c r="K3730" s="3">
        <f t="shared" si="428"/>
        <v>1</v>
      </c>
      <c r="L3730" s="3" t="str">
        <f t="shared" si="422"/>
        <v>OPORTUNO</v>
      </c>
      <c r="M3730">
        <v>10</v>
      </c>
      <c r="N3730">
        <v>100</v>
      </c>
      <c r="O3730">
        <v>23.134328358208951</v>
      </c>
      <c r="P3730"/>
    </row>
    <row r="3731" spans="1:16" hidden="1" x14ac:dyDescent="0.25">
      <c r="A3731" s="11">
        <v>46119</v>
      </c>
      <c r="B3731" t="s">
        <v>60</v>
      </c>
      <c r="C3731" t="s">
        <v>23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426"/>
        <v>24</v>
      </c>
      <c r="J3731" s="3">
        <f t="shared" si="427"/>
        <v>21</v>
      </c>
      <c r="K3731" s="3">
        <f t="shared" si="428"/>
        <v>3</v>
      </c>
      <c r="L3731" s="3" t="str">
        <f t="shared" si="422"/>
        <v>OPORTUNO</v>
      </c>
      <c r="M3731">
        <v>20</v>
      </c>
      <c r="N3731">
        <v>96.3</v>
      </c>
      <c r="O3731">
        <v>32.219570405727922</v>
      </c>
      <c r="P3731"/>
    </row>
    <row r="3732" spans="1:16" hidden="1" x14ac:dyDescent="0.25">
      <c r="A3732" s="11">
        <v>46119</v>
      </c>
      <c r="B3732" t="s">
        <v>34</v>
      </c>
      <c r="C3732" t="s">
        <v>32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426"/>
        <v>39</v>
      </c>
      <c r="J3732" s="3">
        <f t="shared" si="427"/>
        <v>31</v>
      </c>
      <c r="K3732" s="3">
        <f t="shared" si="428"/>
        <v>8</v>
      </c>
      <c r="L3732" s="3" t="str">
        <f t="shared" si="422"/>
        <v>MUITO BOM</v>
      </c>
      <c r="M3732">
        <v>37</v>
      </c>
      <c r="N3732">
        <v>93.75</v>
      </c>
      <c r="O3732">
        <v>26.819923371647509</v>
      </c>
      <c r="P3732"/>
    </row>
    <row r="3733" spans="1:16" hidden="1" x14ac:dyDescent="0.25">
      <c r="A3733" s="11">
        <v>46119</v>
      </c>
      <c r="B3733" t="s">
        <v>51</v>
      </c>
      <c r="C3733" t="s">
        <v>48</v>
      </c>
      <c r="D3733">
        <v>33</v>
      </c>
      <c r="E3733">
        <v>31</v>
      </c>
      <c r="F3733">
        <v>15.14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 t="shared" si="422"/>
        <v>OPORTUNO</v>
      </c>
      <c r="M3733">
        <v>23</v>
      </c>
      <c r="N3733">
        <v>97.86</v>
      </c>
      <c r="O3733">
        <v>31.018518518518519</v>
      </c>
      <c r="P3733"/>
    </row>
    <row r="3734" spans="1:16" hidden="1" x14ac:dyDescent="0.25">
      <c r="A3734" s="11">
        <v>46119</v>
      </c>
      <c r="B3734" t="s">
        <v>61</v>
      </c>
      <c r="C3734" t="s">
        <v>23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21</v>
      </c>
      <c r="K3734" s="3">
        <f>I3734-J3734</f>
        <v>7</v>
      </c>
      <c r="L3734" s="3" t="str">
        <f t="shared" si="422"/>
        <v>MUITO BOM</v>
      </c>
      <c r="M3734">
        <v>23</v>
      </c>
      <c r="N3734">
        <v>100</v>
      </c>
      <c r="O3734">
        <v>36.594202898550733</v>
      </c>
      <c r="P3734"/>
    </row>
    <row r="3735" spans="1:16" hidden="1" x14ac:dyDescent="0.25">
      <c r="A3735" s="11">
        <v>46119</v>
      </c>
      <c r="B3735" t="s">
        <v>35</v>
      </c>
      <c r="C3735" t="s">
        <v>32</v>
      </c>
      <c r="D3735">
        <v>30</v>
      </c>
      <c r="E3735">
        <v>30</v>
      </c>
      <c r="F3735">
        <v>20.47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 t="shared" si="422"/>
        <v>OPORTUNO</v>
      </c>
      <c r="M3735">
        <v>29</v>
      </c>
      <c r="N3735">
        <v>100</v>
      </c>
      <c r="O3735">
        <v>38.653846153846153</v>
      </c>
      <c r="P3735"/>
    </row>
    <row r="3736" spans="1:16" hidden="1" x14ac:dyDescent="0.25">
      <c r="A3736" s="11">
        <v>46119</v>
      </c>
      <c r="B3736" t="s">
        <v>18</v>
      </c>
      <c r="C3736" t="s">
        <v>16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9</v>
      </c>
      <c r="K3736" s="3">
        <f>I3736-J3736</f>
        <v>-4</v>
      </c>
      <c r="L3736" s="3" t="str">
        <f t="shared" si="422"/>
        <v>ATENÇÃO</v>
      </c>
      <c r="M3736">
        <v>5</v>
      </c>
      <c r="N3736">
        <v>100</v>
      </c>
      <c r="O3736">
        <v>27.368421052631579</v>
      </c>
      <c r="P3736"/>
    </row>
    <row r="3737" spans="1:16" hidden="1" x14ac:dyDescent="0.25">
      <c r="A3737" s="11">
        <v>46119</v>
      </c>
      <c r="B3737" t="s">
        <v>52</v>
      </c>
      <c r="C3737" t="s">
        <v>48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25</v>
      </c>
      <c r="K3737" s="3">
        <f>I3737-J3737</f>
        <v>-7</v>
      </c>
      <c r="L3737" s="3" t="str">
        <f t="shared" si="422"/>
        <v>CRÍTICO</v>
      </c>
      <c r="M3737">
        <v>19</v>
      </c>
      <c r="N3737">
        <v>97.83</v>
      </c>
      <c r="O3737">
        <v>28.35164835164835</v>
      </c>
      <c r="P3737"/>
    </row>
    <row r="3738" spans="1:16" hidden="1" x14ac:dyDescent="0.25">
      <c r="A3738" s="11">
        <v>46119</v>
      </c>
      <c r="B3738" t="s">
        <v>36</v>
      </c>
      <c r="C3738" t="s">
        <v>32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31</v>
      </c>
      <c r="K3738" s="3">
        <f>I3738-J3738</f>
        <v>-2</v>
      </c>
      <c r="L3738" s="3" t="str">
        <f t="shared" si="422"/>
        <v>ATENÇÃO</v>
      </c>
      <c r="M3738">
        <v>29</v>
      </c>
      <c r="N3738">
        <v>99.26</v>
      </c>
      <c r="O3738">
        <v>29.766536964980549</v>
      </c>
      <c r="P3738"/>
    </row>
    <row r="3739" spans="1:16" hidden="1" x14ac:dyDescent="0.25">
      <c r="A3739" s="11">
        <v>46119</v>
      </c>
      <c r="B3739" t="s">
        <v>53</v>
      </c>
      <c r="C3739" t="s">
        <v>48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25</v>
      </c>
      <c r="K3739" s="3">
        <f>I3739-J3739</f>
        <v>1</v>
      </c>
      <c r="L3739" s="3" t="str">
        <f t="shared" si="422"/>
        <v>OPORTUNO</v>
      </c>
      <c r="M3739">
        <v>24</v>
      </c>
      <c r="N3739">
        <v>99.19</v>
      </c>
      <c r="O3739">
        <v>29.462365591397852</v>
      </c>
      <c r="P3739"/>
    </row>
    <row r="3740" spans="1:16" hidden="1" x14ac:dyDescent="0.25">
      <c r="A3740" s="11">
        <v>46167</v>
      </c>
      <c r="B3740" t="s">
        <v>52</v>
      </c>
      <c r="C3740" t="s">
        <v>48</v>
      </c>
      <c r="D3740" s="3">
        <v>23</v>
      </c>
      <c r="E3740" s="3">
        <v>21</v>
      </c>
      <c r="F3740" s="3">
        <v>13.4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 t="shared" si="422"/>
        <v>OPORTUNO</v>
      </c>
      <c r="M3740" s="3">
        <v>17</v>
      </c>
      <c r="N3740" s="3">
        <v>99.01</v>
      </c>
      <c r="O3740" s="3">
        <v>17.766497461928939</v>
      </c>
    </row>
    <row r="3741" spans="1:16" hidden="1" x14ac:dyDescent="0.25">
      <c r="A3741" s="11">
        <v>46119</v>
      </c>
      <c r="B3741" t="s">
        <v>54</v>
      </c>
      <c r="C3741" t="s">
        <v>48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 t="shared" si="422"/>
        <v>OPORTUNO</v>
      </c>
      <c r="M3741">
        <v>0</v>
      </c>
      <c r="N3741">
        <v>100</v>
      </c>
      <c r="O3741">
        <v>28.921568627450981</v>
      </c>
      <c r="P3741"/>
    </row>
    <row r="3742" spans="1:16" hidden="1" x14ac:dyDescent="0.25">
      <c r="A3742" s="11">
        <v>46119</v>
      </c>
      <c r="B3742" t="s">
        <v>37</v>
      </c>
      <c r="C3742" t="s">
        <v>32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31</v>
      </c>
      <c r="K3742" s="3">
        <f>I3742-J3742</f>
        <v>12</v>
      </c>
      <c r="L3742" s="3" t="str">
        <f t="shared" si="422"/>
        <v>MUITO BOM</v>
      </c>
      <c r="M3742">
        <v>48</v>
      </c>
      <c r="N3742">
        <v>99.57</v>
      </c>
      <c r="O3742">
        <v>30.635838150289018</v>
      </c>
      <c r="P3742"/>
    </row>
    <row r="3743" spans="1:16" hidden="1" x14ac:dyDescent="0.25">
      <c r="A3743" s="11">
        <v>46119</v>
      </c>
      <c r="B3743" t="s">
        <v>38</v>
      </c>
      <c r="C3743" t="s">
        <v>32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 t="shared" si="422"/>
        <v>OPORTUNO</v>
      </c>
      <c r="M3743">
        <v>0</v>
      </c>
      <c r="N3743">
        <v>95.65</v>
      </c>
      <c r="O3743">
        <v>32.432432432432442</v>
      </c>
      <c r="P3743"/>
    </row>
    <row r="3744" spans="1:16" hidden="1" x14ac:dyDescent="0.25">
      <c r="A3744" s="11">
        <v>46119</v>
      </c>
      <c r="B3744" t="s">
        <v>55</v>
      </c>
      <c r="C3744" t="s">
        <v>48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25</v>
      </c>
      <c r="K3744" s="3">
        <f>I3744-J3744</f>
        <v>-1</v>
      </c>
      <c r="L3744" s="3" t="str">
        <f t="shared" si="422"/>
        <v>ATENÇÃO</v>
      </c>
      <c r="M3744">
        <v>20</v>
      </c>
      <c r="N3744">
        <v>98.81</v>
      </c>
      <c r="O3744">
        <v>26.256983240223459</v>
      </c>
      <c r="P3744"/>
    </row>
    <row r="3745" spans="1:15" customFormat="1" hidden="1" x14ac:dyDescent="0.25">
      <c r="A3745" s="11">
        <v>46119</v>
      </c>
      <c r="B3745" t="s">
        <v>39</v>
      </c>
      <c r="C3745" t="s">
        <v>32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 t="shared" si="422"/>
        <v>OPORTUNO</v>
      </c>
      <c r="M3745">
        <v>0</v>
      </c>
      <c r="N3745">
        <v>0</v>
      </c>
      <c r="O3745">
        <v>0</v>
      </c>
    </row>
    <row r="3746" spans="1:15" customFormat="1" hidden="1" x14ac:dyDescent="0.25">
      <c r="A3746" s="11">
        <v>46119</v>
      </c>
      <c r="B3746" t="s">
        <v>25</v>
      </c>
      <c r="C3746" t="s">
        <v>26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18</v>
      </c>
      <c r="K3746" s="3">
        <f>I3746-J3746</f>
        <v>6</v>
      </c>
      <c r="L3746" s="3" t="str">
        <f t="shared" si="422"/>
        <v>MUITO BOM</v>
      </c>
      <c r="M3746">
        <v>22</v>
      </c>
      <c r="N3746">
        <v>97.17</v>
      </c>
      <c r="O3746">
        <v>28.81844380403458</v>
      </c>
    </row>
    <row r="3747" spans="1:15" customFormat="1" hidden="1" x14ac:dyDescent="0.25">
      <c r="A3747" s="11">
        <v>46119</v>
      </c>
      <c r="B3747" t="s">
        <v>40</v>
      </c>
      <c r="C3747" t="s">
        <v>32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31</v>
      </c>
      <c r="K3747" s="3">
        <f>I3747-J3747</f>
        <v>-7</v>
      </c>
      <c r="L3747" s="3" t="str">
        <f t="shared" si="422"/>
        <v>CRÍTICO</v>
      </c>
      <c r="M3747">
        <v>23</v>
      </c>
      <c r="N3747">
        <v>96.81</v>
      </c>
      <c r="O3747">
        <v>48.018648018648022</v>
      </c>
    </row>
    <row r="3748" spans="1:15" customFormat="1" hidden="1" x14ac:dyDescent="0.25">
      <c r="A3748" s="11">
        <v>46119</v>
      </c>
      <c r="B3748" t="s">
        <v>27</v>
      </c>
      <c r="C3748" t="s">
        <v>26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18</v>
      </c>
      <c r="K3748" s="3">
        <f>I3748-J3748</f>
        <v>-2</v>
      </c>
      <c r="L3748" s="3" t="str">
        <f t="shared" si="422"/>
        <v>ATENÇÃO</v>
      </c>
      <c r="M3748">
        <v>13</v>
      </c>
      <c r="N3748">
        <v>98.15</v>
      </c>
      <c r="O3748">
        <v>27.1551724137931</v>
      </c>
    </row>
    <row r="3749" spans="1:15" customFormat="1" hidden="1" x14ac:dyDescent="0.25">
      <c r="A3749" s="11">
        <v>46119</v>
      </c>
      <c r="B3749" t="s">
        <v>41</v>
      </c>
      <c r="C3749" t="s">
        <v>32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-6</v>
      </c>
      <c r="L3749" s="3" t="str">
        <f t="shared" si="422"/>
        <v>CRÍTICO</v>
      </c>
      <c r="M3749">
        <v>25</v>
      </c>
      <c r="N3749">
        <v>99.15</v>
      </c>
      <c r="O3749">
        <v>27.586206896551719</v>
      </c>
    </row>
    <row r="3750" spans="1:15" customFormat="1" hidden="1" x14ac:dyDescent="0.25">
      <c r="A3750" s="11">
        <v>46119</v>
      </c>
      <c r="B3750" t="s">
        <v>56</v>
      </c>
      <c r="C3750" t="s">
        <v>48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25</v>
      </c>
      <c r="K3750" s="3">
        <f>I3750-J3750</f>
        <v>4</v>
      </c>
      <c r="L3750" s="3" t="str">
        <f t="shared" si="422"/>
        <v>OPORTUNO</v>
      </c>
      <c r="M3750">
        <v>26</v>
      </c>
      <c r="N3750">
        <v>99.17</v>
      </c>
      <c r="O3750">
        <v>29.75206611570248</v>
      </c>
    </row>
    <row r="3751" spans="1:15" customFormat="1" hidden="1" x14ac:dyDescent="0.25">
      <c r="A3751" s="11">
        <v>46119</v>
      </c>
      <c r="B3751" t="s">
        <v>57</v>
      </c>
      <c r="C3751" t="s">
        <v>48</v>
      </c>
      <c r="D3751">
        <v>37</v>
      </c>
      <c r="E3751">
        <v>34</v>
      </c>
      <c r="F3751">
        <v>16.52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 t="shared" si="422"/>
        <v>OPORTUNO</v>
      </c>
      <c r="M3751">
        <v>33</v>
      </c>
      <c r="N3751">
        <v>98.73</v>
      </c>
      <c r="O3751">
        <v>28.961748633879779</v>
      </c>
    </row>
    <row r="3752" spans="1:15" customFormat="1" hidden="1" x14ac:dyDescent="0.25">
      <c r="A3752" s="11">
        <v>46119</v>
      </c>
      <c r="B3752" t="s">
        <v>42</v>
      </c>
      <c r="C3752" t="s">
        <v>32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ref="I3752:I3767" si="429">E3752+G3752+H3752</f>
        <v>30</v>
      </c>
      <c r="J3752" s="3">
        <f t="shared" ref="J3752:J3767" si="430"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31</v>
      </c>
      <c r="K3752" s="3">
        <f t="shared" ref="K3752:K3767" si="431">I3752-J3752</f>
        <v>-1</v>
      </c>
      <c r="L3752" s="3" t="str">
        <f t="shared" si="422"/>
        <v>ATENÇÃO</v>
      </c>
      <c r="M3752">
        <v>21</v>
      </c>
      <c r="N3752">
        <v>88.68</v>
      </c>
      <c r="O3752">
        <v>22.03389830508474</v>
      </c>
    </row>
    <row r="3753" spans="1:15" customFormat="1" hidden="1" x14ac:dyDescent="0.25">
      <c r="A3753" s="11">
        <v>46119</v>
      </c>
      <c r="B3753" t="s">
        <v>62</v>
      </c>
      <c r="C3753" t="s">
        <v>23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429"/>
        <v>12</v>
      </c>
      <c r="J3753" s="3">
        <f t="shared" si="430"/>
        <v>21</v>
      </c>
      <c r="K3753" s="3">
        <f t="shared" si="431"/>
        <v>-9</v>
      </c>
      <c r="L3753" s="3" t="str">
        <f t="shared" si="422"/>
        <v>CRÍTICO</v>
      </c>
      <c r="M3753">
        <v>11</v>
      </c>
      <c r="N3753">
        <v>97.37</v>
      </c>
      <c r="O3753">
        <v>25.76530612244898</v>
      </c>
    </row>
    <row r="3754" spans="1:15" customFormat="1" hidden="1" x14ac:dyDescent="0.25">
      <c r="A3754" s="11">
        <v>46119</v>
      </c>
      <c r="B3754" t="s">
        <v>19</v>
      </c>
      <c r="C3754" t="s">
        <v>16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429"/>
        <v>10</v>
      </c>
      <c r="J3754" s="3">
        <f t="shared" si="430"/>
        <v>9</v>
      </c>
      <c r="K3754" s="3">
        <f t="shared" si="431"/>
        <v>1</v>
      </c>
      <c r="L3754" s="3" t="str">
        <f t="shared" si="422"/>
        <v>OPORTUNO</v>
      </c>
      <c r="M3754">
        <v>7</v>
      </c>
      <c r="N3754">
        <v>100</v>
      </c>
      <c r="O3754">
        <v>25</v>
      </c>
    </row>
    <row r="3755" spans="1:15" customFormat="1" hidden="1" x14ac:dyDescent="0.25">
      <c r="A3755" s="11">
        <v>46119</v>
      </c>
      <c r="B3755" t="s">
        <v>43</v>
      </c>
      <c r="C3755" t="s">
        <v>32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429"/>
        <v>43</v>
      </c>
      <c r="J3755" s="3">
        <f t="shared" si="430"/>
        <v>31</v>
      </c>
      <c r="K3755" s="3">
        <f t="shared" si="431"/>
        <v>12</v>
      </c>
      <c r="L3755" s="3" t="str">
        <f t="shared" si="422"/>
        <v>MUITO BOM</v>
      </c>
      <c r="M3755">
        <v>40</v>
      </c>
      <c r="N3755">
        <v>100</v>
      </c>
      <c r="O3755">
        <v>23.9870340356564</v>
      </c>
    </row>
    <row r="3756" spans="1:15" customFormat="1" hidden="1" x14ac:dyDescent="0.25">
      <c r="A3756" s="11">
        <v>46119</v>
      </c>
      <c r="B3756" t="s">
        <v>44</v>
      </c>
      <c r="C3756" t="s">
        <v>32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429"/>
        <v>35</v>
      </c>
      <c r="J3756" s="3">
        <f t="shared" si="430"/>
        <v>31</v>
      </c>
      <c r="K3756" s="3">
        <f t="shared" si="431"/>
        <v>4</v>
      </c>
      <c r="L3756" s="3" t="str">
        <f t="shared" si="422"/>
        <v>OPORTUNO</v>
      </c>
      <c r="M3756">
        <v>27</v>
      </c>
      <c r="N3756">
        <v>95.49</v>
      </c>
      <c r="O3756">
        <v>28.370221327967808</v>
      </c>
    </row>
    <row r="3757" spans="1:15" customFormat="1" hidden="1" x14ac:dyDescent="0.25">
      <c r="A3757" s="11">
        <v>46119</v>
      </c>
      <c r="B3757" t="s">
        <v>20</v>
      </c>
      <c r="C3757" t="s">
        <v>16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429"/>
        <v>10</v>
      </c>
      <c r="J3757" s="3">
        <f t="shared" si="430"/>
        <v>9</v>
      </c>
      <c r="K3757" s="3">
        <f t="shared" si="431"/>
        <v>1</v>
      </c>
      <c r="L3757" s="3" t="str">
        <f t="shared" si="422"/>
        <v>OPORTUNO</v>
      </c>
      <c r="M3757">
        <v>9</v>
      </c>
      <c r="N3757">
        <v>100</v>
      </c>
      <c r="O3757">
        <v>23.77622377622378</v>
      </c>
    </row>
    <row r="3758" spans="1:15" customFormat="1" hidden="1" x14ac:dyDescent="0.25">
      <c r="A3758" s="11">
        <v>46119</v>
      </c>
      <c r="B3758" t="s">
        <v>28</v>
      </c>
      <c r="C3758" t="s">
        <v>26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429"/>
        <v>19</v>
      </c>
      <c r="J3758" s="3">
        <f t="shared" si="430"/>
        <v>18</v>
      </c>
      <c r="K3758" s="3">
        <f t="shared" si="431"/>
        <v>1</v>
      </c>
      <c r="L3758" s="3" t="str">
        <f t="shared" si="422"/>
        <v>OPORTUNO</v>
      </c>
      <c r="M3758">
        <v>12</v>
      </c>
      <c r="N3758">
        <v>96.15</v>
      </c>
      <c r="O3758">
        <v>24.045801526717561</v>
      </c>
    </row>
    <row r="3759" spans="1:15" customFormat="1" hidden="1" x14ac:dyDescent="0.25">
      <c r="A3759" s="11">
        <v>46119</v>
      </c>
      <c r="B3759" t="s">
        <v>58</v>
      </c>
      <c r="C3759" t="s">
        <v>48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429"/>
        <v>19</v>
      </c>
      <c r="J3759" s="3">
        <f t="shared" si="430"/>
        <v>25</v>
      </c>
      <c r="K3759" s="3">
        <f t="shared" si="431"/>
        <v>-6</v>
      </c>
      <c r="L3759" s="3" t="str">
        <f t="shared" si="422"/>
        <v>CRÍTICO</v>
      </c>
      <c r="M3759">
        <v>18</v>
      </c>
      <c r="N3759">
        <v>99.02</v>
      </c>
      <c r="O3759">
        <v>34.797297297297298</v>
      </c>
    </row>
    <row r="3760" spans="1:15" customFormat="1" hidden="1" x14ac:dyDescent="0.25">
      <c r="A3760" s="11">
        <v>46119</v>
      </c>
      <c r="B3760" t="s">
        <v>29</v>
      </c>
      <c r="C3760" t="s">
        <v>26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429"/>
        <v>16</v>
      </c>
      <c r="J3760" s="3">
        <f t="shared" si="430"/>
        <v>18</v>
      </c>
      <c r="K3760" s="3">
        <f t="shared" si="431"/>
        <v>-2</v>
      </c>
      <c r="L3760" s="3" t="str">
        <f t="shared" si="422"/>
        <v>ATENÇÃO</v>
      </c>
      <c r="M3760">
        <v>15</v>
      </c>
      <c r="N3760">
        <v>98.84</v>
      </c>
      <c r="O3760">
        <v>31.868131868131869</v>
      </c>
    </row>
    <row r="3761" spans="1:15" customFormat="1" hidden="1" x14ac:dyDescent="0.25">
      <c r="A3761" s="11">
        <v>46119</v>
      </c>
      <c r="B3761" t="s">
        <v>30</v>
      </c>
      <c r="C3761" t="s">
        <v>26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429"/>
        <v>16</v>
      </c>
      <c r="J3761" s="3">
        <f t="shared" si="430"/>
        <v>18</v>
      </c>
      <c r="K3761" s="3">
        <f t="shared" si="431"/>
        <v>-2</v>
      </c>
      <c r="L3761" s="3" t="str">
        <f t="shared" si="422"/>
        <v>ATENÇÃO</v>
      </c>
      <c r="M3761">
        <v>13</v>
      </c>
      <c r="N3761">
        <v>100</v>
      </c>
      <c r="O3761">
        <v>34.666666666666671</v>
      </c>
    </row>
    <row r="3762" spans="1:15" customFormat="1" hidden="1" x14ac:dyDescent="0.25">
      <c r="A3762" s="11">
        <v>46119</v>
      </c>
      <c r="B3762" t="s">
        <v>21</v>
      </c>
      <c r="C3762" t="s">
        <v>16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429"/>
        <v>9</v>
      </c>
      <c r="J3762" s="3">
        <f t="shared" si="430"/>
        <v>9</v>
      </c>
      <c r="K3762" s="3">
        <f t="shared" si="431"/>
        <v>0</v>
      </c>
      <c r="L3762" s="3" t="str">
        <f t="shared" si="422"/>
        <v>OPORTUNO</v>
      </c>
      <c r="M3762">
        <v>5</v>
      </c>
      <c r="N3762">
        <v>94.12</v>
      </c>
      <c r="O3762">
        <v>32.799999999999997</v>
      </c>
    </row>
    <row r="3763" spans="1:15" customFormat="1" hidden="1" x14ac:dyDescent="0.25">
      <c r="A3763" s="11">
        <v>46119</v>
      </c>
      <c r="B3763" t="s">
        <v>63</v>
      </c>
      <c r="C3763" t="s">
        <v>23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429"/>
        <v>31</v>
      </c>
      <c r="J3763" s="3">
        <f t="shared" si="430"/>
        <v>21</v>
      </c>
      <c r="K3763" s="3">
        <f t="shared" si="431"/>
        <v>10</v>
      </c>
      <c r="L3763" s="3" t="str">
        <f t="shared" si="422"/>
        <v>MUITO BOM</v>
      </c>
      <c r="M3763">
        <v>28</v>
      </c>
      <c r="N3763">
        <v>98.32</v>
      </c>
      <c r="O3763">
        <v>26.858513189448441</v>
      </c>
    </row>
    <row r="3764" spans="1:15" customFormat="1" hidden="1" x14ac:dyDescent="0.25">
      <c r="A3764" s="11">
        <v>46119</v>
      </c>
      <c r="B3764" t="s">
        <v>45</v>
      </c>
      <c r="C3764" t="s">
        <v>32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429"/>
        <v>39</v>
      </c>
      <c r="J3764" s="3">
        <f t="shared" si="430"/>
        <v>31</v>
      </c>
      <c r="K3764" s="3">
        <f t="shared" si="431"/>
        <v>8</v>
      </c>
      <c r="L3764" s="3" t="str">
        <f t="shared" si="422"/>
        <v>MUITO BOM</v>
      </c>
      <c r="M3764">
        <v>31</v>
      </c>
      <c r="N3764">
        <v>100</v>
      </c>
      <c r="O3764">
        <v>31.135531135531139</v>
      </c>
    </row>
    <row r="3765" spans="1:15" customFormat="1" hidden="1" x14ac:dyDescent="0.25">
      <c r="A3765" s="11">
        <v>46119</v>
      </c>
      <c r="B3765" t="s">
        <v>64</v>
      </c>
      <c r="C3765" t="s">
        <v>23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429"/>
        <v>21</v>
      </c>
      <c r="J3765" s="3">
        <f t="shared" si="430"/>
        <v>21</v>
      </c>
      <c r="K3765" s="3">
        <f t="shared" si="431"/>
        <v>0</v>
      </c>
      <c r="L3765" s="3" t="str">
        <f t="shared" si="422"/>
        <v>OPORTUNO</v>
      </c>
      <c r="M3765">
        <v>20</v>
      </c>
      <c r="N3765">
        <v>100</v>
      </c>
      <c r="O3765">
        <v>26.36986301369863</v>
      </c>
    </row>
    <row r="3766" spans="1:15" customFormat="1" hidden="1" x14ac:dyDescent="0.25">
      <c r="A3766" s="11">
        <v>46119</v>
      </c>
      <c r="B3766" t="s">
        <v>46</v>
      </c>
      <c r="C3766" t="s">
        <v>32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429"/>
        <v>31</v>
      </c>
      <c r="J3766" s="3">
        <f t="shared" si="430"/>
        <v>31</v>
      </c>
      <c r="K3766" s="3">
        <f t="shared" si="431"/>
        <v>0</v>
      </c>
      <c r="L3766" s="3" t="str">
        <f t="shared" si="422"/>
        <v>OPORTUNO</v>
      </c>
      <c r="M3766">
        <v>26</v>
      </c>
      <c r="N3766">
        <v>99.21</v>
      </c>
      <c r="O3766">
        <v>25.188916876574311</v>
      </c>
    </row>
    <row r="3767" spans="1:15" customFormat="1" hidden="1" x14ac:dyDescent="0.25">
      <c r="A3767" s="11">
        <v>46120</v>
      </c>
      <c r="B3767" t="s">
        <v>47</v>
      </c>
      <c r="C3767" t="s">
        <v>48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429"/>
        <v>25</v>
      </c>
      <c r="J3767" s="3">
        <f t="shared" si="430"/>
        <v>24</v>
      </c>
      <c r="K3767" s="3">
        <f t="shared" si="431"/>
        <v>1</v>
      </c>
      <c r="L3767" s="3" t="str">
        <f t="shared" si="422"/>
        <v>OPORTUNO</v>
      </c>
      <c r="M3767">
        <v>15</v>
      </c>
      <c r="N3767">
        <v>100</v>
      </c>
      <c r="O3767">
        <v>32.764505119453922</v>
      </c>
    </row>
    <row r="3768" spans="1:15" customFormat="1" hidden="1" x14ac:dyDescent="0.25">
      <c r="A3768" s="11">
        <v>46120</v>
      </c>
      <c r="B3768" t="s">
        <v>31</v>
      </c>
      <c r="C3768" t="s">
        <v>32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 t="shared" si="422"/>
        <v>OPORTUNO</v>
      </c>
      <c r="M3768">
        <v>26</v>
      </c>
      <c r="N3768">
        <v>98.66</v>
      </c>
      <c r="O3768">
        <v>35.416666666666671</v>
      </c>
    </row>
    <row r="3769" spans="1:15" customFormat="1" hidden="1" x14ac:dyDescent="0.25">
      <c r="A3769" s="11">
        <v>46120</v>
      </c>
      <c r="B3769" t="s">
        <v>59</v>
      </c>
      <c r="C3769" t="s">
        <v>23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ref="I3769:I3776" si="432">E3769+G3769+H3769</f>
        <v>33</v>
      </c>
      <c r="J3769" s="3">
        <f t="shared" ref="J3769:J3776" si="433"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20</v>
      </c>
      <c r="K3769" s="3">
        <f t="shared" ref="K3769:K3776" si="434">I3769-J3769</f>
        <v>13</v>
      </c>
      <c r="L3769" s="3" t="str">
        <f t="shared" si="422"/>
        <v>MUITO BOM</v>
      </c>
      <c r="M3769">
        <v>32</v>
      </c>
      <c r="N3769">
        <v>99.32</v>
      </c>
      <c r="O3769">
        <v>30.648330058939099</v>
      </c>
    </row>
    <row r="3770" spans="1:15" customFormat="1" hidden="1" x14ac:dyDescent="0.25">
      <c r="A3770" s="11">
        <v>46120</v>
      </c>
      <c r="B3770" t="s">
        <v>33</v>
      </c>
      <c r="C3770" t="s">
        <v>32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432"/>
        <v>35</v>
      </c>
      <c r="J3770" s="3">
        <f t="shared" si="433"/>
        <v>30</v>
      </c>
      <c r="K3770" s="3">
        <f t="shared" si="434"/>
        <v>5</v>
      </c>
      <c r="L3770" s="3" t="str">
        <f t="shared" si="422"/>
        <v>OPORTUNO</v>
      </c>
      <c r="M3770">
        <v>31</v>
      </c>
      <c r="N3770">
        <v>100</v>
      </c>
      <c r="O3770">
        <v>27.803738317757009</v>
      </c>
    </row>
    <row r="3771" spans="1:15" customFormat="1" hidden="1" x14ac:dyDescent="0.25">
      <c r="A3771" s="11">
        <v>46120</v>
      </c>
      <c r="B3771" t="s">
        <v>15</v>
      </c>
      <c r="C3771" t="s">
        <v>16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432"/>
        <v>15</v>
      </c>
      <c r="J3771" s="3">
        <f t="shared" si="433"/>
        <v>9</v>
      </c>
      <c r="K3771" s="3">
        <f t="shared" si="434"/>
        <v>6</v>
      </c>
      <c r="L3771" s="3" t="str">
        <f t="shared" ref="L3771:L3834" si="435">IF(K3771&lt;-5,"CRÍTICO",IF(K3771&lt;0,"ATENÇÃO",IF(K3771&lt;=5,"OPORTUNO","MUITO BOM")))</f>
        <v>MUITO BOM</v>
      </c>
      <c r="M3771">
        <v>13</v>
      </c>
      <c r="N3771">
        <v>96.74</v>
      </c>
      <c r="O3771">
        <v>28.67647058823529</v>
      </c>
    </row>
    <row r="3772" spans="1:15" customFormat="1" hidden="1" x14ac:dyDescent="0.25">
      <c r="A3772" s="11">
        <v>46120</v>
      </c>
      <c r="B3772" t="s">
        <v>49</v>
      </c>
      <c r="C3772" t="s">
        <v>48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432"/>
        <v>27</v>
      </c>
      <c r="J3772" s="3">
        <f t="shared" si="433"/>
        <v>24</v>
      </c>
      <c r="K3772" s="3">
        <f t="shared" si="434"/>
        <v>3</v>
      </c>
      <c r="L3772" s="3" t="str">
        <f t="shared" si="435"/>
        <v>OPORTUNO</v>
      </c>
      <c r="M3772">
        <v>29</v>
      </c>
      <c r="N3772">
        <v>98.82</v>
      </c>
      <c r="O3772">
        <v>30.741410488245929</v>
      </c>
    </row>
    <row r="3773" spans="1:15" customFormat="1" hidden="1" x14ac:dyDescent="0.25">
      <c r="A3773" s="11">
        <v>46120</v>
      </c>
      <c r="B3773" t="s">
        <v>50</v>
      </c>
      <c r="C3773" t="s">
        <v>48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432"/>
        <v>14</v>
      </c>
      <c r="J3773" s="3">
        <f t="shared" si="433"/>
        <v>24</v>
      </c>
      <c r="K3773" s="3">
        <f t="shared" si="434"/>
        <v>-10</v>
      </c>
      <c r="L3773" s="3" t="str">
        <f t="shared" si="435"/>
        <v>CRÍTICO</v>
      </c>
      <c r="M3773">
        <v>18</v>
      </c>
      <c r="N3773">
        <v>98.2</v>
      </c>
      <c r="O3773">
        <v>27.170868347338931</v>
      </c>
    </row>
    <row r="3774" spans="1:15" customFormat="1" hidden="1" x14ac:dyDescent="0.25">
      <c r="A3774" s="11">
        <v>46120</v>
      </c>
      <c r="B3774" t="s">
        <v>17</v>
      </c>
      <c r="C3774" t="s">
        <v>16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432"/>
        <v>4</v>
      </c>
      <c r="J3774" s="3">
        <f t="shared" si="433"/>
        <v>9</v>
      </c>
      <c r="K3774" s="3">
        <f t="shared" si="434"/>
        <v>-5</v>
      </c>
      <c r="L3774" s="3" t="str">
        <f t="shared" si="435"/>
        <v>ATENÇÃO</v>
      </c>
      <c r="M3774">
        <v>4</v>
      </c>
      <c r="N3774">
        <v>100</v>
      </c>
      <c r="O3774">
        <v>23.134328358208951</v>
      </c>
    </row>
    <row r="3775" spans="1:15" customFormat="1" hidden="1" x14ac:dyDescent="0.25">
      <c r="A3775" s="11">
        <v>46120</v>
      </c>
      <c r="B3775" t="s">
        <v>60</v>
      </c>
      <c r="C3775" t="s">
        <v>23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432"/>
        <v>22</v>
      </c>
      <c r="J3775" s="3">
        <f t="shared" si="433"/>
        <v>20</v>
      </c>
      <c r="K3775" s="3">
        <f t="shared" si="434"/>
        <v>2</v>
      </c>
      <c r="L3775" s="3" t="str">
        <f t="shared" si="435"/>
        <v>OPORTUNO</v>
      </c>
      <c r="M3775">
        <v>30</v>
      </c>
      <c r="N3775">
        <v>96.3</v>
      </c>
      <c r="O3775">
        <v>32.219570405727922</v>
      </c>
    </row>
    <row r="3776" spans="1:15" customFormat="1" hidden="1" x14ac:dyDescent="0.25">
      <c r="A3776" s="11">
        <v>46120</v>
      </c>
      <c r="B3776" t="s">
        <v>34</v>
      </c>
      <c r="C3776" t="s">
        <v>32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432"/>
        <v>21</v>
      </c>
      <c r="J3776" s="3">
        <f t="shared" si="433"/>
        <v>30</v>
      </c>
      <c r="K3776" s="3">
        <f t="shared" si="434"/>
        <v>-9</v>
      </c>
      <c r="L3776" s="3" t="str">
        <f t="shared" si="435"/>
        <v>CRÍTICO</v>
      </c>
      <c r="M3776">
        <v>17</v>
      </c>
      <c r="N3776">
        <v>93.75</v>
      </c>
      <c r="O3776">
        <v>26.819923371647509</v>
      </c>
    </row>
    <row r="3777" spans="1:16" hidden="1" x14ac:dyDescent="0.25">
      <c r="A3777" s="11">
        <v>46120</v>
      </c>
      <c r="B3777" t="s">
        <v>51</v>
      </c>
      <c r="C3777" t="s">
        <v>48</v>
      </c>
      <c r="D3777">
        <v>37</v>
      </c>
      <c r="E3777">
        <v>33</v>
      </c>
      <c r="F3777">
        <v>15.35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 t="shared" si="435"/>
        <v>OPORTUNO</v>
      </c>
      <c r="M3777">
        <v>31</v>
      </c>
      <c r="N3777">
        <v>97.86</v>
      </c>
      <c r="O3777">
        <v>31.018518518518519</v>
      </c>
      <c r="P3777"/>
    </row>
    <row r="3778" spans="1:16" hidden="1" x14ac:dyDescent="0.25">
      <c r="A3778" s="11">
        <v>46120</v>
      </c>
      <c r="B3778" t="s">
        <v>61</v>
      </c>
      <c r="C3778" t="s">
        <v>23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20</v>
      </c>
      <c r="K3778" s="3">
        <f>I3778-J3778</f>
        <v>8</v>
      </c>
      <c r="L3778" s="3" t="str">
        <f t="shared" si="435"/>
        <v>MUITO BOM</v>
      </c>
      <c r="M3778">
        <v>19</v>
      </c>
      <c r="N3778">
        <v>100</v>
      </c>
      <c r="O3778">
        <v>36.594202898550733</v>
      </c>
      <c r="P3778"/>
    </row>
    <row r="3779" spans="1:16" hidden="1" x14ac:dyDescent="0.25">
      <c r="A3779" s="11">
        <v>46120</v>
      </c>
      <c r="B3779" t="s">
        <v>35</v>
      </c>
      <c r="C3779" t="s">
        <v>32</v>
      </c>
      <c r="D3779">
        <v>34</v>
      </c>
      <c r="E3779">
        <v>34</v>
      </c>
      <c r="F3779">
        <v>19.03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 t="shared" si="435"/>
        <v>OPORTUNO</v>
      </c>
      <c r="M3779">
        <v>39</v>
      </c>
      <c r="N3779">
        <v>100</v>
      </c>
      <c r="O3779">
        <v>38.653846153846153</v>
      </c>
      <c r="P3779"/>
    </row>
    <row r="3780" spans="1:16" hidden="1" x14ac:dyDescent="0.25">
      <c r="A3780" s="11">
        <v>46120</v>
      </c>
      <c r="B3780" t="s">
        <v>18</v>
      </c>
      <c r="C3780" t="s">
        <v>16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9</v>
      </c>
      <c r="K3780" s="3">
        <f>I3780-J3780</f>
        <v>-5</v>
      </c>
      <c r="L3780" s="3" t="str">
        <f t="shared" si="435"/>
        <v>ATENÇÃO</v>
      </c>
      <c r="M3780">
        <v>2</v>
      </c>
      <c r="N3780">
        <v>100</v>
      </c>
      <c r="O3780">
        <v>27.368421052631579</v>
      </c>
      <c r="P3780"/>
    </row>
    <row r="3781" spans="1:16" hidden="1" x14ac:dyDescent="0.25">
      <c r="A3781" s="11">
        <v>46120</v>
      </c>
      <c r="B3781" t="s">
        <v>52</v>
      </c>
      <c r="C3781" t="s">
        <v>48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24</v>
      </c>
      <c r="K3781" s="3">
        <f>I3781-J3781</f>
        <v>3</v>
      </c>
      <c r="L3781" s="3" t="str">
        <f t="shared" si="435"/>
        <v>OPORTUNO</v>
      </c>
      <c r="M3781">
        <v>25</v>
      </c>
      <c r="N3781">
        <v>97.83</v>
      </c>
      <c r="O3781">
        <v>28.35164835164835</v>
      </c>
      <c r="P3781"/>
    </row>
    <row r="3782" spans="1:16" hidden="1" x14ac:dyDescent="0.25">
      <c r="A3782" s="11">
        <v>46120</v>
      </c>
      <c r="B3782" t="s">
        <v>36</v>
      </c>
      <c r="C3782" t="s">
        <v>32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30</v>
      </c>
      <c r="K3782" s="3">
        <f>I3782-J3782</f>
        <v>-4</v>
      </c>
      <c r="L3782" s="3" t="str">
        <f t="shared" si="435"/>
        <v>ATENÇÃO</v>
      </c>
      <c r="M3782">
        <v>23</v>
      </c>
      <c r="N3782">
        <v>99.26</v>
      </c>
      <c r="O3782">
        <v>29.766536964980549</v>
      </c>
      <c r="P3782"/>
    </row>
    <row r="3783" spans="1:16" hidden="1" x14ac:dyDescent="0.25">
      <c r="A3783" s="11">
        <v>46120</v>
      </c>
      <c r="B3783" t="s">
        <v>53</v>
      </c>
      <c r="C3783" t="s">
        <v>48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24</v>
      </c>
      <c r="K3783" s="3">
        <f>I3783-J3783</f>
        <v>9</v>
      </c>
      <c r="L3783" s="3" t="str">
        <f t="shared" si="435"/>
        <v>MUITO BOM</v>
      </c>
      <c r="M3783">
        <v>28</v>
      </c>
      <c r="N3783">
        <v>99.19</v>
      </c>
      <c r="O3783">
        <v>29.462365591397852</v>
      </c>
      <c r="P3783"/>
    </row>
    <row r="3784" spans="1:16" hidden="1" x14ac:dyDescent="0.25">
      <c r="A3784" s="11">
        <v>46167</v>
      </c>
      <c r="B3784" t="s">
        <v>53</v>
      </c>
      <c r="C3784" t="s">
        <v>48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 t="shared" si="435"/>
        <v>OPORTUNO</v>
      </c>
      <c r="M3784" s="3">
        <v>0</v>
      </c>
      <c r="N3784" s="3">
        <v>100</v>
      </c>
      <c r="O3784" s="3">
        <v>17.241379310344829</v>
      </c>
    </row>
    <row r="3785" spans="1:16" hidden="1" x14ac:dyDescent="0.25">
      <c r="A3785" s="11">
        <v>46120</v>
      </c>
      <c r="B3785" t="s">
        <v>54</v>
      </c>
      <c r="C3785" t="s">
        <v>48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 t="shared" si="435"/>
        <v>OPORTUNO</v>
      </c>
      <c r="M3785">
        <v>0</v>
      </c>
      <c r="N3785">
        <v>100</v>
      </c>
      <c r="O3785">
        <v>28.921568627450981</v>
      </c>
      <c r="P3785"/>
    </row>
    <row r="3786" spans="1:16" hidden="1" x14ac:dyDescent="0.25">
      <c r="A3786" s="11">
        <v>46120</v>
      </c>
      <c r="B3786" t="s">
        <v>37</v>
      </c>
      <c r="C3786" t="s">
        <v>32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30</v>
      </c>
      <c r="K3786" s="3">
        <f>I3786-J3786</f>
        <v>7</v>
      </c>
      <c r="L3786" s="3" t="str">
        <f t="shared" si="435"/>
        <v>MUITO BOM</v>
      </c>
      <c r="M3786">
        <v>37</v>
      </c>
      <c r="N3786">
        <v>99.57</v>
      </c>
      <c r="O3786">
        <v>30.635838150289018</v>
      </c>
      <c r="P3786"/>
    </row>
    <row r="3787" spans="1:16" hidden="1" x14ac:dyDescent="0.25">
      <c r="A3787" s="11">
        <v>46120</v>
      </c>
      <c r="B3787" t="s">
        <v>38</v>
      </c>
      <c r="C3787" t="s">
        <v>32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 t="shared" si="435"/>
        <v>OPORTUNO</v>
      </c>
      <c r="M3787">
        <v>0</v>
      </c>
      <c r="N3787">
        <v>95.65</v>
      </c>
      <c r="O3787">
        <v>32.432432432432442</v>
      </c>
      <c r="P3787"/>
    </row>
    <row r="3788" spans="1:16" hidden="1" x14ac:dyDescent="0.25">
      <c r="A3788" s="11">
        <v>46120</v>
      </c>
      <c r="B3788" t="s">
        <v>55</v>
      </c>
      <c r="C3788" t="s">
        <v>48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24</v>
      </c>
      <c r="K3788" s="3">
        <f>I3788-J3788</f>
        <v>1</v>
      </c>
      <c r="L3788" s="3" t="str">
        <f t="shared" si="435"/>
        <v>OPORTUNO</v>
      </c>
      <c r="M3788">
        <v>24</v>
      </c>
      <c r="N3788">
        <v>98.81</v>
      </c>
      <c r="O3788">
        <v>26.256983240223459</v>
      </c>
      <c r="P3788"/>
    </row>
    <row r="3789" spans="1:16" hidden="1" x14ac:dyDescent="0.25">
      <c r="A3789" s="11">
        <v>46120</v>
      </c>
      <c r="B3789" t="s">
        <v>39</v>
      </c>
      <c r="C3789" t="s">
        <v>32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 t="shared" si="435"/>
        <v>OPORTUNO</v>
      </c>
      <c r="M3789">
        <v>0</v>
      </c>
      <c r="N3789">
        <v>0</v>
      </c>
      <c r="O3789">
        <v>0</v>
      </c>
      <c r="P3789"/>
    </row>
    <row r="3790" spans="1:16" hidden="1" x14ac:dyDescent="0.25">
      <c r="A3790" s="11">
        <v>46120</v>
      </c>
      <c r="B3790" t="s">
        <v>25</v>
      </c>
      <c r="C3790" t="s">
        <v>26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17</v>
      </c>
      <c r="K3790" s="3">
        <f>I3790-J3790</f>
        <v>5</v>
      </c>
      <c r="L3790" s="3" t="str">
        <f t="shared" si="435"/>
        <v>OPORTUNO</v>
      </c>
      <c r="M3790">
        <v>14</v>
      </c>
      <c r="N3790">
        <v>97.17</v>
      </c>
      <c r="O3790">
        <v>28.81844380403458</v>
      </c>
      <c r="P3790"/>
    </row>
    <row r="3791" spans="1:16" hidden="1" x14ac:dyDescent="0.25">
      <c r="A3791" s="11">
        <v>46120</v>
      </c>
      <c r="B3791" t="s">
        <v>40</v>
      </c>
      <c r="C3791" t="s">
        <v>32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30</v>
      </c>
      <c r="K3791" s="3">
        <f>I3791-J3791</f>
        <v>-13</v>
      </c>
      <c r="L3791" s="3" t="str">
        <f t="shared" si="435"/>
        <v>CRÍTICO</v>
      </c>
      <c r="M3791">
        <v>18</v>
      </c>
      <c r="N3791">
        <v>96.81</v>
      </c>
      <c r="O3791">
        <v>48.018648018648022</v>
      </c>
      <c r="P3791"/>
    </row>
    <row r="3792" spans="1:16" hidden="1" x14ac:dyDescent="0.25">
      <c r="A3792" s="11">
        <v>46120</v>
      </c>
      <c r="B3792" t="s">
        <v>27</v>
      </c>
      <c r="C3792" t="s">
        <v>26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17</v>
      </c>
      <c r="K3792" s="3">
        <f>I3792-J3792</f>
        <v>0</v>
      </c>
      <c r="L3792" s="3" t="str">
        <f t="shared" si="435"/>
        <v>OPORTUNO</v>
      </c>
      <c r="M3792">
        <v>13</v>
      </c>
      <c r="N3792">
        <v>98.15</v>
      </c>
      <c r="O3792">
        <v>27.1551724137931</v>
      </c>
      <c r="P3792"/>
    </row>
    <row r="3793" spans="1:15" customFormat="1" hidden="1" x14ac:dyDescent="0.25">
      <c r="A3793" s="11">
        <v>46120</v>
      </c>
      <c r="B3793" t="s">
        <v>41</v>
      </c>
      <c r="C3793" t="s">
        <v>32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-1</v>
      </c>
      <c r="L3793" s="3" t="str">
        <f t="shared" si="435"/>
        <v>ATENÇÃO</v>
      </c>
      <c r="M3793">
        <v>28</v>
      </c>
      <c r="N3793">
        <v>99.15</v>
      </c>
      <c r="O3793">
        <v>27.586206896551719</v>
      </c>
    </row>
    <row r="3794" spans="1:15" customFormat="1" hidden="1" x14ac:dyDescent="0.25">
      <c r="A3794" s="11">
        <v>46120</v>
      </c>
      <c r="B3794" t="s">
        <v>56</v>
      </c>
      <c r="C3794" t="s">
        <v>48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24</v>
      </c>
      <c r="K3794" s="3">
        <f>I3794-J3794</f>
        <v>0</v>
      </c>
      <c r="L3794" s="3" t="str">
        <f t="shared" si="435"/>
        <v>OPORTUNO</v>
      </c>
      <c r="M3794">
        <v>13</v>
      </c>
      <c r="N3794">
        <v>99.17</v>
      </c>
      <c r="O3794">
        <v>29.75206611570248</v>
      </c>
    </row>
    <row r="3795" spans="1:15" customFormat="1" hidden="1" x14ac:dyDescent="0.25">
      <c r="A3795" s="11">
        <v>46120</v>
      </c>
      <c r="B3795" t="s">
        <v>57</v>
      </c>
      <c r="C3795" t="s">
        <v>48</v>
      </c>
      <c r="D3795">
        <v>21</v>
      </c>
      <c r="E3795">
        <v>20</v>
      </c>
      <c r="F3795">
        <v>21.5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 t="shared" si="435"/>
        <v>OPORTUNO</v>
      </c>
      <c r="M3795">
        <v>23</v>
      </c>
      <c r="N3795">
        <v>98.73</v>
      </c>
      <c r="O3795">
        <v>28.961748633879779</v>
      </c>
    </row>
    <row r="3796" spans="1:15" customFormat="1" hidden="1" x14ac:dyDescent="0.25">
      <c r="A3796" s="11">
        <v>46120</v>
      </c>
      <c r="B3796" t="s">
        <v>42</v>
      </c>
      <c r="C3796" t="s">
        <v>32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30</v>
      </c>
      <c r="K3796" s="3">
        <f>I3796-J3796</f>
        <v>6</v>
      </c>
      <c r="L3796" s="3" t="str">
        <f t="shared" si="435"/>
        <v>MUITO BOM</v>
      </c>
      <c r="M3796">
        <v>21</v>
      </c>
      <c r="N3796">
        <v>88.68</v>
      </c>
      <c r="O3796">
        <v>22.03389830508474</v>
      </c>
    </row>
    <row r="3797" spans="1:15" customFormat="1" hidden="1" x14ac:dyDescent="0.25">
      <c r="A3797" s="11">
        <v>46120</v>
      </c>
      <c r="B3797" t="s">
        <v>62</v>
      </c>
      <c r="C3797" t="s">
        <v>23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20</v>
      </c>
      <c r="K3797" s="3">
        <f>I3797-J3797</f>
        <v>6</v>
      </c>
      <c r="L3797" s="3" t="str">
        <f t="shared" si="435"/>
        <v>MUITO BOM</v>
      </c>
      <c r="M3797">
        <v>28</v>
      </c>
      <c r="N3797">
        <v>97.37</v>
      </c>
      <c r="O3797">
        <v>25.76530612244898</v>
      </c>
    </row>
    <row r="3798" spans="1:15" customFormat="1" hidden="1" x14ac:dyDescent="0.25">
      <c r="A3798" s="11">
        <v>46120</v>
      </c>
      <c r="B3798" t="s">
        <v>19</v>
      </c>
      <c r="C3798" t="s">
        <v>16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 t="shared" si="435"/>
        <v>OPORTUNO</v>
      </c>
      <c r="M3798">
        <v>0</v>
      </c>
      <c r="N3798">
        <v>100</v>
      </c>
      <c r="O3798">
        <v>25</v>
      </c>
    </row>
    <row r="3799" spans="1:15" customFormat="1" hidden="1" x14ac:dyDescent="0.25">
      <c r="A3799" s="11">
        <v>46120</v>
      </c>
      <c r="B3799" t="s">
        <v>43</v>
      </c>
      <c r="C3799" t="s">
        <v>32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ref="I3799:I3811" si="436">E3799+G3799+H3799</f>
        <v>18</v>
      </c>
      <c r="J3799" s="3">
        <f t="shared" ref="J3799:J3811" si="437"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 t="shared" ref="K3799:K3811" si="438">I3799-J3799</f>
        <v>-12</v>
      </c>
      <c r="L3799" s="3" t="str">
        <f t="shared" si="435"/>
        <v>CRÍTICO</v>
      </c>
      <c r="M3799">
        <v>20</v>
      </c>
      <c r="N3799">
        <v>100</v>
      </c>
      <c r="O3799">
        <v>23.9870340356564</v>
      </c>
    </row>
    <row r="3800" spans="1:15" customFormat="1" hidden="1" x14ac:dyDescent="0.25">
      <c r="A3800" s="11">
        <v>46120</v>
      </c>
      <c r="B3800" t="s">
        <v>44</v>
      </c>
      <c r="C3800" t="s">
        <v>32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436"/>
        <v>37</v>
      </c>
      <c r="J3800" s="3">
        <f t="shared" si="437"/>
        <v>30</v>
      </c>
      <c r="K3800" s="3">
        <f t="shared" si="438"/>
        <v>7</v>
      </c>
      <c r="L3800" s="3" t="str">
        <f t="shared" si="435"/>
        <v>MUITO BOM</v>
      </c>
      <c r="M3800">
        <v>32</v>
      </c>
      <c r="N3800">
        <v>95.49</v>
      </c>
      <c r="O3800">
        <v>28.370221327967808</v>
      </c>
    </row>
    <row r="3801" spans="1:15" customFormat="1" hidden="1" x14ac:dyDescent="0.25">
      <c r="A3801" s="11">
        <v>46120</v>
      </c>
      <c r="B3801" t="s">
        <v>20</v>
      </c>
      <c r="C3801" t="s">
        <v>16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436"/>
        <v>5</v>
      </c>
      <c r="J3801" s="3">
        <f t="shared" si="437"/>
        <v>9</v>
      </c>
      <c r="K3801" s="3">
        <f t="shared" si="438"/>
        <v>-4</v>
      </c>
      <c r="L3801" s="3" t="str">
        <f t="shared" si="435"/>
        <v>ATENÇÃO</v>
      </c>
      <c r="M3801">
        <v>2</v>
      </c>
      <c r="N3801">
        <v>100</v>
      </c>
      <c r="O3801">
        <v>23.77622377622378</v>
      </c>
    </row>
    <row r="3802" spans="1:15" customFormat="1" hidden="1" x14ac:dyDescent="0.25">
      <c r="A3802" s="11">
        <v>46120</v>
      </c>
      <c r="B3802" t="s">
        <v>28</v>
      </c>
      <c r="C3802" t="s">
        <v>26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436"/>
        <v>30</v>
      </c>
      <c r="J3802" s="3">
        <f t="shared" si="437"/>
        <v>17</v>
      </c>
      <c r="K3802" s="3">
        <f t="shared" si="438"/>
        <v>13</v>
      </c>
      <c r="L3802" s="3" t="str">
        <f t="shared" si="435"/>
        <v>MUITO BOM</v>
      </c>
      <c r="M3802">
        <v>23</v>
      </c>
      <c r="N3802">
        <v>96.15</v>
      </c>
      <c r="O3802">
        <v>24.045801526717561</v>
      </c>
    </row>
    <row r="3803" spans="1:15" customFormat="1" hidden="1" x14ac:dyDescent="0.25">
      <c r="A3803" s="11">
        <v>46120</v>
      </c>
      <c r="B3803" t="s">
        <v>58</v>
      </c>
      <c r="C3803" t="s">
        <v>48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si="436"/>
        <v>8</v>
      </c>
      <c r="J3803" s="3">
        <f t="shared" si="437"/>
        <v>24</v>
      </c>
      <c r="K3803" s="3">
        <f t="shared" si="438"/>
        <v>-16</v>
      </c>
      <c r="L3803" s="3" t="str">
        <f t="shared" si="435"/>
        <v>CRÍTICO</v>
      </c>
      <c r="M3803">
        <v>8</v>
      </c>
      <c r="N3803">
        <v>99.02</v>
      </c>
      <c r="O3803">
        <v>34.797297297297298</v>
      </c>
    </row>
    <row r="3804" spans="1:15" customFormat="1" hidden="1" x14ac:dyDescent="0.25">
      <c r="A3804" s="11">
        <v>46120</v>
      </c>
      <c r="B3804" t="s">
        <v>29</v>
      </c>
      <c r="C3804" t="s">
        <v>26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436"/>
        <v>17</v>
      </c>
      <c r="J3804" s="3">
        <f t="shared" si="437"/>
        <v>17</v>
      </c>
      <c r="K3804" s="3">
        <f t="shared" si="438"/>
        <v>0</v>
      </c>
      <c r="L3804" s="3" t="str">
        <f t="shared" si="435"/>
        <v>OPORTUNO</v>
      </c>
      <c r="M3804">
        <v>13</v>
      </c>
      <c r="N3804">
        <v>98.84</v>
      </c>
      <c r="O3804">
        <v>31.868131868131869</v>
      </c>
    </row>
    <row r="3805" spans="1:15" customFormat="1" hidden="1" x14ac:dyDescent="0.25">
      <c r="A3805" s="11">
        <v>46120</v>
      </c>
      <c r="B3805" t="s">
        <v>30</v>
      </c>
      <c r="C3805" t="s">
        <v>26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436"/>
        <v>18</v>
      </c>
      <c r="J3805" s="3">
        <f t="shared" si="437"/>
        <v>17</v>
      </c>
      <c r="K3805" s="3">
        <f t="shared" si="438"/>
        <v>1</v>
      </c>
      <c r="L3805" s="3" t="str">
        <f t="shared" si="435"/>
        <v>OPORTUNO</v>
      </c>
      <c r="M3805">
        <v>18</v>
      </c>
      <c r="N3805">
        <v>100</v>
      </c>
      <c r="O3805">
        <v>34.666666666666671</v>
      </c>
    </row>
    <row r="3806" spans="1:15" customFormat="1" hidden="1" x14ac:dyDescent="0.25">
      <c r="A3806" s="11">
        <v>46120</v>
      </c>
      <c r="B3806" t="s">
        <v>21</v>
      </c>
      <c r="C3806" t="s">
        <v>16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436"/>
        <v>6</v>
      </c>
      <c r="J3806" s="3">
        <f t="shared" si="437"/>
        <v>9</v>
      </c>
      <c r="K3806" s="3">
        <f t="shared" si="438"/>
        <v>-3</v>
      </c>
      <c r="L3806" s="3" t="str">
        <f t="shared" si="435"/>
        <v>ATENÇÃO</v>
      </c>
      <c r="M3806">
        <v>7</v>
      </c>
      <c r="N3806">
        <v>94.12</v>
      </c>
      <c r="O3806">
        <v>32.799999999999997</v>
      </c>
    </row>
    <row r="3807" spans="1:15" customFormat="1" hidden="1" x14ac:dyDescent="0.25">
      <c r="A3807" s="11">
        <v>46120</v>
      </c>
      <c r="B3807" t="s">
        <v>63</v>
      </c>
      <c r="C3807" t="s">
        <v>23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436"/>
        <v>29</v>
      </c>
      <c r="J3807" s="3">
        <f t="shared" si="437"/>
        <v>20</v>
      </c>
      <c r="K3807" s="3">
        <f t="shared" si="438"/>
        <v>9</v>
      </c>
      <c r="L3807" s="3" t="str">
        <f t="shared" si="435"/>
        <v>MUITO BOM</v>
      </c>
      <c r="M3807">
        <v>25</v>
      </c>
      <c r="N3807">
        <v>98.32</v>
      </c>
      <c r="O3807">
        <v>26.858513189448441</v>
      </c>
    </row>
    <row r="3808" spans="1:15" customFormat="1" hidden="1" x14ac:dyDescent="0.25">
      <c r="A3808" s="11">
        <v>46120</v>
      </c>
      <c r="B3808" t="s">
        <v>45</v>
      </c>
      <c r="C3808" t="s">
        <v>32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436"/>
        <v>39</v>
      </c>
      <c r="J3808" s="3">
        <f t="shared" si="437"/>
        <v>30</v>
      </c>
      <c r="K3808" s="3">
        <f t="shared" si="438"/>
        <v>9</v>
      </c>
      <c r="L3808" s="3" t="str">
        <f t="shared" si="435"/>
        <v>MUITO BOM</v>
      </c>
      <c r="M3808">
        <v>30</v>
      </c>
      <c r="N3808">
        <v>100</v>
      </c>
      <c r="O3808">
        <v>31.135531135531139</v>
      </c>
    </row>
    <row r="3809" spans="1:15" customFormat="1" hidden="1" x14ac:dyDescent="0.25">
      <c r="A3809" s="11">
        <v>46120</v>
      </c>
      <c r="B3809" t="s">
        <v>64</v>
      </c>
      <c r="C3809" t="s">
        <v>23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436"/>
        <v>23</v>
      </c>
      <c r="J3809" s="3">
        <f t="shared" si="437"/>
        <v>20</v>
      </c>
      <c r="K3809" s="3">
        <f t="shared" si="438"/>
        <v>3</v>
      </c>
      <c r="L3809" s="3" t="str">
        <f t="shared" si="435"/>
        <v>OPORTUNO</v>
      </c>
      <c r="M3809">
        <v>16</v>
      </c>
      <c r="N3809">
        <v>100</v>
      </c>
      <c r="O3809">
        <v>26.36986301369863</v>
      </c>
    </row>
    <row r="3810" spans="1:15" customFormat="1" hidden="1" x14ac:dyDescent="0.25">
      <c r="A3810" s="11">
        <v>46120</v>
      </c>
      <c r="B3810" t="s">
        <v>46</v>
      </c>
      <c r="C3810" t="s">
        <v>32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436"/>
        <v>25</v>
      </c>
      <c r="J3810" s="3">
        <f t="shared" si="437"/>
        <v>30</v>
      </c>
      <c r="K3810" s="3">
        <f t="shared" si="438"/>
        <v>-5</v>
      </c>
      <c r="L3810" s="3" t="str">
        <f t="shared" si="435"/>
        <v>ATENÇÃO</v>
      </c>
      <c r="M3810">
        <v>21</v>
      </c>
      <c r="N3810">
        <v>99.21</v>
      </c>
      <c r="O3810">
        <v>25.188916876574311</v>
      </c>
    </row>
    <row r="3811" spans="1:15" customFormat="1" hidden="1" x14ac:dyDescent="0.25">
      <c r="A3811" s="11">
        <v>46121</v>
      </c>
      <c r="B3811" t="s">
        <v>47</v>
      </c>
      <c r="C3811" t="s">
        <v>48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436"/>
        <v>11</v>
      </c>
      <c r="J3811" s="3">
        <f t="shared" si="437"/>
        <v>21</v>
      </c>
      <c r="K3811" s="3">
        <f t="shared" si="438"/>
        <v>-10</v>
      </c>
      <c r="L3811" s="3" t="str">
        <f t="shared" si="435"/>
        <v>CRÍTICO</v>
      </c>
      <c r="M3811">
        <v>11</v>
      </c>
      <c r="N3811">
        <v>100</v>
      </c>
      <c r="O3811">
        <v>32.764505119453922</v>
      </c>
    </row>
    <row r="3812" spans="1:15" customFormat="1" hidden="1" x14ac:dyDescent="0.25">
      <c r="A3812" s="11">
        <v>46121</v>
      </c>
      <c r="B3812" t="s">
        <v>31</v>
      </c>
      <c r="C3812" t="s">
        <v>32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 t="shared" si="435"/>
        <v>OPORTUNO</v>
      </c>
      <c r="M3812">
        <v>15</v>
      </c>
      <c r="N3812">
        <v>98.66</v>
      </c>
      <c r="O3812">
        <v>35.416666666666671</v>
      </c>
    </row>
    <row r="3813" spans="1:15" customFormat="1" hidden="1" x14ac:dyDescent="0.25">
      <c r="A3813" s="11">
        <v>46121</v>
      </c>
      <c r="B3813" t="s">
        <v>59</v>
      </c>
      <c r="C3813" t="s">
        <v>23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ref="I3813:I3820" si="439">E3813+G3813+H3813</f>
        <v>20</v>
      </c>
      <c r="J3813" s="3">
        <f t="shared" ref="J3813:J3820" si="440"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17</v>
      </c>
      <c r="K3813" s="3">
        <f t="shared" ref="K3813:K3820" si="441">I3813-J3813</f>
        <v>3</v>
      </c>
      <c r="L3813" s="3" t="str">
        <f t="shared" si="435"/>
        <v>OPORTUNO</v>
      </c>
      <c r="M3813">
        <v>20</v>
      </c>
      <c r="N3813">
        <v>99.32</v>
      </c>
      <c r="O3813">
        <v>30.648330058939099</v>
      </c>
    </row>
    <row r="3814" spans="1:15" customFormat="1" hidden="1" x14ac:dyDescent="0.25">
      <c r="A3814" s="11">
        <v>46121</v>
      </c>
      <c r="B3814" t="s">
        <v>33</v>
      </c>
      <c r="C3814" t="s">
        <v>32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439"/>
        <v>21</v>
      </c>
      <c r="J3814" s="3">
        <f t="shared" si="440"/>
        <v>26</v>
      </c>
      <c r="K3814" s="3">
        <f t="shared" si="441"/>
        <v>-5</v>
      </c>
      <c r="L3814" s="3" t="str">
        <f t="shared" si="435"/>
        <v>ATENÇÃO</v>
      </c>
      <c r="M3814">
        <v>25</v>
      </c>
      <c r="N3814">
        <v>100</v>
      </c>
      <c r="O3814">
        <v>27.803738317757009</v>
      </c>
    </row>
    <row r="3815" spans="1:15" customFormat="1" hidden="1" x14ac:dyDescent="0.25">
      <c r="A3815" s="11">
        <v>46121</v>
      </c>
      <c r="B3815" t="s">
        <v>15</v>
      </c>
      <c r="C3815" t="s">
        <v>16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439"/>
        <v>17</v>
      </c>
      <c r="J3815" s="3">
        <f t="shared" si="440"/>
        <v>7</v>
      </c>
      <c r="K3815" s="3">
        <f t="shared" si="441"/>
        <v>10</v>
      </c>
      <c r="L3815" s="3" t="str">
        <f t="shared" si="435"/>
        <v>MUITO BOM</v>
      </c>
      <c r="M3815">
        <v>17</v>
      </c>
      <c r="N3815">
        <v>96.74</v>
      </c>
      <c r="O3815">
        <v>28.67647058823529</v>
      </c>
    </row>
    <row r="3816" spans="1:15" customFormat="1" hidden="1" x14ac:dyDescent="0.25">
      <c r="A3816" s="11">
        <v>46121</v>
      </c>
      <c r="B3816" t="s">
        <v>49</v>
      </c>
      <c r="C3816" t="s">
        <v>48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439"/>
        <v>34</v>
      </c>
      <c r="J3816" s="3">
        <f t="shared" si="440"/>
        <v>21</v>
      </c>
      <c r="K3816" s="3">
        <f t="shared" si="441"/>
        <v>13</v>
      </c>
      <c r="L3816" s="3" t="str">
        <f t="shared" si="435"/>
        <v>MUITO BOM</v>
      </c>
      <c r="M3816">
        <v>32</v>
      </c>
      <c r="N3816">
        <v>98.82</v>
      </c>
      <c r="O3816">
        <v>30.741410488245929</v>
      </c>
    </row>
    <row r="3817" spans="1:15" customFormat="1" hidden="1" x14ac:dyDescent="0.25">
      <c r="A3817" s="11">
        <v>46121</v>
      </c>
      <c r="B3817" t="s">
        <v>50</v>
      </c>
      <c r="C3817" t="s">
        <v>48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439"/>
        <v>19</v>
      </c>
      <c r="J3817" s="3">
        <f t="shared" si="440"/>
        <v>21</v>
      </c>
      <c r="K3817" s="3">
        <f t="shared" si="441"/>
        <v>-2</v>
      </c>
      <c r="L3817" s="3" t="str">
        <f t="shared" si="435"/>
        <v>ATENÇÃO</v>
      </c>
      <c r="M3817">
        <v>19</v>
      </c>
      <c r="N3817">
        <v>98.2</v>
      </c>
      <c r="O3817">
        <v>27.170868347338931</v>
      </c>
    </row>
    <row r="3818" spans="1:15" customFormat="1" hidden="1" x14ac:dyDescent="0.25">
      <c r="A3818" s="11">
        <v>46121</v>
      </c>
      <c r="B3818" t="s">
        <v>17</v>
      </c>
      <c r="C3818" t="s">
        <v>16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439"/>
        <v>6</v>
      </c>
      <c r="J3818" s="3">
        <f t="shared" si="440"/>
        <v>7</v>
      </c>
      <c r="K3818" s="3">
        <f t="shared" si="441"/>
        <v>-1</v>
      </c>
      <c r="L3818" s="3" t="str">
        <f t="shared" si="435"/>
        <v>ATENÇÃO</v>
      </c>
      <c r="M3818">
        <v>6</v>
      </c>
      <c r="N3818">
        <v>100</v>
      </c>
      <c r="O3818">
        <v>23.134328358208951</v>
      </c>
    </row>
    <row r="3819" spans="1:15" customFormat="1" hidden="1" x14ac:dyDescent="0.25">
      <c r="A3819" s="11">
        <v>46121</v>
      </c>
      <c r="B3819" t="s">
        <v>60</v>
      </c>
      <c r="C3819" t="s">
        <v>23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439"/>
        <v>22</v>
      </c>
      <c r="J3819" s="3">
        <f t="shared" si="440"/>
        <v>17</v>
      </c>
      <c r="K3819" s="3">
        <f t="shared" si="441"/>
        <v>5</v>
      </c>
      <c r="L3819" s="3" t="str">
        <f t="shared" si="435"/>
        <v>OPORTUNO</v>
      </c>
      <c r="M3819">
        <v>20</v>
      </c>
      <c r="N3819">
        <v>96.3</v>
      </c>
      <c r="O3819">
        <v>32.219570405727922</v>
      </c>
    </row>
    <row r="3820" spans="1:15" customFormat="1" hidden="1" x14ac:dyDescent="0.25">
      <c r="A3820" s="11">
        <v>46121</v>
      </c>
      <c r="B3820" t="s">
        <v>34</v>
      </c>
      <c r="C3820" t="s">
        <v>32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439"/>
        <v>17</v>
      </c>
      <c r="J3820" s="3">
        <f t="shared" si="440"/>
        <v>26</v>
      </c>
      <c r="K3820" s="3">
        <f t="shared" si="441"/>
        <v>-9</v>
      </c>
      <c r="L3820" s="3" t="str">
        <f t="shared" si="435"/>
        <v>CRÍTICO</v>
      </c>
      <c r="M3820">
        <v>16</v>
      </c>
      <c r="N3820">
        <v>93.75</v>
      </c>
      <c r="O3820">
        <v>26.819923371647509</v>
      </c>
    </row>
    <row r="3821" spans="1:15" customFormat="1" hidden="1" x14ac:dyDescent="0.25">
      <c r="A3821" s="11">
        <v>46121</v>
      </c>
      <c r="B3821" t="s">
        <v>51</v>
      </c>
      <c r="C3821" t="s">
        <v>48</v>
      </c>
      <c r="D3821">
        <v>25</v>
      </c>
      <c r="E3821">
        <v>20</v>
      </c>
      <c r="F3821">
        <v>18.260000000000002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 t="shared" si="435"/>
        <v>OPORTUNO</v>
      </c>
      <c r="M3821">
        <v>17</v>
      </c>
      <c r="N3821">
        <v>97.86</v>
      </c>
      <c r="O3821">
        <v>31.018518518518519</v>
      </c>
    </row>
    <row r="3822" spans="1:15" customFormat="1" hidden="1" x14ac:dyDescent="0.25">
      <c r="A3822" s="11">
        <v>46121</v>
      </c>
      <c r="B3822" t="s">
        <v>61</v>
      </c>
      <c r="C3822" t="s">
        <v>23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17</v>
      </c>
      <c r="K3822" s="3">
        <f>I3822-J3822</f>
        <v>5</v>
      </c>
      <c r="L3822" s="3" t="str">
        <f t="shared" si="435"/>
        <v>OPORTUNO</v>
      </c>
      <c r="M3822">
        <v>15</v>
      </c>
      <c r="N3822">
        <v>100</v>
      </c>
      <c r="O3822">
        <v>36.594202898550733</v>
      </c>
    </row>
    <row r="3823" spans="1:15" customFormat="1" hidden="1" x14ac:dyDescent="0.25">
      <c r="A3823" s="11">
        <v>46121</v>
      </c>
      <c r="B3823" t="s">
        <v>35</v>
      </c>
      <c r="C3823" t="s">
        <v>32</v>
      </c>
      <c r="D3823">
        <v>30</v>
      </c>
      <c r="E3823">
        <v>29</v>
      </c>
      <c r="F3823">
        <v>22.26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 t="shared" si="435"/>
        <v>OPORTUNO</v>
      </c>
      <c r="M3823">
        <v>28</v>
      </c>
      <c r="N3823">
        <v>100</v>
      </c>
      <c r="O3823">
        <v>38.653846153846153</v>
      </c>
    </row>
    <row r="3824" spans="1:15" customFormat="1" hidden="1" x14ac:dyDescent="0.25">
      <c r="A3824" s="11">
        <v>46121</v>
      </c>
      <c r="B3824" t="s">
        <v>18</v>
      </c>
      <c r="C3824" t="s">
        <v>16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 t="shared" si="435"/>
        <v>MUITO BOM</v>
      </c>
      <c r="M3824">
        <v>5</v>
      </c>
      <c r="N3824">
        <v>100</v>
      </c>
      <c r="O3824">
        <v>27.368421052631579</v>
      </c>
    </row>
    <row r="3825" spans="1:16" hidden="1" x14ac:dyDescent="0.25">
      <c r="A3825" s="11">
        <v>46121</v>
      </c>
      <c r="B3825" t="s">
        <v>52</v>
      </c>
      <c r="C3825" t="s">
        <v>48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21</v>
      </c>
      <c r="K3825" s="3">
        <f>I3825-J3825</f>
        <v>1</v>
      </c>
      <c r="L3825" s="3" t="str">
        <f t="shared" si="435"/>
        <v>OPORTUNO</v>
      </c>
      <c r="M3825">
        <v>19</v>
      </c>
      <c r="N3825">
        <v>97.83</v>
      </c>
      <c r="O3825">
        <v>28.35164835164835</v>
      </c>
      <c r="P3825"/>
    </row>
    <row r="3826" spans="1:16" hidden="1" x14ac:dyDescent="0.25">
      <c r="A3826" s="11">
        <v>46121</v>
      </c>
      <c r="B3826" t="s">
        <v>36</v>
      </c>
      <c r="C3826" t="s">
        <v>32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26</v>
      </c>
      <c r="K3826" s="3">
        <f>I3826-J3826</f>
        <v>-4</v>
      </c>
      <c r="L3826" s="3" t="str">
        <f t="shared" si="435"/>
        <v>ATENÇÃO</v>
      </c>
      <c r="M3826">
        <v>20</v>
      </c>
      <c r="N3826">
        <v>99.26</v>
      </c>
      <c r="O3826">
        <v>29.766536964980549</v>
      </c>
      <c r="P3826"/>
    </row>
    <row r="3827" spans="1:16" hidden="1" x14ac:dyDescent="0.25">
      <c r="A3827" s="11">
        <v>46121</v>
      </c>
      <c r="B3827" t="s">
        <v>53</v>
      </c>
      <c r="C3827" t="s">
        <v>48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21</v>
      </c>
      <c r="K3827" s="3">
        <f>I3827-J3827</f>
        <v>-9</v>
      </c>
      <c r="L3827" s="3" t="str">
        <f t="shared" si="435"/>
        <v>CRÍTICO</v>
      </c>
      <c r="M3827">
        <v>17</v>
      </c>
      <c r="N3827">
        <v>99.19</v>
      </c>
      <c r="O3827">
        <v>29.462365591397852</v>
      </c>
      <c r="P3827"/>
    </row>
    <row r="3828" spans="1:16" hidden="1" x14ac:dyDescent="0.25">
      <c r="A3828" s="11">
        <v>46167</v>
      </c>
      <c r="B3828" t="s">
        <v>54</v>
      </c>
      <c r="C3828" t="s">
        <v>48</v>
      </c>
      <c r="D3828" s="3">
        <v>27</v>
      </c>
      <c r="E3828" s="3">
        <v>23</v>
      </c>
      <c r="F3828" s="3">
        <v>15.42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 t="shared" si="435"/>
        <v>OPORTUNO</v>
      </c>
      <c r="M3828" s="3">
        <v>23</v>
      </c>
      <c r="N3828" s="3">
        <v>98.98</v>
      </c>
      <c r="O3828" s="3">
        <v>19.35483870967742</v>
      </c>
    </row>
    <row r="3829" spans="1:16" hidden="1" x14ac:dyDescent="0.25">
      <c r="A3829" s="11">
        <v>46121</v>
      </c>
      <c r="B3829" t="s">
        <v>54</v>
      </c>
      <c r="C3829" t="s">
        <v>48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 t="shared" si="435"/>
        <v>OPORTUNO</v>
      </c>
      <c r="M3829">
        <v>0</v>
      </c>
      <c r="N3829">
        <v>100</v>
      </c>
      <c r="O3829">
        <v>28.921568627450981</v>
      </c>
      <c r="P3829"/>
    </row>
    <row r="3830" spans="1:16" hidden="1" x14ac:dyDescent="0.25">
      <c r="A3830" s="11">
        <v>46121</v>
      </c>
      <c r="B3830" t="s">
        <v>37</v>
      </c>
      <c r="C3830" t="s">
        <v>32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26</v>
      </c>
      <c r="K3830" s="3">
        <f>I3830-J3830</f>
        <v>6</v>
      </c>
      <c r="L3830" s="3" t="str">
        <f t="shared" si="435"/>
        <v>MUITO BOM</v>
      </c>
      <c r="M3830">
        <v>29</v>
      </c>
      <c r="N3830">
        <v>99.57</v>
      </c>
      <c r="O3830">
        <v>30.635838150289018</v>
      </c>
      <c r="P3830"/>
    </row>
    <row r="3831" spans="1:16" hidden="1" x14ac:dyDescent="0.25">
      <c r="A3831" s="11">
        <v>46121</v>
      </c>
      <c r="B3831" t="s">
        <v>38</v>
      </c>
      <c r="C3831" t="s">
        <v>32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 t="shared" si="435"/>
        <v>OPORTUNO</v>
      </c>
      <c r="M3831">
        <v>0</v>
      </c>
      <c r="N3831">
        <v>95.65</v>
      </c>
      <c r="O3831">
        <v>32.432432432432442</v>
      </c>
      <c r="P3831"/>
    </row>
    <row r="3832" spans="1:16" hidden="1" x14ac:dyDescent="0.25">
      <c r="A3832" s="11">
        <v>46121</v>
      </c>
      <c r="B3832" t="s">
        <v>55</v>
      </c>
      <c r="C3832" t="s">
        <v>48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21</v>
      </c>
      <c r="K3832" s="3">
        <f>I3832-J3832</f>
        <v>0</v>
      </c>
      <c r="L3832" s="3" t="str">
        <f t="shared" si="435"/>
        <v>OPORTUNO</v>
      </c>
      <c r="M3832">
        <v>19</v>
      </c>
      <c r="N3832">
        <v>98.81</v>
      </c>
      <c r="O3832">
        <v>26.256983240223459</v>
      </c>
      <c r="P3832"/>
    </row>
    <row r="3833" spans="1:16" hidden="1" x14ac:dyDescent="0.25">
      <c r="A3833" s="11">
        <v>46121</v>
      </c>
      <c r="B3833" t="s">
        <v>39</v>
      </c>
      <c r="C3833" t="s">
        <v>32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 t="shared" si="435"/>
        <v>OPORTUNO</v>
      </c>
      <c r="M3833">
        <v>0</v>
      </c>
      <c r="N3833">
        <v>0</v>
      </c>
      <c r="O3833">
        <v>0</v>
      </c>
      <c r="P3833"/>
    </row>
    <row r="3834" spans="1:16" hidden="1" x14ac:dyDescent="0.25">
      <c r="A3834" s="11">
        <v>46121</v>
      </c>
      <c r="B3834" t="s">
        <v>25</v>
      </c>
      <c r="C3834" t="s">
        <v>26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15</v>
      </c>
      <c r="K3834" s="3">
        <f>I3834-J3834</f>
        <v>13</v>
      </c>
      <c r="L3834" s="3" t="str">
        <f t="shared" si="435"/>
        <v>MUITO BOM</v>
      </c>
      <c r="M3834">
        <v>24</v>
      </c>
      <c r="N3834">
        <v>97.17</v>
      </c>
      <c r="O3834">
        <v>28.81844380403458</v>
      </c>
      <c r="P3834"/>
    </row>
    <row r="3835" spans="1:16" hidden="1" x14ac:dyDescent="0.25">
      <c r="A3835" s="11">
        <v>46121</v>
      </c>
      <c r="B3835" t="s">
        <v>40</v>
      </c>
      <c r="C3835" t="s">
        <v>32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26</v>
      </c>
      <c r="K3835" s="3">
        <f>I3835-J3835</f>
        <v>-11</v>
      </c>
      <c r="L3835" s="3" t="str">
        <f t="shared" ref="L3835:L3898" si="442">IF(K3835&lt;-5,"CRÍTICO",IF(K3835&lt;0,"ATENÇÃO",IF(K3835&lt;=5,"OPORTUNO","MUITO BOM")))</f>
        <v>CRÍTICO</v>
      </c>
      <c r="M3835">
        <v>16</v>
      </c>
      <c r="N3835">
        <v>96.81</v>
      </c>
      <c r="O3835">
        <v>48.018648018648022</v>
      </c>
      <c r="P3835"/>
    </row>
    <row r="3836" spans="1:16" hidden="1" x14ac:dyDescent="0.25">
      <c r="A3836" s="11">
        <v>46121</v>
      </c>
      <c r="B3836" t="s">
        <v>27</v>
      </c>
      <c r="C3836" t="s">
        <v>26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15</v>
      </c>
      <c r="K3836" s="3">
        <f>I3836-J3836</f>
        <v>0</v>
      </c>
      <c r="L3836" s="3" t="str">
        <f t="shared" si="442"/>
        <v>OPORTUNO</v>
      </c>
      <c r="M3836">
        <v>11</v>
      </c>
      <c r="N3836">
        <v>98.15</v>
      </c>
      <c r="O3836">
        <v>27.1551724137931</v>
      </c>
      <c r="P3836"/>
    </row>
    <row r="3837" spans="1:16" hidden="1" x14ac:dyDescent="0.25">
      <c r="A3837" s="11">
        <v>46121</v>
      </c>
      <c r="B3837" t="s">
        <v>41</v>
      </c>
      <c r="C3837" t="s">
        <v>32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-14</v>
      </c>
      <c r="L3837" s="3" t="str">
        <f t="shared" si="442"/>
        <v>CRÍTICO</v>
      </c>
      <c r="M3837">
        <v>8</v>
      </c>
      <c r="N3837">
        <v>99.15</v>
      </c>
      <c r="O3837">
        <v>27.586206896551719</v>
      </c>
      <c r="P3837"/>
    </row>
    <row r="3838" spans="1:16" hidden="1" x14ac:dyDescent="0.25">
      <c r="A3838" s="11">
        <v>46121</v>
      </c>
      <c r="B3838" t="s">
        <v>56</v>
      </c>
      <c r="C3838" t="s">
        <v>48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21</v>
      </c>
      <c r="K3838" s="3">
        <f>I3838-J3838</f>
        <v>-3</v>
      </c>
      <c r="L3838" s="3" t="str">
        <f t="shared" si="442"/>
        <v>ATENÇÃO</v>
      </c>
      <c r="M3838">
        <v>28</v>
      </c>
      <c r="N3838">
        <v>99.17</v>
      </c>
      <c r="O3838">
        <v>29.75206611570248</v>
      </c>
      <c r="P3838"/>
    </row>
    <row r="3839" spans="1:16" hidden="1" x14ac:dyDescent="0.25">
      <c r="A3839" s="11">
        <v>46121</v>
      </c>
      <c r="B3839" t="s">
        <v>57</v>
      </c>
      <c r="C3839" t="s">
        <v>48</v>
      </c>
      <c r="D3839">
        <v>22</v>
      </c>
      <c r="E3839">
        <v>21</v>
      </c>
      <c r="F3839">
        <v>25.13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 t="shared" si="442"/>
        <v>OPORTUNO</v>
      </c>
      <c r="M3839">
        <v>16</v>
      </c>
      <c r="N3839">
        <v>98.73</v>
      </c>
      <c r="O3839">
        <v>28.961748633879779</v>
      </c>
      <c r="P3839"/>
    </row>
    <row r="3840" spans="1:16" hidden="1" x14ac:dyDescent="0.25">
      <c r="A3840" s="11">
        <v>46121</v>
      </c>
      <c r="B3840" t="s">
        <v>42</v>
      </c>
      <c r="C3840" t="s">
        <v>32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ref="I3840:I3855" si="443">E3840+G3840+H3840</f>
        <v>30</v>
      </c>
      <c r="J3840" s="3">
        <f t="shared" ref="J3840:J3855" si="444"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26</v>
      </c>
      <c r="K3840" s="3">
        <f t="shared" ref="K3840:K3855" si="445">I3840-J3840</f>
        <v>4</v>
      </c>
      <c r="L3840" s="3" t="str">
        <f t="shared" si="442"/>
        <v>OPORTUNO</v>
      </c>
      <c r="M3840">
        <v>17</v>
      </c>
      <c r="N3840">
        <v>88.68</v>
      </c>
      <c r="O3840">
        <v>22.03389830508474</v>
      </c>
      <c r="P3840"/>
    </row>
    <row r="3841" spans="1:15" customFormat="1" hidden="1" x14ac:dyDescent="0.25">
      <c r="A3841" s="11">
        <v>46121</v>
      </c>
      <c r="B3841" t="s">
        <v>62</v>
      </c>
      <c r="C3841" t="s">
        <v>23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443"/>
        <v>23</v>
      </c>
      <c r="J3841" s="3">
        <f t="shared" si="444"/>
        <v>17</v>
      </c>
      <c r="K3841" s="3">
        <f t="shared" si="445"/>
        <v>6</v>
      </c>
      <c r="L3841" s="3" t="str">
        <f t="shared" si="442"/>
        <v>MUITO BOM</v>
      </c>
      <c r="M3841">
        <v>23</v>
      </c>
      <c r="N3841">
        <v>97.37</v>
      </c>
      <c r="O3841">
        <v>25.76530612244898</v>
      </c>
    </row>
    <row r="3842" spans="1:15" customFormat="1" hidden="1" x14ac:dyDescent="0.25">
      <c r="A3842" s="11">
        <v>46121</v>
      </c>
      <c r="B3842" t="s">
        <v>19</v>
      </c>
      <c r="C3842" t="s">
        <v>16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443"/>
        <v>9</v>
      </c>
      <c r="J3842" s="3">
        <f t="shared" si="444"/>
        <v>7</v>
      </c>
      <c r="K3842" s="3">
        <f t="shared" si="445"/>
        <v>2</v>
      </c>
      <c r="L3842" s="3" t="str">
        <f t="shared" si="442"/>
        <v>OPORTUNO</v>
      </c>
      <c r="M3842">
        <v>6</v>
      </c>
      <c r="N3842">
        <v>100</v>
      </c>
      <c r="O3842">
        <v>25</v>
      </c>
    </row>
    <row r="3843" spans="1:15" customFormat="1" hidden="1" x14ac:dyDescent="0.25">
      <c r="A3843" s="11">
        <v>46121</v>
      </c>
      <c r="B3843" t="s">
        <v>43</v>
      </c>
      <c r="C3843" t="s">
        <v>32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443"/>
        <v>27</v>
      </c>
      <c r="J3843" s="3">
        <f t="shared" si="444"/>
        <v>26</v>
      </c>
      <c r="K3843" s="3">
        <f t="shared" si="445"/>
        <v>1</v>
      </c>
      <c r="L3843" s="3" t="str">
        <f t="shared" si="442"/>
        <v>OPORTUNO</v>
      </c>
      <c r="M3843">
        <v>28</v>
      </c>
      <c r="N3843">
        <v>100</v>
      </c>
      <c r="O3843">
        <v>23.9870340356564</v>
      </c>
    </row>
    <row r="3844" spans="1:15" customFormat="1" hidden="1" x14ac:dyDescent="0.25">
      <c r="A3844" s="11">
        <v>46121</v>
      </c>
      <c r="B3844" t="s">
        <v>44</v>
      </c>
      <c r="C3844" t="s">
        <v>32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443"/>
        <v>30</v>
      </c>
      <c r="J3844" s="3">
        <f t="shared" si="444"/>
        <v>26</v>
      </c>
      <c r="K3844" s="3">
        <f t="shared" si="445"/>
        <v>4</v>
      </c>
      <c r="L3844" s="3" t="str">
        <f t="shared" si="442"/>
        <v>OPORTUNO</v>
      </c>
      <c r="M3844">
        <v>27</v>
      </c>
      <c r="N3844">
        <v>95.49</v>
      </c>
      <c r="O3844">
        <v>28.370221327967808</v>
      </c>
    </row>
    <row r="3845" spans="1:15" customFormat="1" hidden="1" x14ac:dyDescent="0.25">
      <c r="A3845" s="11">
        <v>46121</v>
      </c>
      <c r="B3845" t="s">
        <v>20</v>
      </c>
      <c r="C3845" t="s">
        <v>16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443"/>
        <v>12</v>
      </c>
      <c r="J3845" s="3">
        <f t="shared" si="444"/>
        <v>7</v>
      </c>
      <c r="K3845" s="3">
        <f t="shared" si="445"/>
        <v>5</v>
      </c>
      <c r="L3845" s="3" t="str">
        <f t="shared" si="442"/>
        <v>OPORTUNO</v>
      </c>
      <c r="M3845">
        <v>8</v>
      </c>
      <c r="N3845">
        <v>100</v>
      </c>
      <c r="O3845">
        <v>23.77622377622378</v>
      </c>
    </row>
    <row r="3846" spans="1:15" customFormat="1" hidden="1" x14ac:dyDescent="0.25">
      <c r="A3846" s="11">
        <v>46121</v>
      </c>
      <c r="B3846" t="s">
        <v>28</v>
      </c>
      <c r="C3846" t="s">
        <v>26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443"/>
        <v>15</v>
      </c>
      <c r="J3846" s="3">
        <f t="shared" si="444"/>
        <v>15</v>
      </c>
      <c r="K3846" s="3">
        <f t="shared" si="445"/>
        <v>0</v>
      </c>
      <c r="L3846" s="3" t="str">
        <f t="shared" si="442"/>
        <v>OPORTUNO</v>
      </c>
      <c r="M3846">
        <v>12</v>
      </c>
      <c r="N3846">
        <v>96.15</v>
      </c>
      <c r="O3846">
        <v>24.045801526717561</v>
      </c>
    </row>
    <row r="3847" spans="1:15" customFormat="1" hidden="1" x14ac:dyDescent="0.25">
      <c r="A3847" s="11">
        <v>46121</v>
      </c>
      <c r="B3847" t="s">
        <v>58</v>
      </c>
      <c r="C3847" t="s">
        <v>48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443"/>
        <v>25</v>
      </c>
      <c r="J3847" s="3">
        <f t="shared" si="444"/>
        <v>21</v>
      </c>
      <c r="K3847" s="3">
        <f t="shared" si="445"/>
        <v>4</v>
      </c>
      <c r="L3847" s="3" t="str">
        <f t="shared" si="442"/>
        <v>OPORTUNO</v>
      </c>
      <c r="M3847">
        <v>22</v>
      </c>
      <c r="N3847">
        <v>99.02</v>
      </c>
      <c r="O3847">
        <v>34.797297297297298</v>
      </c>
    </row>
    <row r="3848" spans="1:15" customFormat="1" hidden="1" x14ac:dyDescent="0.25">
      <c r="A3848" s="11">
        <v>46121</v>
      </c>
      <c r="B3848" t="s">
        <v>29</v>
      </c>
      <c r="C3848" t="s">
        <v>26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443"/>
        <v>18</v>
      </c>
      <c r="J3848" s="3">
        <f t="shared" si="444"/>
        <v>15</v>
      </c>
      <c r="K3848" s="3">
        <f t="shared" si="445"/>
        <v>3</v>
      </c>
      <c r="L3848" s="3" t="str">
        <f t="shared" si="442"/>
        <v>OPORTUNO</v>
      </c>
      <c r="M3848">
        <v>12</v>
      </c>
      <c r="N3848">
        <v>98.84</v>
      </c>
      <c r="O3848">
        <v>31.868131868131869</v>
      </c>
    </row>
    <row r="3849" spans="1:15" customFormat="1" hidden="1" x14ac:dyDescent="0.25">
      <c r="A3849" s="11">
        <v>46121</v>
      </c>
      <c r="B3849" t="s">
        <v>30</v>
      </c>
      <c r="C3849" t="s">
        <v>26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443"/>
        <v>21</v>
      </c>
      <c r="J3849" s="3">
        <f t="shared" si="444"/>
        <v>15</v>
      </c>
      <c r="K3849" s="3">
        <f t="shared" si="445"/>
        <v>6</v>
      </c>
      <c r="L3849" s="3" t="str">
        <f t="shared" si="442"/>
        <v>MUITO BOM</v>
      </c>
      <c r="M3849">
        <v>18</v>
      </c>
      <c r="N3849">
        <v>100</v>
      </c>
      <c r="O3849">
        <v>34.666666666666671</v>
      </c>
    </row>
    <row r="3850" spans="1:15" customFormat="1" hidden="1" x14ac:dyDescent="0.25">
      <c r="A3850" s="11">
        <v>46121</v>
      </c>
      <c r="B3850" t="s">
        <v>21</v>
      </c>
      <c r="C3850" t="s">
        <v>16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443"/>
        <v>6</v>
      </c>
      <c r="J3850" s="3">
        <f t="shared" si="444"/>
        <v>7</v>
      </c>
      <c r="K3850" s="3">
        <f t="shared" si="445"/>
        <v>-1</v>
      </c>
      <c r="L3850" s="3" t="str">
        <f t="shared" si="442"/>
        <v>ATENÇÃO</v>
      </c>
      <c r="M3850">
        <v>4</v>
      </c>
      <c r="N3850">
        <v>94.12</v>
      </c>
      <c r="O3850">
        <v>32.799999999999997</v>
      </c>
    </row>
    <row r="3851" spans="1:15" customFormat="1" hidden="1" x14ac:dyDescent="0.25">
      <c r="A3851" s="11">
        <v>46121</v>
      </c>
      <c r="B3851" t="s">
        <v>63</v>
      </c>
      <c r="C3851" t="s">
        <v>23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443"/>
        <v>31</v>
      </c>
      <c r="J3851" s="3">
        <f t="shared" si="444"/>
        <v>17</v>
      </c>
      <c r="K3851" s="3">
        <f t="shared" si="445"/>
        <v>14</v>
      </c>
      <c r="L3851" s="3" t="str">
        <f t="shared" si="442"/>
        <v>MUITO BOM</v>
      </c>
      <c r="M3851">
        <v>24</v>
      </c>
      <c r="N3851">
        <v>98.32</v>
      </c>
      <c r="O3851">
        <v>26.858513189448441</v>
      </c>
    </row>
    <row r="3852" spans="1:15" customFormat="1" hidden="1" x14ac:dyDescent="0.25">
      <c r="A3852" s="11">
        <v>46121</v>
      </c>
      <c r="B3852" t="s">
        <v>45</v>
      </c>
      <c r="C3852" t="s">
        <v>32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443"/>
        <v>30</v>
      </c>
      <c r="J3852" s="3">
        <f t="shared" si="444"/>
        <v>26</v>
      </c>
      <c r="K3852" s="3">
        <f t="shared" si="445"/>
        <v>4</v>
      </c>
      <c r="L3852" s="3" t="str">
        <f t="shared" si="442"/>
        <v>OPORTUNO</v>
      </c>
      <c r="M3852">
        <v>30</v>
      </c>
      <c r="N3852">
        <v>100</v>
      </c>
      <c r="O3852">
        <v>31.135531135531139</v>
      </c>
    </row>
    <row r="3853" spans="1:15" customFormat="1" hidden="1" x14ac:dyDescent="0.25">
      <c r="A3853" s="11">
        <v>46121</v>
      </c>
      <c r="B3853" t="s">
        <v>64</v>
      </c>
      <c r="C3853" t="s">
        <v>23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443"/>
        <v>15</v>
      </c>
      <c r="J3853" s="3">
        <f t="shared" si="444"/>
        <v>17</v>
      </c>
      <c r="K3853" s="3">
        <f t="shared" si="445"/>
        <v>-2</v>
      </c>
      <c r="L3853" s="3" t="str">
        <f t="shared" si="442"/>
        <v>ATENÇÃO</v>
      </c>
      <c r="M3853">
        <v>17</v>
      </c>
      <c r="N3853">
        <v>100</v>
      </c>
      <c r="O3853">
        <v>26.36986301369863</v>
      </c>
    </row>
    <row r="3854" spans="1:15" customFormat="1" hidden="1" x14ac:dyDescent="0.25">
      <c r="A3854" s="11">
        <v>46121</v>
      </c>
      <c r="B3854" t="s">
        <v>46</v>
      </c>
      <c r="C3854" t="s">
        <v>32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443"/>
        <v>30</v>
      </c>
      <c r="J3854" s="3">
        <f t="shared" si="444"/>
        <v>26</v>
      </c>
      <c r="K3854" s="3">
        <f t="shared" si="445"/>
        <v>4</v>
      </c>
      <c r="L3854" s="3" t="str">
        <f t="shared" si="442"/>
        <v>OPORTUNO</v>
      </c>
      <c r="M3854">
        <v>23</v>
      </c>
      <c r="N3854">
        <v>99.21</v>
      </c>
      <c r="O3854">
        <v>25.188916876574311</v>
      </c>
    </row>
    <row r="3855" spans="1:15" customFormat="1" hidden="1" x14ac:dyDescent="0.25">
      <c r="A3855" s="11">
        <v>46122</v>
      </c>
      <c r="B3855" t="s">
        <v>47</v>
      </c>
      <c r="C3855" t="s">
        <v>48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443"/>
        <v>8</v>
      </c>
      <c r="J3855" s="3">
        <f t="shared" si="444"/>
        <v>21</v>
      </c>
      <c r="K3855" s="3">
        <f t="shared" si="445"/>
        <v>-13</v>
      </c>
      <c r="L3855" s="3" t="str">
        <f t="shared" si="442"/>
        <v>CRÍTICO</v>
      </c>
      <c r="M3855">
        <v>10</v>
      </c>
      <c r="N3855">
        <v>100</v>
      </c>
      <c r="O3855">
        <v>32.764505119453922</v>
      </c>
    </row>
    <row r="3856" spans="1:15" customFormat="1" hidden="1" x14ac:dyDescent="0.25">
      <c r="A3856" s="11">
        <v>46122</v>
      </c>
      <c r="B3856" t="s">
        <v>31</v>
      </c>
      <c r="C3856" t="s">
        <v>32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 t="shared" si="442"/>
        <v>OPORTUNO</v>
      </c>
      <c r="M3856">
        <v>14</v>
      </c>
      <c r="N3856">
        <v>98.66</v>
      </c>
      <c r="O3856">
        <v>35.416666666666671</v>
      </c>
    </row>
    <row r="3857" spans="1:16" hidden="1" x14ac:dyDescent="0.25">
      <c r="A3857" s="11">
        <v>46122</v>
      </c>
      <c r="B3857" t="s">
        <v>59</v>
      </c>
      <c r="C3857" t="s">
        <v>23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ref="I3857:I3864" si="446">E3857+G3857+H3857</f>
        <v>34</v>
      </c>
      <c r="J3857" s="3">
        <f t="shared" ref="J3857:J3864" si="447"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17</v>
      </c>
      <c r="K3857" s="3">
        <f t="shared" ref="K3857:K3864" si="448">I3857-J3857</f>
        <v>17</v>
      </c>
      <c r="L3857" s="3" t="str">
        <f t="shared" si="442"/>
        <v>MUITO BOM</v>
      </c>
      <c r="M3857">
        <v>32</v>
      </c>
      <c r="N3857">
        <v>99.32</v>
      </c>
      <c r="O3857">
        <v>30.648330058939099</v>
      </c>
      <c r="P3857"/>
    </row>
    <row r="3858" spans="1:16" hidden="1" x14ac:dyDescent="0.25">
      <c r="A3858" s="11">
        <v>46122</v>
      </c>
      <c r="B3858" t="s">
        <v>33</v>
      </c>
      <c r="C3858" t="s">
        <v>32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446"/>
        <v>31</v>
      </c>
      <c r="J3858" s="3">
        <f t="shared" si="447"/>
        <v>26</v>
      </c>
      <c r="K3858" s="3">
        <f t="shared" si="448"/>
        <v>5</v>
      </c>
      <c r="L3858" s="3" t="str">
        <f t="shared" si="442"/>
        <v>OPORTUNO</v>
      </c>
      <c r="M3858">
        <v>30</v>
      </c>
      <c r="N3858">
        <v>100</v>
      </c>
      <c r="O3858">
        <v>27.803738317757009</v>
      </c>
      <c r="P3858"/>
    </row>
    <row r="3859" spans="1:16" hidden="1" x14ac:dyDescent="0.25">
      <c r="A3859" s="11">
        <v>46122</v>
      </c>
      <c r="B3859" t="s">
        <v>15</v>
      </c>
      <c r="C3859" t="s">
        <v>16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446"/>
        <v>14</v>
      </c>
      <c r="J3859" s="3">
        <f t="shared" si="447"/>
        <v>7</v>
      </c>
      <c r="K3859" s="3">
        <f t="shared" si="448"/>
        <v>7</v>
      </c>
      <c r="L3859" s="3" t="str">
        <f t="shared" si="442"/>
        <v>MUITO BOM</v>
      </c>
      <c r="M3859">
        <v>12</v>
      </c>
      <c r="N3859">
        <v>96.74</v>
      </c>
      <c r="O3859">
        <v>28.67647058823529</v>
      </c>
      <c r="P3859"/>
    </row>
    <row r="3860" spans="1:16" hidden="1" x14ac:dyDescent="0.25">
      <c r="A3860" s="11">
        <v>46122</v>
      </c>
      <c r="B3860" t="s">
        <v>49</v>
      </c>
      <c r="C3860" t="s">
        <v>48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446"/>
        <v>32</v>
      </c>
      <c r="J3860" s="3">
        <f t="shared" si="447"/>
        <v>21</v>
      </c>
      <c r="K3860" s="3">
        <f t="shared" si="448"/>
        <v>11</v>
      </c>
      <c r="L3860" s="3" t="str">
        <f t="shared" si="442"/>
        <v>MUITO BOM</v>
      </c>
      <c r="M3860">
        <v>30</v>
      </c>
      <c r="N3860">
        <v>98.82</v>
      </c>
      <c r="O3860">
        <v>30.741410488245929</v>
      </c>
      <c r="P3860"/>
    </row>
    <row r="3861" spans="1:16" hidden="1" x14ac:dyDescent="0.25">
      <c r="A3861" s="11">
        <v>46122</v>
      </c>
      <c r="B3861" t="s">
        <v>50</v>
      </c>
      <c r="C3861" t="s">
        <v>48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446"/>
        <v>21</v>
      </c>
      <c r="J3861" s="3">
        <f t="shared" si="447"/>
        <v>21</v>
      </c>
      <c r="K3861" s="3">
        <f t="shared" si="448"/>
        <v>0</v>
      </c>
      <c r="L3861" s="3" t="str">
        <f t="shared" si="442"/>
        <v>OPORTUNO</v>
      </c>
      <c r="M3861">
        <v>18</v>
      </c>
      <c r="N3861">
        <v>98.2</v>
      </c>
      <c r="O3861">
        <v>27.170868347338931</v>
      </c>
      <c r="P3861"/>
    </row>
    <row r="3862" spans="1:16" hidden="1" x14ac:dyDescent="0.25">
      <c r="A3862" s="11">
        <v>46122</v>
      </c>
      <c r="B3862" t="s">
        <v>17</v>
      </c>
      <c r="C3862" t="s">
        <v>16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446"/>
        <v>6</v>
      </c>
      <c r="J3862" s="3">
        <f t="shared" si="447"/>
        <v>7</v>
      </c>
      <c r="K3862" s="3">
        <f t="shared" si="448"/>
        <v>-1</v>
      </c>
      <c r="L3862" s="3" t="str">
        <f t="shared" si="442"/>
        <v>ATENÇÃO</v>
      </c>
      <c r="M3862">
        <v>5</v>
      </c>
      <c r="N3862">
        <v>100</v>
      </c>
      <c r="O3862">
        <v>23.134328358208951</v>
      </c>
      <c r="P3862"/>
    </row>
    <row r="3863" spans="1:16" hidden="1" x14ac:dyDescent="0.25">
      <c r="A3863" s="11">
        <v>46122</v>
      </c>
      <c r="B3863" t="s">
        <v>60</v>
      </c>
      <c r="C3863" t="s">
        <v>23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446"/>
        <v>30</v>
      </c>
      <c r="J3863" s="3">
        <f t="shared" si="447"/>
        <v>17</v>
      </c>
      <c r="K3863" s="3">
        <f t="shared" si="448"/>
        <v>13</v>
      </c>
      <c r="L3863" s="3" t="str">
        <f t="shared" si="442"/>
        <v>MUITO BOM</v>
      </c>
      <c r="M3863">
        <v>29</v>
      </c>
      <c r="N3863">
        <v>96.3</v>
      </c>
      <c r="O3863">
        <v>32.219570405727922</v>
      </c>
      <c r="P3863"/>
    </row>
    <row r="3864" spans="1:16" hidden="1" x14ac:dyDescent="0.25">
      <c r="A3864" s="11">
        <v>46122</v>
      </c>
      <c r="B3864" t="s">
        <v>34</v>
      </c>
      <c r="C3864" t="s">
        <v>32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446"/>
        <v>21</v>
      </c>
      <c r="J3864" s="3">
        <f t="shared" si="447"/>
        <v>26</v>
      </c>
      <c r="K3864" s="3">
        <f t="shared" si="448"/>
        <v>-5</v>
      </c>
      <c r="L3864" s="3" t="str">
        <f t="shared" si="442"/>
        <v>ATENÇÃO</v>
      </c>
      <c r="M3864">
        <v>20</v>
      </c>
      <c r="N3864">
        <v>93.75</v>
      </c>
      <c r="O3864">
        <v>26.819923371647509</v>
      </c>
      <c r="P3864"/>
    </row>
    <row r="3865" spans="1:16" hidden="1" x14ac:dyDescent="0.25">
      <c r="A3865" s="11">
        <v>46122</v>
      </c>
      <c r="B3865" t="s">
        <v>51</v>
      </c>
      <c r="C3865" t="s">
        <v>48</v>
      </c>
      <c r="D3865">
        <v>31</v>
      </c>
      <c r="E3865">
        <v>27</v>
      </c>
      <c r="F3865">
        <v>16.5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 t="shared" si="442"/>
        <v>OPORTUNO</v>
      </c>
      <c r="M3865">
        <v>28</v>
      </c>
      <c r="N3865">
        <v>97.86</v>
      </c>
      <c r="O3865">
        <v>31.018518518518519</v>
      </c>
      <c r="P3865"/>
    </row>
    <row r="3866" spans="1:16" hidden="1" x14ac:dyDescent="0.25">
      <c r="A3866" s="11">
        <v>46122</v>
      </c>
      <c r="B3866" t="s">
        <v>61</v>
      </c>
      <c r="C3866" t="s">
        <v>23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17</v>
      </c>
      <c r="K3866" s="3">
        <f>I3866-J3866</f>
        <v>1</v>
      </c>
      <c r="L3866" s="3" t="str">
        <f t="shared" si="442"/>
        <v>OPORTUNO</v>
      </c>
      <c r="M3866">
        <v>13</v>
      </c>
      <c r="N3866">
        <v>100</v>
      </c>
      <c r="O3866">
        <v>36.594202898550733</v>
      </c>
      <c r="P3866"/>
    </row>
    <row r="3867" spans="1:16" hidden="1" x14ac:dyDescent="0.25">
      <c r="A3867" s="11">
        <v>46122</v>
      </c>
      <c r="B3867" t="s">
        <v>35</v>
      </c>
      <c r="C3867" t="s">
        <v>32</v>
      </c>
      <c r="D3867">
        <v>26</v>
      </c>
      <c r="E3867">
        <v>26</v>
      </c>
      <c r="F3867">
        <v>21.59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 t="shared" si="442"/>
        <v>OPORTUNO</v>
      </c>
      <c r="M3867">
        <v>27</v>
      </c>
      <c r="N3867">
        <v>100</v>
      </c>
      <c r="O3867">
        <v>38.653846153846153</v>
      </c>
      <c r="P3867"/>
    </row>
    <row r="3868" spans="1:16" hidden="1" x14ac:dyDescent="0.25">
      <c r="A3868" s="11">
        <v>46122</v>
      </c>
      <c r="B3868" t="s">
        <v>18</v>
      </c>
      <c r="C3868" t="s">
        <v>16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 t="shared" si="442"/>
        <v>ATENÇÃO</v>
      </c>
      <c r="M3868">
        <v>3</v>
      </c>
      <c r="N3868">
        <v>100</v>
      </c>
      <c r="O3868">
        <v>27.368421052631579</v>
      </c>
      <c r="P3868"/>
    </row>
    <row r="3869" spans="1:16" hidden="1" x14ac:dyDescent="0.25">
      <c r="A3869" s="11">
        <v>46122</v>
      </c>
      <c r="B3869" t="s">
        <v>52</v>
      </c>
      <c r="C3869" t="s">
        <v>48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21</v>
      </c>
      <c r="K3869" s="3">
        <f>I3869-J3869</f>
        <v>2</v>
      </c>
      <c r="L3869" s="3" t="str">
        <f t="shared" si="442"/>
        <v>OPORTUNO</v>
      </c>
      <c r="M3869">
        <v>22</v>
      </c>
      <c r="N3869">
        <v>97.83</v>
      </c>
      <c r="O3869">
        <v>28.35164835164835</v>
      </c>
      <c r="P3869"/>
    </row>
    <row r="3870" spans="1:16" hidden="1" x14ac:dyDescent="0.25">
      <c r="A3870" s="11">
        <v>46122</v>
      </c>
      <c r="B3870" t="s">
        <v>36</v>
      </c>
      <c r="C3870" t="s">
        <v>32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26</v>
      </c>
      <c r="K3870" s="3">
        <f>I3870-J3870</f>
        <v>5</v>
      </c>
      <c r="L3870" s="3" t="str">
        <f t="shared" si="442"/>
        <v>OPORTUNO</v>
      </c>
      <c r="M3870">
        <v>32</v>
      </c>
      <c r="N3870">
        <v>99.26</v>
      </c>
      <c r="O3870">
        <v>29.766536964980549</v>
      </c>
      <c r="P3870"/>
    </row>
    <row r="3871" spans="1:16" hidden="1" x14ac:dyDescent="0.25">
      <c r="A3871" s="11">
        <v>46122</v>
      </c>
      <c r="B3871" t="s">
        <v>53</v>
      </c>
      <c r="C3871" t="s">
        <v>48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21</v>
      </c>
      <c r="K3871" s="3">
        <f>I3871-J3871</f>
        <v>0</v>
      </c>
      <c r="L3871" s="3" t="str">
        <f t="shared" si="442"/>
        <v>OPORTUNO</v>
      </c>
      <c r="M3871">
        <v>14</v>
      </c>
      <c r="N3871">
        <v>99.19</v>
      </c>
      <c r="O3871">
        <v>29.462365591397852</v>
      </c>
      <c r="P3871"/>
    </row>
    <row r="3872" spans="1:16" hidden="1" x14ac:dyDescent="0.25">
      <c r="A3872" s="11">
        <v>46167</v>
      </c>
      <c r="B3872" t="s">
        <v>55</v>
      </c>
      <c r="C3872" t="s">
        <v>48</v>
      </c>
      <c r="D3872" s="3">
        <v>21</v>
      </c>
      <c r="E3872" s="3">
        <v>17</v>
      </c>
      <c r="F3872" s="3">
        <v>17.190000000000001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 t="shared" si="442"/>
        <v>OPORTUNO</v>
      </c>
      <c r="M3872" s="3">
        <v>17</v>
      </c>
      <c r="N3872" s="3">
        <v>98.94</v>
      </c>
      <c r="O3872" s="3">
        <v>21.270718232044199</v>
      </c>
    </row>
    <row r="3873" spans="1:15" customFormat="1" hidden="1" x14ac:dyDescent="0.25">
      <c r="A3873" s="11">
        <v>46122</v>
      </c>
      <c r="B3873" t="s">
        <v>54</v>
      </c>
      <c r="C3873" t="s">
        <v>48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 t="shared" si="442"/>
        <v>OPORTUNO</v>
      </c>
      <c r="M3873">
        <v>1</v>
      </c>
      <c r="N3873">
        <v>100</v>
      </c>
      <c r="O3873">
        <v>28.921568627450981</v>
      </c>
    </row>
    <row r="3874" spans="1:15" customFormat="1" hidden="1" x14ac:dyDescent="0.25">
      <c r="A3874" s="11">
        <v>46122</v>
      </c>
      <c r="B3874" t="s">
        <v>37</v>
      </c>
      <c r="C3874" t="s">
        <v>32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26</v>
      </c>
      <c r="K3874" s="3">
        <f>I3874-J3874</f>
        <v>6</v>
      </c>
      <c r="L3874" s="3" t="str">
        <f t="shared" si="442"/>
        <v>MUITO BOM</v>
      </c>
      <c r="M3874">
        <v>31</v>
      </c>
      <c r="N3874">
        <v>99.57</v>
      </c>
      <c r="O3874">
        <v>30.635838150289018</v>
      </c>
    </row>
    <row r="3875" spans="1:15" customFormat="1" hidden="1" x14ac:dyDescent="0.25">
      <c r="A3875" s="11">
        <v>46122</v>
      </c>
      <c r="B3875" t="s">
        <v>38</v>
      </c>
      <c r="C3875" t="s">
        <v>32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 t="shared" si="442"/>
        <v>OPORTUNO</v>
      </c>
      <c r="M3875">
        <v>0</v>
      </c>
      <c r="N3875">
        <v>95.65</v>
      </c>
      <c r="O3875">
        <v>32.432432432432442</v>
      </c>
    </row>
    <row r="3876" spans="1:15" customFormat="1" hidden="1" x14ac:dyDescent="0.25">
      <c r="A3876" s="11">
        <v>46122</v>
      </c>
      <c r="B3876" t="s">
        <v>55</v>
      </c>
      <c r="C3876" t="s">
        <v>48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21</v>
      </c>
      <c r="K3876" s="3">
        <f>I3876-J3876</f>
        <v>-4</v>
      </c>
      <c r="L3876" s="3" t="str">
        <f t="shared" si="442"/>
        <v>ATENÇÃO</v>
      </c>
      <c r="M3876">
        <v>16</v>
      </c>
      <c r="N3876">
        <v>98.81</v>
      </c>
      <c r="O3876">
        <v>26.256983240223459</v>
      </c>
    </row>
    <row r="3877" spans="1:15" customFormat="1" hidden="1" x14ac:dyDescent="0.25">
      <c r="A3877" s="11">
        <v>46122</v>
      </c>
      <c r="B3877" t="s">
        <v>39</v>
      </c>
      <c r="C3877" t="s">
        <v>32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 t="shared" si="442"/>
        <v>OPORTUNO</v>
      </c>
      <c r="M3877">
        <v>0</v>
      </c>
      <c r="N3877">
        <v>0</v>
      </c>
      <c r="O3877">
        <v>0</v>
      </c>
    </row>
    <row r="3878" spans="1:15" customFormat="1" hidden="1" x14ac:dyDescent="0.25">
      <c r="A3878" s="11">
        <v>46122</v>
      </c>
      <c r="B3878" t="s">
        <v>25</v>
      </c>
      <c r="C3878" t="s">
        <v>26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15</v>
      </c>
      <c r="K3878" s="3">
        <f>I3878-J3878</f>
        <v>1</v>
      </c>
      <c r="L3878" s="3" t="str">
        <f t="shared" si="442"/>
        <v>OPORTUNO</v>
      </c>
      <c r="M3878">
        <v>15</v>
      </c>
      <c r="N3878">
        <v>97.17</v>
      </c>
      <c r="O3878">
        <v>28.81844380403458</v>
      </c>
    </row>
    <row r="3879" spans="1:15" customFormat="1" hidden="1" x14ac:dyDescent="0.25">
      <c r="A3879" s="11">
        <v>46122</v>
      </c>
      <c r="B3879" t="s">
        <v>40</v>
      </c>
      <c r="C3879" t="s">
        <v>32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26</v>
      </c>
      <c r="K3879" s="3">
        <f>I3879-J3879</f>
        <v>-11</v>
      </c>
      <c r="L3879" s="3" t="str">
        <f t="shared" si="442"/>
        <v>CRÍTICO</v>
      </c>
      <c r="M3879">
        <v>14</v>
      </c>
      <c r="N3879">
        <v>96.81</v>
      </c>
      <c r="O3879">
        <v>48.018648018648022</v>
      </c>
    </row>
    <row r="3880" spans="1:15" customFormat="1" hidden="1" x14ac:dyDescent="0.25">
      <c r="A3880" s="11">
        <v>46122</v>
      </c>
      <c r="B3880" t="s">
        <v>27</v>
      </c>
      <c r="C3880" t="s">
        <v>26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15</v>
      </c>
      <c r="K3880" s="3">
        <f>I3880-J3880</f>
        <v>-4</v>
      </c>
      <c r="L3880" s="3" t="str">
        <f t="shared" si="442"/>
        <v>ATENÇÃO</v>
      </c>
      <c r="M3880">
        <v>8</v>
      </c>
      <c r="N3880">
        <v>98.15</v>
      </c>
      <c r="O3880">
        <v>27.1551724137931</v>
      </c>
    </row>
    <row r="3881" spans="1:15" customFormat="1" hidden="1" x14ac:dyDescent="0.25">
      <c r="A3881" s="11">
        <v>46122</v>
      </c>
      <c r="B3881" t="s">
        <v>41</v>
      </c>
      <c r="C3881" t="s">
        <v>32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0</v>
      </c>
      <c r="L3881" s="3" t="str">
        <f t="shared" si="442"/>
        <v>OPORTUNO</v>
      </c>
      <c r="M3881">
        <v>26</v>
      </c>
      <c r="N3881">
        <v>99.15</v>
      </c>
      <c r="O3881">
        <v>27.586206896551719</v>
      </c>
    </row>
    <row r="3882" spans="1:15" customFormat="1" hidden="1" x14ac:dyDescent="0.25">
      <c r="A3882" s="11">
        <v>46122</v>
      </c>
      <c r="B3882" t="s">
        <v>56</v>
      </c>
      <c r="C3882" t="s">
        <v>48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21</v>
      </c>
      <c r="K3882" s="3">
        <f>I3882-J3882</f>
        <v>-2</v>
      </c>
      <c r="L3882" s="3" t="str">
        <f t="shared" si="442"/>
        <v>ATENÇÃO</v>
      </c>
      <c r="M3882">
        <v>16</v>
      </c>
      <c r="N3882">
        <v>99.17</v>
      </c>
      <c r="O3882">
        <v>29.75206611570248</v>
      </c>
    </row>
    <row r="3883" spans="1:15" customFormat="1" hidden="1" x14ac:dyDescent="0.25">
      <c r="A3883" s="11">
        <v>46122</v>
      </c>
      <c r="B3883" t="s">
        <v>57</v>
      </c>
      <c r="C3883" t="s">
        <v>48</v>
      </c>
      <c r="D3883">
        <v>11</v>
      </c>
      <c r="E3883">
        <v>10</v>
      </c>
      <c r="F3883">
        <v>22.28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 t="shared" si="442"/>
        <v>OPORTUNO</v>
      </c>
      <c r="M3883">
        <v>8</v>
      </c>
      <c r="N3883">
        <v>98.73</v>
      </c>
      <c r="O3883">
        <v>28.961748633879779</v>
      </c>
    </row>
    <row r="3884" spans="1:15" customFormat="1" hidden="1" x14ac:dyDescent="0.25">
      <c r="A3884" s="11">
        <v>46122</v>
      </c>
      <c r="B3884" t="s">
        <v>42</v>
      </c>
      <c r="C3884" t="s">
        <v>32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ref="I3884:I3899" si="449">E3884+G3884+H3884</f>
        <v>37</v>
      </c>
      <c r="J3884" s="3">
        <f t="shared" ref="J3884:J3899" si="450"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26</v>
      </c>
      <c r="K3884" s="3">
        <f t="shared" ref="K3884:K3899" si="451">I3884-J3884</f>
        <v>11</v>
      </c>
      <c r="L3884" s="3" t="str">
        <f t="shared" si="442"/>
        <v>MUITO BOM</v>
      </c>
      <c r="M3884">
        <v>28</v>
      </c>
      <c r="N3884">
        <v>88.68</v>
      </c>
      <c r="O3884">
        <v>22.03389830508474</v>
      </c>
    </row>
    <row r="3885" spans="1:15" customFormat="1" hidden="1" x14ac:dyDescent="0.25">
      <c r="A3885" s="11">
        <v>46122</v>
      </c>
      <c r="B3885" t="s">
        <v>62</v>
      </c>
      <c r="C3885" t="s">
        <v>23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449"/>
        <v>18</v>
      </c>
      <c r="J3885" s="3">
        <f t="shared" si="450"/>
        <v>17</v>
      </c>
      <c r="K3885" s="3">
        <f t="shared" si="451"/>
        <v>1</v>
      </c>
      <c r="L3885" s="3" t="str">
        <f t="shared" si="442"/>
        <v>OPORTUNO</v>
      </c>
      <c r="M3885">
        <v>21</v>
      </c>
      <c r="N3885">
        <v>97.37</v>
      </c>
      <c r="O3885">
        <v>25.76530612244898</v>
      </c>
    </row>
    <row r="3886" spans="1:15" customFormat="1" hidden="1" x14ac:dyDescent="0.25">
      <c r="A3886" s="11">
        <v>46122</v>
      </c>
      <c r="B3886" t="s">
        <v>19</v>
      </c>
      <c r="C3886" t="s">
        <v>16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449"/>
        <v>18</v>
      </c>
      <c r="J3886" s="3">
        <f t="shared" si="450"/>
        <v>7</v>
      </c>
      <c r="K3886" s="3">
        <f t="shared" si="451"/>
        <v>11</v>
      </c>
      <c r="L3886" s="3" t="str">
        <f t="shared" si="442"/>
        <v>MUITO BOM</v>
      </c>
      <c r="M3886">
        <v>15</v>
      </c>
      <c r="N3886">
        <v>100</v>
      </c>
      <c r="O3886">
        <v>25</v>
      </c>
    </row>
    <row r="3887" spans="1:15" customFormat="1" hidden="1" x14ac:dyDescent="0.25">
      <c r="A3887" s="11">
        <v>46122</v>
      </c>
      <c r="B3887" t="s">
        <v>43</v>
      </c>
      <c r="C3887" t="s">
        <v>32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449"/>
        <v>11</v>
      </c>
      <c r="J3887" s="3">
        <f t="shared" si="450"/>
        <v>26</v>
      </c>
      <c r="K3887" s="3">
        <f t="shared" si="451"/>
        <v>-15</v>
      </c>
      <c r="L3887" s="3" t="str">
        <f t="shared" si="442"/>
        <v>CRÍTICO</v>
      </c>
      <c r="M3887">
        <v>19</v>
      </c>
      <c r="N3887">
        <v>100</v>
      </c>
      <c r="O3887">
        <v>23.9870340356564</v>
      </c>
    </row>
    <row r="3888" spans="1:15" customFormat="1" hidden="1" x14ac:dyDescent="0.25">
      <c r="A3888" s="11">
        <v>46122</v>
      </c>
      <c r="B3888" t="s">
        <v>44</v>
      </c>
      <c r="C3888" t="s">
        <v>32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449"/>
        <v>23</v>
      </c>
      <c r="J3888" s="3">
        <f t="shared" si="450"/>
        <v>26</v>
      </c>
      <c r="K3888" s="3">
        <f t="shared" si="451"/>
        <v>-3</v>
      </c>
      <c r="L3888" s="3" t="str">
        <f t="shared" si="442"/>
        <v>ATENÇÃO</v>
      </c>
      <c r="M3888">
        <v>22</v>
      </c>
      <c r="N3888">
        <v>95.49</v>
      </c>
      <c r="O3888">
        <v>28.370221327967808</v>
      </c>
    </row>
    <row r="3889" spans="1:15" customFormat="1" hidden="1" x14ac:dyDescent="0.25">
      <c r="A3889" s="11">
        <v>46122</v>
      </c>
      <c r="B3889" t="s">
        <v>20</v>
      </c>
      <c r="C3889" t="s">
        <v>16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449"/>
        <v>16</v>
      </c>
      <c r="J3889" s="3">
        <f t="shared" si="450"/>
        <v>7</v>
      </c>
      <c r="K3889" s="3">
        <f t="shared" si="451"/>
        <v>9</v>
      </c>
      <c r="L3889" s="3" t="str">
        <f t="shared" si="442"/>
        <v>MUITO BOM</v>
      </c>
      <c r="M3889">
        <v>10</v>
      </c>
      <c r="N3889">
        <v>100</v>
      </c>
      <c r="O3889">
        <v>23.77622377622378</v>
      </c>
    </row>
    <row r="3890" spans="1:15" customFormat="1" hidden="1" x14ac:dyDescent="0.25">
      <c r="A3890" s="11">
        <v>46122</v>
      </c>
      <c r="B3890" t="s">
        <v>28</v>
      </c>
      <c r="C3890" t="s">
        <v>26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449"/>
        <v>31</v>
      </c>
      <c r="J3890" s="3">
        <f t="shared" si="450"/>
        <v>15</v>
      </c>
      <c r="K3890" s="3">
        <f t="shared" si="451"/>
        <v>16</v>
      </c>
      <c r="L3890" s="3" t="str">
        <f t="shared" si="442"/>
        <v>MUITO BOM</v>
      </c>
      <c r="M3890">
        <v>20</v>
      </c>
      <c r="N3890">
        <v>96.15</v>
      </c>
      <c r="O3890">
        <v>24.045801526717561</v>
      </c>
    </row>
    <row r="3891" spans="1:15" customFormat="1" hidden="1" x14ac:dyDescent="0.25">
      <c r="A3891" s="11">
        <v>46122</v>
      </c>
      <c r="B3891" t="s">
        <v>58</v>
      </c>
      <c r="C3891" t="s">
        <v>48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449"/>
        <v>18</v>
      </c>
      <c r="J3891" s="3">
        <f t="shared" si="450"/>
        <v>21</v>
      </c>
      <c r="K3891" s="3">
        <f t="shared" si="451"/>
        <v>-3</v>
      </c>
      <c r="L3891" s="3" t="str">
        <f t="shared" si="442"/>
        <v>ATENÇÃO</v>
      </c>
      <c r="M3891">
        <v>16</v>
      </c>
      <c r="N3891">
        <v>99.02</v>
      </c>
      <c r="O3891">
        <v>34.797297297297298</v>
      </c>
    </row>
    <row r="3892" spans="1:15" customFormat="1" hidden="1" x14ac:dyDescent="0.25">
      <c r="A3892" s="11">
        <v>46122</v>
      </c>
      <c r="B3892" t="s">
        <v>29</v>
      </c>
      <c r="C3892" t="s">
        <v>26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449"/>
        <v>12</v>
      </c>
      <c r="J3892" s="3">
        <f t="shared" si="450"/>
        <v>15</v>
      </c>
      <c r="K3892" s="3">
        <f t="shared" si="451"/>
        <v>-3</v>
      </c>
      <c r="L3892" s="3" t="str">
        <f t="shared" si="442"/>
        <v>ATENÇÃO</v>
      </c>
      <c r="M3892">
        <v>11</v>
      </c>
      <c r="N3892">
        <v>98.84</v>
      </c>
      <c r="O3892">
        <v>31.868131868131869</v>
      </c>
    </row>
    <row r="3893" spans="1:15" customFormat="1" hidden="1" x14ac:dyDescent="0.25">
      <c r="A3893" s="11">
        <v>46122</v>
      </c>
      <c r="B3893" t="s">
        <v>30</v>
      </c>
      <c r="C3893" t="s">
        <v>26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449"/>
        <v>20</v>
      </c>
      <c r="J3893" s="3">
        <f t="shared" si="450"/>
        <v>15</v>
      </c>
      <c r="K3893" s="3">
        <f t="shared" si="451"/>
        <v>5</v>
      </c>
      <c r="L3893" s="3" t="str">
        <f t="shared" si="442"/>
        <v>OPORTUNO</v>
      </c>
      <c r="M3893">
        <v>18</v>
      </c>
      <c r="N3893">
        <v>100</v>
      </c>
      <c r="O3893">
        <v>34.666666666666671</v>
      </c>
    </row>
    <row r="3894" spans="1:15" customFormat="1" hidden="1" x14ac:dyDescent="0.25">
      <c r="A3894" s="11">
        <v>46122</v>
      </c>
      <c r="B3894" t="s">
        <v>21</v>
      </c>
      <c r="C3894" t="s">
        <v>16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449"/>
        <v>7</v>
      </c>
      <c r="J3894" s="3">
        <f t="shared" si="450"/>
        <v>7</v>
      </c>
      <c r="K3894" s="3">
        <f t="shared" si="451"/>
        <v>0</v>
      </c>
      <c r="L3894" s="3" t="str">
        <f t="shared" si="442"/>
        <v>OPORTUNO</v>
      </c>
      <c r="M3894">
        <v>6</v>
      </c>
      <c r="N3894">
        <v>94.12</v>
      </c>
      <c r="O3894">
        <v>32.799999999999997</v>
      </c>
    </row>
    <row r="3895" spans="1:15" customFormat="1" hidden="1" x14ac:dyDescent="0.25">
      <c r="A3895" s="11">
        <v>46122</v>
      </c>
      <c r="B3895" t="s">
        <v>63</v>
      </c>
      <c r="C3895" t="s">
        <v>23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449"/>
        <v>25</v>
      </c>
      <c r="J3895" s="3">
        <f t="shared" si="450"/>
        <v>17</v>
      </c>
      <c r="K3895" s="3">
        <f t="shared" si="451"/>
        <v>8</v>
      </c>
      <c r="L3895" s="3" t="str">
        <f t="shared" si="442"/>
        <v>MUITO BOM</v>
      </c>
      <c r="M3895">
        <v>19</v>
      </c>
      <c r="N3895">
        <v>98.32</v>
      </c>
      <c r="O3895">
        <v>26.858513189448441</v>
      </c>
    </row>
    <row r="3896" spans="1:15" customFormat="1" hidden="1" x14ac:dyDescent="0.25">
      <c r="A3896" s="11">
        <v>46122</v>
      </c>
      <c r="B3896" t="s">
        <v>45</v>
      </c>
      <c r="C3896" t="s">
        <v>32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449"/>
        <v>34</v>
      </c>
      <c r="J3896" s="3">
        <f t="shared" si="450"/>
        <v>26</v>
      </c>
      <c r="K3896" s="3">
        <f t="shared" si="451"/>
        <v>8</v>
      </c>
      <c r="L3896" s="3" t="str">
        <f t="shared" si="442"/>
        <v>MUITO BOM</v>
      </c>
      <c r="M3896">
        <v>32</v>
      </c>
      <c r="N3896">
        <v>100</v>
      </c>
      <c r="O3896">
        <v>31.135531135531139</v>
      </c>
    </row>
    <row r="3897" spans="1:15" customFormat="1" hidden="1" x14ac:dyDescent="0.25">
      <c r="A3897" s="11">
        <v>46122</v>
      </c>
      <c r="B3897" t="s">
        <v>64</v>
      </c>
      <c r="C3897" t="s">
        <v>23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449"/>
        <v>13</v>
      </c>
      <c r="J3897" s="3">
        <f t="shared" si="450"/>
        <v>17</v>
      </c>
      <c r="K3897" s="3">
        <f t="shared" si="451"/>
        <v>-4</v>
      </c>
      <c r="L3897" s="3" t="str">
        <f t="shared" si="442"/>
        <v>ATENÇÃO</v>
      </c>
      <c r="M3897">
        <v>12</v>
      </c>
      <c r="N3897">
        <v>100</v>
      </c>
      <c r="O3897">
        <v>26.36986301369863</v>
      </c>
    </row>
    <row r="3898" spans="1:15" customFormat="1" hidden="1" x14ac:dyDescent="0.25">
      <c r="A3898" s="11">
        <v>46122</v>
      </c>
      <c r="B3898" t="s">
        <v>46</v>
      </c>
      <c r="C3898" t="s">
        <v>32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449"/>
        <v>11</v>
      </c>
      <c r="J3898" s="3">
        <f t="shared" si="450"/>
        <v>26</v>
      </c>
      <c r="K3898" s="3">
        <f t="shared" si="451"/>
        <v>-15</v>
      </c>
      <c r="L3898" s="3" t="str">
        <f t="shared" si="442"/>
        <v>CRÍTICO</v>
      </c>
      <c r="M3898">
        <v>11</v>
      </c>
      <c r="N3898">
        <v>99.21</v>
      </c>
      <c r="O3898">
        <v>25.188916876574311</v>
      </c>
    </row>
    <row r="3899" spans="1:15" customFormat="1" hidden="1" x14ac:dyDescent="0.25">
      <c r="A3899" s="11">
        <v>46125</v>
      </c>
      <c r="B3899" t="s">
        <v>47</v>
      </c>
      <c r="C3899" t="s">
        <v>48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449"/>
        <v>15</v>
      </c>
      <c r="J3899" s="3">
        <f t="shared" si="450"/>
        <v>20</v>
      </c>
      <c r="K3899" s="3">
        <f t="shared" si="451"/>
        <v>-5</v>
      </c>
      <c r="L3899" s="3" t="str">
        <f t="shared" ref="L3899:L3962" si="452">IF(K3899&lt;-5,"CRÍTICO",IF(K3899&lt;0,"ATENÇÃO",IF(K3899&lt;=5,"OPORTUNO","MUITO BOM")))</f>
        <v>ATENÇÃO</v>
      </c>
      <c r="M3899">
        <v>9</v>
      </c>
      <c r="N3899">
        <v>100</v>
      </c>
      <c r="O3899">
        <v>32.764505119453922</v>
      </c>
    </row>
    <row r="3900" spans="1:15" customFormat="1" hidden="1" x14ac:dyDescent="0.25">
      <c r="A3900" s="11">
        <v>46125</v>
      </c>
      <c r="B3900" t="s">
        <v>31</v>
      </c>
      <c r="C3900" t="s">
        <v>32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 t="shared" si="452"/>
        <v>OPORTUNO</v>
      </c>
      <c r="M3900">
        <v>19</v>
      </c>
      <c r="N3900">
        <v>98.66</v>
      </c>
      <c r="O3900">
        <v>35.416666666666671</v>
      </c>
    </row>
    <row r="3901" spans="1:15" customFormat="1" hidden="1" x14ac:dyDescent="0.25">
      <c r="A3901" s="11">
        <v>46125</v>
      </c>
      <c r="B3901" t="s">
        <v>59</v>
      </c>
      <c r="C3901" t="s">
        <v>23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ref="I3901:I3908" si="453">E3901+G3901+H3901</f>
        <v>29</v>
      </c>
      <c r="J3901" s="3">
        <f t="shared" ref="J3901:J3908" si="454"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17</v>
      </c>
      <c r="K3901" s="3">
        <f t="shared" ref="K3901:K3908" si="455">I3901-J3901</f>
        <v>12</v>
      </c>
      <c r="L3901" s="3" t="str">
        <f t="shared" si="452"/>
        <v>MUITO BOM</v>
      </c>
      <c r="M3901">
        <v>20</v>
      </c>
      <c r="N3901">
        <v>99.32</v>
      </c>
      <c r="O3901">
        <v>30.648330058939099</v>
      </c>
    </row>
    <row r="3902" spans="1:15" customFormat="1" hidden="1" x14ac:dyDescent="0.25">
      <c r="A3902" s="11">
        <v>46125</v>
      </c>
      <c r="B3902" t="s">
        <v>33</v>
      </c>
      <c r="C3902" t="s">
        <v>32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453"/>
        <v>13</v>
      </c>
      <c r="J3902" s="3">
        <f t="shared" si="454"/>
        <v>25</v>
      </c>
      <c r="K3902" s="3">
        <f t="shared" si="455"/>
        <v>-12</v>
      </c>
      <c r="L3902" s="3" t="str">
        <f t="shared" si="452"/>
        <v>CRÍTICO</v>
      </c>
      <c r="M3902">
        <v>14</v>
      </c>
      <c r="N3902">
        <v>100</v>
      </c>
      <c r="O3902">
        <v>27.803738317757009</v>
      </c>
    </row>
    <row r="3903" spans="1:15" customFormat="1" hidden="1" x14ac:dyDescent="0.25">
      <c r="A3903" s="11">
        <v>46125</v>
      </c>
      <c r="B3903" t="s">
        <v>15</v>
      </c>
      <c r="C3903" t="s">
        <v>16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453"/>
        <v>25</v>
      </c>
      <c r="J3903" s="3">
        <f t="shared" si="454"/>
        <v>7</v>
      </c>
      <c r="K3903" s="3">
        <f t="shared" si="455"/>
        <v>18</v>
      </c>
      <c r="L3903" s="3" t="str">
        <f t="shared" si="452"/>
        <v>MUITO BOM</v>
      </c>
      <c r="M3903">
        <v>22</v>
      </c>
      <c r="N3903">
        <v>96.74</v>
      </c>
      <c r="O3903">
        <v>28.67647058823529</v>
      </c>
    </row>
    <row r="3904" spans="1:15" customFormat="1" hidden="1" x14ac:dyDescent="0.25">
      <c r="A3904" s="11">
        <v>46125</v>
      </c>
      <c r="B3904" t="s">
        <v>49</v>
      </c>
      <c r="C3904" t="s">
        <v>48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453"/>
        <v>27</v>
      </c>
      <c r="J3904" s="3">
        <f t="shared" si="454"/>
        <v>20</v>
      </c>
      <c r="K3904" s="3">
        <f t="shared" si="455"/>
        <v>7</v>
      </c>
      <c r="L3904" s="3" t="str">
        <f t="shared" si="452"/>
        <v>MUITO BOM</v>
      </c>
      <c r="M3904">
        <v>23</v>
      </c>
      <c r="N3904">
        <v>98.82</v>
      </c>
      <c r="O3904">
        <v>30.741410488245929</v>
      </c>
    </row>
    <row r="3905" spans="1:16" hidden="1" x14ac:dyDescent="0.25">
      <c r="A3905" s="11">
        <v>46125</v>
      </c>
      <c r="B3905" t="s">
        <v>50</v>
      </c>
      <c r="C3905" t="s">
        <v>48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453"/>
        <v>14</v>
      </c>
      <c r="J3905" s="3">
        <f t="shared" si="454"/>
        <v>20</v>
      </c>
      <c r="K3905" s="3">
        <f t="shared" si="455"/>
        <v>-6</v>
      </c>
      <c r="L3905" s="3" t="str">
        <f t="shared" si="452"/>
        <v>CRÍTICO</v>
      </c>
      <c r="M3905">
        <v>11</v>
      </c>
      <c r="N3905">
        <v>98.2</v>
      </c>
      <c r="O3905">
        <v>27.170868347338931</v>
      </c>
      <c r="P3905"/>
    </row>
    <row r="3906" spans="1:16" hidden="1" x14ac:dyDescent="0.25">
      <c r="A3906" s="11">
        <v>46125</v>
      </c>
      <c r="B3906" t="s">
        <v>17</v>
      </c>
      <c r="C3906" t="s">
        <v>16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453"/>
        <v>10</v>
      </c>
      <c r="J3906" s="3">
        <f t="shared" si="454"/>
        <v>7</v>
      </c>
      <c r="K3906" s="3">
        <f t="shared" si="455"/>
        <v>3</v>
      </c>
      <c r="L3906" s="3" t="str">
        <f t="shared" si="452"/>
        <v>OPORTUNO</v>
      </c>
      <c r="M3906">
        <v>8</v>
      </c>
      <c r="N3906">
        <v>100</v>
      </c>
      <c r="O3906">
        <v>23.134328358208951</v>
      </c>
      <c r="P3906"/>
    </row>
    <row r="3907" spans="1:16" hidden="1" x14ac:dyDescent="0.25">
      <c r="A3907" s="11">
        <v>46125</v>
      </c>
      <c r="B3907" t="s">
        <v>60</v>
      </c>
      <c r="C3907" t="s">
        <v>23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453"/>
        <v>28</v>
      </c>
      <c r="J3907" s="3">
        <f t="shared" si="454"/>
        <v>17</v>
      </c>
      <c r="K3907" s="3">
        <f t="shared" si="455"/>
        <v>11</v>
      </c>
      <c r="L3907" s="3" t="str">
        <f t="shared" si="452"/>
        <v>MUITO BOM</v>
      </c>
      <c r="M3907">
        <v>24</v>
      </c>
      <c r="N3907">
        <v>96.3</v>
      </c>
      <c r="O3907">
        <v>32.219570405727922</v>
      </c>
      <c r="P3907"/>
    </row>
    <row r="3908" spans="1:16" hidden="1" x14ac:dyDescent="0.25">
      <c r="A3908" s="11">
        <v>46125</v>
      </c>
      <c r="B3908" t="s">
        <v>34</v>
      </c>
      <c r="C3908" t="s">
        <v>32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453"/>
        <v>28</v>
      </c>
      <c r="J3908" s="3">
        <f t="shared" si="454"/>
        <v>25</v>
      </c>
      <c r="K3908" s="3">
        <f t="shared" si="455"/>
        <v>3</v>
      </c>
      <c r="L3908" s="3" t="str">
        <f t="shared" si="452"/>
        <v>OPORTUNO</v>
      </c>
      <c r="M3908">
        <v>29</v>
      </c>
      <c r="N3908">
        <v>93.75</v>
      </c>
      <c r="O3908">
        <v>26.819923371647509</v>
      </c>
      <c r="P3908"/>
    </row>
    <row r="3909" spans="1:16" hidden="1" x14ac:dyDescent="0.25">
      <c r="A3909" s="11">
        <v>46125</v>
      </c>
      <c r="B3909" t="s">
        <v>51</v>
      </c>
      <c r="C3909" t="s">
        <v>48</v>
      </c>
      <c r="D3909">
        <v>22</v>
      </c>
      <c r="E3909">
        <v>15</v>
      </c>
      <c r="F3909">
        <v>15.01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 t="shared" si="452"/>
        <v>OPORTUNO</v>
      </c>
      <c r="M3909">
        <v>17</v>
      </c>
      <c r="N3909">
        <v>97.86</v>
      </c>
      <c r="O3909">
        <v>31.018518518518519</v>
      </c>
      <c r="P3909"/>
    </row>
    <row r="3910" spans="1:16" hidden="1" x14ac:dyDescent="0.25">
      <c r="A3910" s="11">
        <v>46125</v>
      </c>
      <c r="B3910" t="s">
        <v>61</v>
      </c>
      <c r="C3910" t="s">
        <v>23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17</v>
      </c>
      <c r="K3910" s="3">
        <f>I3910-J3910</f>
        <v>-10</v>
      </c>
      <c r="L3910" s="3" t="str">
        <f t="shared" si="452"/>
        <v>CRÍTICO</v>
      </c>
      <c r="M3910">
        <v>9</v>
      </c>
      <c r="N3910">
        <v>100</v>
      </c>
      <c r="O3910">
        <v>36.594202898550733</v>
      </c>
      <c r="P3910"/>
    </row>
    <row r="3911" spans="1:16" hidden="1" x14ac:dyDescent="0.25">
      <c r="A3911" s="11">
        <v>46125</v>
      </c>
      <c r="B3911" t="s">
        <v>35</v>
      </c>
      <c r="C3911" t="s">
        <v>32</v>
      </c>
      <c r="D3911">
        <v>25</v>
      </c>
      <c r="E3911">
        <v>23</v>
      </c>
      <c r="F3911">
        <v>20.399999999999999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 t="shared" si="452"/>
        <v>OPORTUNO</v>
      </c>
      <c r="M3911">
        <v>24</v>
      </c>
      <c r="N3911">
        <v>100</v>
      </c>
      <c r="O3911">
        <v>38.653846153846153</v>
      </c>
      <c r="P3911"/>
    </row>
    <row r="3912" spans="1:16" hidden="1" x14ac:dyDescent="0.25">
      <c r="A3912" s="11">
        <v>46125</v>
      </c>
      <c r="B3912" t="s">
        <v>18</v>
      </c>
      <c r="C3912" t="s">
        <v>16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 t="shared" si="452"/>
        <v>ATENÇÃO</v>
      </c>
      <c r="M3912">
        <v>3</v>
      </c>
      <c r="N3912">
        <v>100</v>
      </c>
      <c r="O3912">
        <v>27.368421052631579</v>
      </c>
      <c r="P3912"/>
    </row>
    <row r="3913" spans="1:16" hidden="1" x14ac:dyDescent="0.25">
      <c r="A3913" s="11">
        <v>46125</v>
      </c>
      <c r="B3913" t="s">
        <v>52</v>
      </c>
      <c r="C3913" t="s">
        <v>48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20</v>
      </c>
      <c r="K3913" s="3">
        <f>I3913-J3913</f>
        <v>6</v>
      </c>
      <c r="L3913" s="3" t="str">
        <f t="shared" si="452"/>
        <v>MUITO BOM</v>
      </c>
      <c r="M3913">
        <v>23</v>
      </c>
      <c r="N3913">
        <v>97.83</v>
      </c>
      <c r="O3913">
        <v>28.35164835164835</v>
      </c>
      <c r="P3913"/>
    </row>
    <row r="3914" spans="1:16" hidden="1" x14ac:dyDescent="0.25">
      <c r="A3914" s="11">
        <v>46125</v>
      </c>
      <c r="B3914" t="s">
        <v>36</v>
      </c>
      <c r="C3914" t="s">
        <v>32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25</v>
      </c>
      <c r="K3914" s="3">
        <f>I3914-J3914</f>
        <v>3</v>
      </c>
      <c r="L3914" s="3" t="str">
        <f t="shared" si="452"/>
        <v>OPORTUNO</v>
      </c>
      <c r="M3914">
        <v>29</v>
      </c>
      <c r="N3914">
        <v>99.26</v>
      </c>
      <c r="O3914">
        <v>29.766536964980549</v>
      </c>
      <c r="P3914"/>
    </row>
    <row r="3915" spans="1:16" hidden="1" x14ac:dyDescent="0.25">
      <c r="A3915" s="11">
        <v>46125</v>
      </c>
      <c r="B3915" t="s">
        <v>53</v>
      </c>
      <c r="C3915" t="s">
        <v>48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20</v>
      </c>
      <c r="K3915" s="3">
        <f>I3915-J3915</f>
        <v>-2</v>
      </c>
      <c r="L3915" s="3" t="str">
        <f t="shared" si="452"/>
        <v>ATENÇÃO</v>
      </c>
      <c r="M3915">
        <v>15</v>
      </c>
      <c r="N3915">
        <v>99.19</v>
      </c>
      <c r="O3915">
        <v>29.462365591397852</v>
      </c>
      <c r="P3915"/>
    </row>
    <row r="3916" spans="1:16" hidden="1" x14ac:dyDescent="0.25">
      <c r="A3916" s="11">
        <v>46167</v>
      </c>
      <c r="B3916" t="s">
        <v>56</v>
      </c>
      <c r="C3916" t="s">
        <v>48</v>
      </c>
      <c r="D3916" s="3">
        <v>24</v>
      </c>
      <c r="E3916" s="3">
        <v>24</v>
      </c>
      <c r="F3916" s="3">
        <v>20.36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 t="shared" si="452"/>
        <v>OPORTUNO</v>
      </c>
      <c r="M3916" s="3">
        <v>18</v>
      </c>
      <c r="N3916" s="3">
        <v>99</v>
      </c>
      <c r="O3916" s="3">
        <v>22.010869565217391</v>
      </c>
    </row>
    <row r="3917" spans="1:16" hidden="1" x14ac:dyDescent="0.25">
      <c r="A3917" s="11">
        <v>46125</v>
      </c>
      <c r="B3917" t="s">
        <v>54</v>
      </c>
      <c r="C3917" t="s">
        <v>48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 t="shared" si="452"/>
        <v>OPORTUNO</v>
      </c>
      <c r="M3917">
        <v>0</v>
      </c>
      <c r="N3917">
        <v>100</v>
      </c>
      <c r="O3917">
        <v>28.921568627450981</v>
      </c>
      <c r="P3917"/>
    </row>
    <row r="3918" spans="1:16" hidden="1" x14ac:dyDescent="0.25">
      <c r="A3918" s="11">
        <v>46125</v>
      </c>
      <c r="B3918" t="s">
        <v>37</v>
      </c>
      <c r="C3918" t="s">
        <v>32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25</v>
      </c>
      <c r="K3918" s="3">
        <f>I3918-J3918</f>
        <v>10</v>
      </c>
      <c r="L3918" s="3" t="str">
        <f t="shared" si="452"/>
        <v>MUITO BOM</v>
      </c>
      <c r="M3918">
        <v>37</v>
      </c>
      <c r="N3918">
        <v>99.57</v>
      </c>
      <c r="O3918">
        <v>30.635838150289018</v>
      </c>
      <c r="P3918"/>
    </row>
    <row r="3919" spans="1:16" hidden="1" x14ac:dyDescent="0.25">
      <c r="A3919" s="11">
        <v>46125</v>
      </c>
      <c r="B3919" t="s">
        <v>38</v>
      </c>
      <c r="C3919" t="s">
        <v>32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 t="shared" si="452"/>
        <v>OPORTUNO</v>
      </c>
      <c r="M3919">
        <v>0</v>
      </c>
      <c r="N3919">
        <v>95.65</v>
      </c>
      <c r="O3919">
        <v>32.432432432432442</v>
      </c>
      <c r="P3919"/>
    </row>
    <row r="3920" spans="1:16" hidden="1" x14ac:dyDescent="0.25">
      <c r="A3920" s="11">
        <v>46125</v>
      </c>
      <c r="B3920" t="s">
        <v>55</v>
      </c>
      <c r="C3920" t="s">
        <v>48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20</v>
      </c>
      <c r="K3920" s="3">
        <f>I3920-J3920</f>
        <v>2</v>
      </c>
      <c r="L3920" s="3" t="str">
        <f t="shared" si="452"/>
        <v>OPORTUNO</v>
      </c>
      <c r="M3920">
        <v>18</v>
      </c>
      <c r="N3920">
        <v>98.81</v>
      </c>
      <c r="O3920">
        <v>26.256983240223459</v>
      </c>
      <c r="P3920"/>
    </row>
    <row r="3921" spans="1:15" customFormat="1" hidden="1" x14ac:dyDescent="0.25">
      <c r="A3921" s="11">
        <v>46125</v>
      </c>
      <c r="B3921" t="s">
        <v>39</v>
      </c>
      <c r="C3921" t="s">
        <v>32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 t="shared" si="452"/>
        <v>OPORTUNO</v>
      </c>
      <c r="M3921">
        <v>0</v>
      </c>
      <c r="N3921">
        <v>0</v>
      </c>
      <c r="O3921">
        <v>0</v>
      </c>
    </row>
    <row r="3922" spans="1:15" customFormat="1" hidden="1" x14ac:dyDescent="0.25">
      <c r="A3922" s="11">
        <v>46125</v>
      </c>
      <c r="B3922" t="s">
        <v>25</v>
      </c>
      <c r="C3922" t="s">
        <v>26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15</v>
      </c>
      <c r="K3922" s="3">
        <f>I3922-J3922</f>
        <v>6</v>
      </c>
      <c r="L3922" s="3" t="str">
        <f t="shared" si="452"/>
        <v>MUITO BOM</v>
      </c>
      <c r="M3922">
        <v>24</v>
      </c>
      <c r="N3922">
        <v>97.17</v>
      </c>
      <c r="O3922">
        <v>28.81844380403458</v>
      </c>
    </row>
    <row r="3923" spans="1:15" customFormat="1" hidden="1" x14ac:dyDescent="0.25">
      <c r="A3923" s="11">
        <v>46125</v>
      </c>
      <c r="B3923" t="s">
        <v>40</v>
      </c>
      <c r="C3923" t="s">
        <v>32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25</v>
      </c>
      <c r="K3923" s="3">
        <f>I3923-J3923</f>
        <v>-10</v>
      </c>
      <c r="L3923" s="3" t="str">
        <f t="shared" si="452"/>
        <v>CRÍTICO</v>
      </c>
      <c r="M3923">
        <v>18</v>
      </c>
      <c r="N3923">
        <v>96.81</v>
      </c>
      <c r="O3923">
        <v>48.018648018648022</v>
      </c>
    </row>
    <row r="3924" spans="1:15" customFormat="1" hidden="1" x14ac:dyDescent="0.25">
      <c r="A3924" s="11">
        <v>46125</v>
      </c>
      <c r="B3924" t="s">
        <v>27</v>
      </c>
      <c r="C3924" t="s">
        <v>26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15</v>
      </c>
      <c r="K3924" s="3">
        <f>I3924-J3924</f>
        <v>2</v>
      </c>
      <c r="L3924" s="3" t="str">
        <f t="shared" si="452"/>
        <v>OPORTUNO</v>
      </c>
      <c r="M3924">
        <v>14</v>
      </c>
      <c r="N3924">
        <v>98.15</v>
      </c>
      <c r="O3924">
        <v>27.1551724137931</v>
      </c>
    </row>
    <row r="3925" spans="1:15" customFormat="1" hidden="1" x14ac:dyDescent="0.25">
      <c r="A3925" s="11">
        <v>46125</v>
      </c>
      <c r="B3925" t="s">
        <v>41</v>
      </c>
      <c r="C3925" t="s">
        <v>32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-4</v>
      </c>
      <c r="L3925" s="3" t="str">
        <f t="shared" si="452"/>
        <v>ATENÇÃO</v>
      </c>
      <c r="M3925">
        <v>17</v>
      </c>
      <c r="N3925">
        <v>99.15</v>
      </c>
      <c r="O3925">
        <v>27.586206896551719</v>
      </c>
    </row>
    <row r="3926" spans="1:15" customFormat="1" hidden="1" x14ac:dyDescent="0.25">
      <c r="A3926" s="11">
        <v>46125</v>
      </c>
      <c r="B3926" t="s">
        <v>56</v>
      </c>
      <c r="C3926" t="s">
        <v>48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20</v>
      </c>
      <c r="K3926" s="3">
        <f>I3926-J3926</f>
        <v>2</v>
      </c>
      <c r="L3926" s="3" t="str">
        <f t="shared" si="452"/>
        <v>OPORTUNO</v>
      </c>
      <c r="M3926">
        <v>17</v>
      </c>
      <c r="N3926">
        <v>99.17</v>
      </c>
      <c r="O3926">
        <v>29.75206611570248</v>
      </c>
    </row>
    <row r="3927" spans="1:15" customFormat="1" hidden="1" x14ac:dyDescent="0.25">
      <c r="A3927" s="11">
        <v>46125</v>
      </c>
      <c r="B3927" t="s">
        <v>57</v>
      </c>
      <c r="C3927" t="s">
        <v>48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 t="shared" si="452"/>
        <v>OPORTUNO</v>
      </c>
      <c r="M3927">
        <v>0</v>
      </c>
      <c r="N3927">
        <v>98.73</v>
      </c>
      <c r="O3927">
        <v>28.961748633879779</v>
      </c>
    </row>
    <row r="3928" spans="1:15" customFormat="1" hidden="1" x14ac:dyDescent="0.25">
      <c r="A3928" s="11">
        <v>46125</v>
      </c>
      <c r="B3928" t="s">
        <v>42</v>
      </c>
      <c r="C3928" t="s">
        <v>32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25</v>
      </c>
      <c r="K3928" s="3">
        <f>I3928-J3928</f>
        <v>6</v>
      </c>
      <c r="L3928" s="3" t="str">
        <f t="shared" si="452"/>
        <v>MUITO BOM</v>
      </c>
      <c r="M3928">
        <v>25</v>
      </c>
      <c r="N3928">
        <v>88.68</v>
      </c>
      <c r="O3928">
        <v>22.03389830508474</v>
      </c>
    </row>
    <row r="3929" spans="1:15" customFormat="1" hidden="1" x14ac:dyDescent="0.25">
      <c r="A3929" s="11">
        <v>46125</v>
      </c>
      <c r="B3929" t="s">
        <v>62</v>
      </c>
      <c r="C3929" t="s">
        <v>23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17</v>
      </c>
      <c r="K3929" s="3">
        <f>I3929-J3929</f>
        <v>8</v>
      </c>
      <c r="L3929" s="3" t="str">
        <f t="shared" si="452"/>
        <v>MUITO BOM</v>
      </c>
      <c r="M3929">
        <v>24</v>
      </c>
      <c r="N3929">
        <v>97.37</v>
      </c>
      <c r="O3929">
        <v>25.76530612244898</v>
      </c>
    </row>
    <row r="3930" spans="1:15" customFormat="1" hidden="1" x14ac:dyDescent="0.25">
      <c r="A3930" s="11">
        <v>46125</v>
      </c>
      <c r="B3930" t="s">
        <v>19</v>
      </c>
      <c r="C3930" t="s">
        <v>16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 t="shared" si="452"/>
        <v>OPORTUNO</v>
      </c>
      <c r="M3930">
        <v>0</v>
      </c>
      <c r="N3930">
        <v>100</v>
      </c>
      <c r="O3930">
        <v>25</v>
      </c>
    </row>
    <row r="3931" spans="1:15" customFormat="1" hidden="1" x14ac:dyDescent="0.25">
      <c r="A3931" s="11">
        <v>46125</v>
      </c>
      <c r="B3931" t="s">
        <v>43</v>
      </c>
      <c r="C3931" t="s">
        <v>32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43" si="456">E3931+G3931+H3931</f>
        <v>21</v>
      </c>
      <c r="J3931" s="3">
        <f t="shared" ref="J3931:J3943" si="457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 t="shared" ref="K3931:K3943" si="458">I3931-J3931</f>
        <v>-4</v>
      </c>
      <c r="L3931" s="3" t="str">
        <f t="shared" si="452"/>
        <v>ATENÇÃO</v>
      </c>
      <c r="M3931">
        <v>19</v>
      </c>
      <c r="N3931">
        <v>100</v>
      </c>
      <c r="O3931">
        <v>23.9870340356564</v>
      </c>
    </row>
    <row r="3932" spans="1:15" customFormat="1" hidden="1" x14ac:dyDescent="0.25">
      <c r="A3932" s="11">
        <v>46125</v>
      </c>
      <c r="B3932" t="s">
        <v>44</v>
      </c>
      <c r="C3932" t="s">
        <v>32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456"/>
        <v>29</v>
      </c>
      <c r="J3932" s="3">
        <f t="shared" si="457"/>
        <v>25</v>
      </c>
      <c r="K3932" s="3">
        <f t="shared" si="458"/>
        <v>4</v>
      </c>
      <c r="L3932" s="3" t="str">
        <f t="shared" si="452"/>
        <v>OPORTUNO</v>
      </c>
      <c r="M3932">
        <v>29</v>
      </c>
      <c r="N3932">
        <v>95.49</v>
      </c>
      <c r="O3932">
        <v>28.370221327967808</v>
      </c>
    </row>
    <row r="3933" spans="1:15" customFormat="1" hidden="1" x14ac:dyDescent="0.25">
      <c r="A3933" s="11">
        <v>46125</v>
      </c>
      <c r="B3933" t="s">
        <v>20</v>
      </c>
      <c r="C3933" t="s">
        <v>16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456"/>
        <v>13</v>
      </c>
      <c r="J3933" s="3">
        <f t="shared" si="457"/>
        <v>7</v>
      </c>
      <c r="K3933" s="3">
        <f t="shared" si="458"/>
        <v>6</v>
      </c>
      <c r="L3933" s="3" t="str">
        <f t="shared" si="452"/>
        <v>MUITO BOM</v>
      </c>
      <c r="M3933">
        <v>7</v>
      </c>
      <c r="N3933">
        <v>100</v>
      </c>
      <c r="O3933">
        <v>23.77622377622378</v>
      </c>
    </row>
    <row r="3934" spans="1:15" customFormat="1" hidden="1" x14ac:dyDescent="0.25">
      <c r="A3934" s="11">
        <v>46125</v>
      </c>
      <c r="B3934" t="s">
        <v>28</v>
      </c>
      <c r="C3934" t="s">
        <v>26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456"/>
        <v>22</v>
      </c>
      <c r="J3934" s="3">
        <f t="shared" si="457"/>
        <v>15</v>
      </c>
      <c r="K3934" s="3">
        <f t="shared" si="458"/>
        <v>7</v>
      </c>
      <c r="L3934" s="3" t="str">
        <f t="shared" si="452"/>
        <v>MUITO BOM</v>
      </c>
      <c r="M3934">
        <v>17</v>
      </c>
      <c r="N3934">
        <v>96.15</v>
      </c>
      <c r="O3934">
        <v>24.045801526717561</v>
      </c>
    </row>
    <row r="3935" spans="1:15" customFormat="1" hidden="1" x14ac:dyDescent="0.25">
      <c r="A3935" s="11">
        <v>46125</v>
      </c>
      <c r="B3935" t="s">
        <v>58</v>
      </c>
      <c r="C3935" t="s">
        <v>48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456"/>
        <v>19</v>
      </c>
      <c r="J3935" s="3">
        <f t="shared" si="457"/>
        <v>20</v>
      </c>
      <c r="K3935" s="3">
        <f t="shared" si="458"/>
        <v>-1</v>
      </c>
      <c r="L3935" s="3" t="str">
        <f t="shared" si="452"/>
        <v>ATENÇÃO</v>
      </c>
      <c r="M3935">
        <v>20</v>
      </c>
      <c r="N3935">
        <v>99.02</v>
      </c>
      <c r="O3935">
        <v>34.797297297297298</v>
      </c>
    </row>
    <row r="3936" spans="1:15" customFormat="1" hidden="1" x14ac:dyDescent="0.25">
      <c r="A3936" s="11">
        <v>46125</v>
      </c>
      <c r="B3936" t="s">
        <v>29</v>
      </c>
      <c r="C3936" t="s">
        <v>26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456"/>
        <v>17</v>
      </c>
      <c r="J3936" s="3">
        <f t="shared" si="457"/>
        <v>15</v>
      </c>
      <c r="K3936" s="3">
        <f t="shared" si="458"/>
        <v>2</v>
      </c>
      <c r="L3936" s="3" t="str">
        <f t="shared" si="452"/>
        <v>OPORTUNO</v>
      </c>
      <c r="M3936">
        <v>13</v>
      </c>
      <c r="N3936">
        <v>98.84</v>
      </c>
      <c r="O3936">
        <v>31.868131868131869</v>
      </c>
    </row>
    <row r="3937" spans="1:15" customFormat="1" hidden="1" x14ac:dyDescent="0.25">
      <c r="A3937" s="11">
        <v>46125</v>
      </c>
      <c r="B3937" t="s">
        <v>30</v>
      </c>
      <c r="C3937" t="s">
        <v>26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456"/>
        <v>22</v>
      </c>
      <c r="J3937" s="3">
        <f t="shared" si="457"/>
        <v>15</v>
      </c>
      <c r="K3937" s="3">
        <f t="shared" si="458"/>
        <v>7</v>
      </c>
      <c r="L3937" s="3" t="str">
        <f t="shared" si="452"/>
        <v>MUITO BOM</v>
      </c>
      <c r="M3937">
        <v>18</v>
      </c>
      <c r="N3937">
        <v>100</v>
      </c>
      <c r="O3937">
        <v>34.666666666666671</v>
      </c>
    </row>
    <row r="3938" spans="1:15" customFormat="1" hidden="1" x14ac:dyDescent="0.25">
      <c r="A3938" s="11">
        <v>46125</v>
      </c>
      <c r="B3938" t="s">
        <v>21</v>
      </c>
      <c r="C3938" t="s">
        <v>16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456"/>
        <v>3</v>
      </c>
      <c r="J3938" s="3">
        <f t="shared" si="457"/>
        <v>7</v>
      </c>
      <c r="K3938" s="3">
        <f t="shared" si="458"/>
        <v>-4</v>
      </c>
      <c r="L3938" s="3" t="str">
        <f t="shared" si="452"/>
        <v>ATENÇÃO</v>
      </c>
      <c r="M3938">
        <v>3</v>
      </c>
      <c r="N3938">
        <v>94.12</v>
      </c>
      <c r="O3938">
        <v>32.799999999999997</v>
      </c>
    </row>
    <row r="3939" spans="1:15" customFormat="1" hidden="1" x14ac:dyDescent="0.25">
      <c r="A3939" s="11">
        <v>46125</v>
      </c>
      <c r="B3939" t="s">
        <v>63</v>
      </c>
      <c r="C3939" t="s">
        <v>23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456"/>
        <v>20</v>
      </c>
      <c r="J3939" s="3">
        <f t="shared" si="457"/>
        <v>17</v>
      </c>
      <c r="K3939" s="3">
        <f t="shared" si="458"/>
        <v>3</v>
      </c>
      <c r="L3939" s="3" t="str">
        <f t="shared" si="452"/>
        <v>OPORTUNO</v>
      </c>
      <c r="M3939">
        <v>18</v>
      </c>
      <c r="N3939">
        <v>98.32</v>
      </c>
      <c r="O3939">
        <v>26.858513189448441</v>
      </c>
    </row>
    <row r="3940" spans="1:15" customFormat="1" hidden="1" x14ac:dyDescent="0.25">
      <c r="A3940" s="11">
        <v>46125</v>
      </c>
      <c r="B3940" t="s">
        <v>45</v>
      </c>
      <c r="C3940" t="s">
        <v>32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456"/>
        <v>25</v>
      </c>
      <c r="J3940" s="3">
        <f t="shared" si="457"/>
        <v>25</v>
      </c>
      <c r="K3940" s="3">
        <f t="shared" si="458"/>
        <v>0</v>
      </c>
      <c r="L3940" s="3" t="str">
        <f t="shared" si="452"/>
        <v>OPORTUNO</v>
      </c>
      <c r="M3940">
        <v>16</v>
      </c>
      <c r="N3940">
        <v>100</v>
      </c>
      <c r="O3940">
        <v>31.135531135531139</v>
      </c>
    </row>
    <row r="3941" spans="1:15" customFormat="1" hidden="1" x14ac:dyDescent="0.25">
      <c r="A3941" s="11">
        <v>46125</v>
      </c>
      <c r="B3941" t="s">
        <v>64</v>
      </c>
      <c r="C3941" t="s">
        <v>23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456"/>
        <v>13</v>
      </c>
      <c r="J3941" s="3">
        <f t="shared" si="457"/>
        <v>17</v>
      </c>
      <c r="K3941" s="3">
        <f t="shared" si="458"/>
        <v>-4</v>
      </c>
      <c r="L3941" s="3" t="str">
        <f t="shared" si="452"/>
        <v>ATENÇÃO</v>
      </c>
      <c r="M3941">
        <v>12</v>
      </c>
      <c r="N3941">
        <v>100</v>
      </c>
      <c r="O3941">
        <v>26.36986301369863</v>
      </c>
    </row>
    <row r="3942" spans="1:15" customFormat="1" hidden="1" x14ac:dyDescent="0.25">
      <c r="A3942" s="11">
        <v>46125</v>
      </c>
      <c r="B3942" t="s">
        <v>46</v>
      </c>
      <c r="C3942" t="s">
        <v>32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456"/>
        <v>20</v>
      </c>
      <c r="J3942" s="3">
        <f t="shared" si="457"/>
        <v>25</v>
      </c>
      <c r="K3942" s="3">
        <f t="shared" si="458"/>
        <v>-5</v>
      </c>
      <c r="L3942" s="3" t="str">
        <f t="shared" si="452"/>
        <v>ATENÇÃO</v>
      </c>
      <c r="M3942">
        <v>18</v>
      </c>
      <c r="N3942">
        <v>99.21</v>
      </c>
      <c r="O3942">
        <v>25.188916876574311</v>
      </c>
    </row>
    <row r="3943" spans="1:15" customFormat="1" hidden="1" x14ac:dyDescent="0.25">
      <c r="A3943" s="11">
        <v>46126</v>
      </c>
      <c r="B3943" t="s">
        <v>47</v>
      </c>
      <c r="C3943" t="s">
        <v>48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456"/>
        <v>12</v>
      </c>
      <c r="J3943" s="3">
        <f t="shared" si="457"/>
        <v>24</v>
      </c>
      <c r="K3943" s="3">
        <f t="shared" si="458"/>
        <v>-12</v>
      </c>
      <c r="L3943" s="3" t="str">
        <f t="shared" si="452"/>
        <v>CRÍTICO</v>
      </c>
      <c r="M3943">
        <v>8</v>
      </c>
      <c r="N3943">
        <v>100</v>
      </c>
      <c r="O3943">
        <v>32.764505119453922</v>
      </c>
    </row>
    <row r="3944" spans="1:15" customFormat="1" hidden="1" x14ac:dyDescent="0.25">
      <c r="A3944" s="11">
        <v>46126</v>
      </c>
      <c r="B3944" t="s">
        <v>31</v>
      </c>
      <c r="C3944" t="s">
        <v>32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 t="shared" si="452"/>
        <v>OPORTUNO</v>
      </c>
      <c r="M3944">
        <v>19</v>
      </c>
      <c r="N3944">
        <v>98.66</v>
      </c>
      <c r="O3944">
        <v>35.416666666666671</v>
      </c>
    </row>
    <row r="3945" spans="1:15" customFormat="1" hidden="1" x14ac:dyDescent="0.25">
      <c r="A3945" s="11">
        <v>46126</v>
      </c>
      <c r="B3945" t="s">
        <v>59</v>
      </c>
      <c r="C3945" t="s">
        <v>23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ref="I3945:I3952" si="459">E3945+G3945+H3945</f>
        <v>15</v>
      </c>
      <c r="J3945" s="3">
        <f t="shared" ref="J3945:J3952" si="460"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20</v>
      </c>
      <c r="K3945" s="3">
        <f t="shared" ref="K3945:K3952" si="461">I3945-J3945</f>
        <v>-5</v>
      </c>
      <c r="L3945" s="3" t="str">
        <f t="shared" si="452"/>
        <v>ATENÇÃO</v>
      </c>
      <c r="M3945">
        <v>19</v>
      </c>
      <c r="N3945">
        <v>99.32</v>
      </c>
      <c r="O3945">
        <v>30.648330058939099</v>
      </c>
    </row>
    <row r="3946" spans="1:15" customFormat="1" hidden="1" x14ac:dyDescent="0.25">
      <c r="A3946" s="11">
        <v>46126</v>
      </c>
      <c r="B3946" t="s">
        <v>33</v>
      </c>
      <c r="C3946" t="s">
        <v>32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459"/>
        <v>34</v>
      </c>
      <c r="J3946" s="3">
        <f t="shared" si="460"/>
        <v>30</v>
      </c>
      <c r="K3946" s="3">
        <f t="shared" si="461"/>
        <v>4</v>
      </c>
      <c r="L3946" s="3" t="str">
        <f t="shared" si="452"/>
        <v>OPORTUNO</v>
      </c>
      <c r="M3946">
        <v>30</v>
      </c>
      <c r="N3946">
        <v>100</v>
      </c>
      <c r="O3946">
        <v>27.803738317757009</v>
      </c>
    </row>
    <row r="3947" spans="1:15" customFormat="1" hidden="1" x14ac:dyDescent="0.25">
      <c r="A3947" s="11">
        <v>46126</v>
      </c>
      <c r="B3947" t="s">
        <v>15</v>
      </c>
      <c r="C3947" t="s">
        <v>16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459"/>
        <v>32</v>
      </c>
      <c r="J3947" s="3">
        <f t="shared" si="460"/>
        <v>9</v>
      </c>
      <c r="K3947" s="3">
        <f t="shared" si="461"/>
        <v>23</v>
      </c>
      <c r="L3947" s="3" t="str">
        <f t="shared" si="452"/>
        <v>MUITO BOM</v>
      </c>
      <c r="M3947">
        <v>30</v>
      </c>
      <c r="N3947">
        <v>96.74</v>
      </c>
      <c r="O3947">
        <v>28.67647058823529</v>
      </c>
    </row>
    <row r="3948" spans="1:15" customFormat="1" hidden="1" x14ac:dyDescent="0.25">
      <c r="A3948" s="11">
        <v>46126</v>
      </c>
      <c r="B3948" t="s">
        <v>49</v>
      </c>
      <c r="C3948" t="s">
        <v>48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459"/>
        <v>31</v>
      </c>
      <c r="J3948" s="3">
        <f t="shared" si="460"/>
        <v>24</v>
      </c>
      <c r="K3948" s="3">
        <f t="shared" si="461"/>
        <v>7</v>
      </c>
      <c r="L3948" s="3" t="str">
        <f t="shared" si="452"/>
        <v>MUITO BOM</v>
      </c>
      <c r="M3948">
        <v>35</v>
      </c>
      <c r="N3948">
        <v>98.82</v>
      </c>
      <c r="O3948">
        <v>30.741410488245929</v>
      </c>
    </row>
    <row r="3949" spans="1:15" customFormat="1" hidden="1" x14ac:dyDescent="0.25">
      <c r="A3949" s="11">
        <v>46126</v>
      </c>
      <c r="B3949" t="s">
        <v>50</v>
      </c>
      <c r="C3949" t="s">
        <v>48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459"/>
        <v>16</v>
      </c>
      <c r="J3949" s="3">
        <f t="shared" si="460"/>
        <v>24</v>
      </c>
      <c r="K3949" s="3">
        <f t="shared" si="461"/>
        <v>-8</v>
      </c>
      <c r="L3949" s="3" t="str">
        <f t="shared" si="452"/>
        <v>CRÍTICO</v>
      </c>
      <c r="M3949">
        <v>17</v>
      </c>
      <c r="N3949">
        <v>98.2</v>
      </c>
      <c r="O3949">
        <v>27.170868347338931</v>
      </c>
    </row>
    <row r="3950" spans="1:15" customFormat="1" hidden="1" x14ac:dyDescent="0.25">
      <c r="A3950" s="11">
        <v>46126</v>
      </c>
      <c r="B3950" t="s">
        <v>17</v>
      </c>
      <c r="C3950" t="s">
        <v>16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459"/>
        <v>6</v>
      </c>
      <c r="J3950" s="3">
        <f t="shared" si="460"/>
        <v>9</v>
      </c>
      <c r="K3950" s="3">
        <f t="shared" si="461"/>
        <v>-3</v>
      </c>
      <c r="L3950" s="3" t="str">
        <f t="shared" si="452"/>
        <v>ATENÇÃO</v>
      </c>
      <c r="M3950">
        <v>5</v>
      </c>
      <c r="N3950">
        <v>100</v>
      </c>
      <c r="O3950">
        <v>23.134328358208951</v>
      </c>
    </row>
    <row r="3951" spans="1:15" customFormat="1" hidden="1" x14ac:dyDescent="0.25">
      <c r="A3951" s="11">
        <v>46126</v>
      </c>
      <c r="B3951" t="s">
        <v>60</v>
      </c>
      <c r="C3951" t="s">
        <v>23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459"/>
        <v>25</v>
      </c>
      <c r="J3951" s="3">
        <f t="shared" si="460"/>
        <v>20</v>
      </c>
      <c r="K3951" s="3">
        <f t="shared" si="461"/>
        <v>5</v>
      </c>
      <c r="L3951" s="3" t="str">
        <f t="shared" si="452"/>
        <v>OPORTUNO</v>
      </c>
      <c r="M3951">
        <v>23</v>
      </c>
      <c r="N3951">
        <v>96.3</v>
      </c>
      <c r="O3951">
        <v>32.219570405727922</v>
      </c>
    </row>
    <row r="3952" spans="1:15" customFormat="1" hidden="1" x14ac:dyDescent="0.25">
      <c r="A3952" s="11">
        <v>46126</v>
      </c>
      <c r="B3952" t="s">
        <v>34</v>
      </c>
      <c r="C3952" t="s">
        <v>32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459"/>
        <v>38</v>
      </c>
      <c r="J3952" s="3">
        <f t="shared" si="460"/>
        <v>30</v>
      </c>
      <c r="K3952" s="3">
        <f t="shared" si="461"/>
        <v>8</v>
      </c>
      <c r="L3952" s="3" t="str">
        <f t="shared" si="452"/>
        <v>MUITO BOM</v>
      </c>
      <c r="M3952">
        <v>36</v>
      </c>
      <c r="N3952">
        <v>93.75</v>
      </c>
      <c r="O3952">
        <v>26.819923371647509</v>
      </c>
    </row>
    <row r="3953" spans="1:16" hidden="1" x14ac:dyDescent="0.25">
      <c r="A3953" s="11">
        <v>46126</v>
      </c>
      <c r="B3953" t="s">
        <v>51</v>
      </c>
      <c r="C3953" t="s">
        <v>48</v>
      </c>
      <c r="D3953">
        <v>25</v>
      </c>
      <c r="E3953">
        <v>22</v>
      </c>
      <c r="F3953">
        <v>23.3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 t="shared" si="452"/>
        <v>OPORTUNO</v>
      </c>
      <c r="M3953">
        <v>20</v>
      </c>
      <c r="N3953">
        <v>97.86</v>
      </c>
      <c r="O3953">
        <v>31.018518518518519</v>
      </c>
      <c r="P3953"/>
    </row>
    <row r="3954" spans="1:16" hidden="1" x14ac:dyDescent="0.25">
      <c r="A3954" s="11">
        <v>46126</v>
      </c>
      <c r="B3954" t="s">
        <v>61</v>
      </c>
      <c r="C3954" t="s">
        <v>23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20</v>
      </c>
      <c r="K3954" s="3">
        <f>I3954-J3954</f>
        <v>-3</v>
      </c>
      <c r="L3954" s="3" t="str">
        <f t="shared" si="452"/>
        <v>ATENÇÃO</v>
      </c>
      <c r="M3954">
        <v>15</v>
      </c>
      <c r="N3954">
        <v>100</v>
      </c>
      <c r="O3954">
        <v>36.594202898550733</v>
      </c>
      <c r="P3954"/>
    </row>
    <row r="3955" spans="1:16" hidden="1" x14ac:dyDescent="0.25">
      <c r="A3955" s="11">
        <v>46126</v>
      </c>
      <c r="B3955" t="s">
        <v>35</v>
      </c>
      <c r="C3955" t="s">
        <v>32</v>
      </c>
      <c r="D3955">
        <v>23</v>
      </c>
      <c r="E3955">
        <v>22</v>
      </c>
      <c r="F3955">
        <v>27.14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 t="shared" si="452"/>
        <v>OPORTUNO</v>
      </c>
      <c r="M3955">
        <v>23</v>
      </c>
      <c r="N3955">
        <v>100</v>
      </c>
      <c r="O3955">
        <v>38.653846153846153</v>
      </c>
      <c r="P3955"/>
    </row>
    <row r="3956" spans="1:16" hidden="1" x14ac:dyDescent="0.25">
      <c r="A3956" s="11">
        <v>46126</v>
      </c>
      <c r="B3956" t="s">
        <v>18</v>
      </c>
      <c r="C3956" t="s">
        <v>16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9</v>
      </c>
      <c r="K3956" s="3">
        <f>I3956-J3956</f>
        <v>1</v>
      </c>
      <c r="L3956" s="3" t="str">
        <f t="shared" si="452"/>
        <v>OPORTUNO</v>
      </c>
      <c r="M3956">
        <v>6</v>
      </c>
      <c r="N3956">
        <v>100</v>
      </c>
      <c r="O3956">
        <v>27.368421052631579</v>
      </c>
      <c r="P3956"/>
    </row>
    <row r="3957" spans="1:16" hidden="1" x14ac:dyDescent="0.25">
      <c r="A3957" s="11">
        <v>46126</v>
      </c>
      <c r="B3957" t="s">
        <v>52</v>
      </c>
      <c r="C3957" t="s">
        <v>48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24</v>
      </c>
      <c r="K3957" s="3">
        <f>I3957-J3957</f>
        <v>-6</v>
      </c>
      <c r="L3957" s="3" t="str">
        <f t="shared" si="452"/>
        <v>CRÍTICO</v>
      </c>
      <c r="M3957">
        <v>16</v>
      </c>
      <c r="N3957">
        <v>97.83</v>
      </c>
      <c r="O3957">
        <v>28.35164835164835</v>
      </c>
      <c r="P3957"/>
    </row>
    <row r="3958" spans="1:16" hidden="1" x14ac:dyDescent="0.25">
      <c r="A3958" s="11">
        <v>46126</v>
      </c>
      <c r="B3958" t="s">
        <v>36</v>
      </c>
      <c r="C3958" t="s">
        <v>32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30</v>
      </c>
      <c r="K3958" s="3">
        <f>I3958-J3958</f>
        <v>1</v>
      </c>
      <c r="L3958" s="3" t="str">
        <f t="shared" si="452"/>
        <v>OPORTUNO</v>
      </c>
      <c r="M3958">
        <v>31</v>
      </c>
      <c r="N3958">
        <v>99.26</v>
      </c>
      <c r="O3958">
        <v>29.766536964980549</v>
      </c>
      <c r="P3958"/>
    </row>
    <row r="3959" spans="1:16" hidden="1" x14ac:dyDescent="0.25">
      <c r="A3959" s="11">
        <v>46126</v>
      </c>
      <c r="B3959" t="s">
        <v>53</v>
      </c>
      <c r="C3959" t="s">
        <v>48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24</v>
      </c>
      <c r="K3959" s="3">
        <f>I3959-J3959</f>
        <v>7</v>
      </c>
      <c r="L3959" s="3" t="str">
        <f t="shared" si="452"/>
        <v>MUITO BOM</v>
      </c>
      <c r="M3959">
        <v>27</v>
      </c>
      <c r="N3959">
        <v>99.19</v>
      </c>
      <c r="O3959">
        <v>29.462365591397852</v>
      </c>
      <c r="P3959"/>
    </row>
    <row r="3960" spans="1:16" hidden="1" x14ac:dyDescent="0.25">
      <c r="A3960" s="11">
        <v>46167</v>
      </c>
      <c r="B3960" t="s">
        <v>57</v>
      </c>
      <c r="C3960" t="s">
        <v>48</v>
      </c>
      <c r="D3960" s="3">
        <v>19</v>
      </c>
      <c r="E3960" s="3">
        <v>15</v>
      </c>
      <c r="F3960" s="3">
        <v>24.06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 t="shared" si="452"/>
        <v>OPORTUNO</v>
      </c>
      <c r="M3960" s="3">
        <v>16</v>
      </c>
      <c r="N3960" s="3">
        <v>100</v>
      </c>
      <c r="O3960" s="3">
        <v>25</v>
      </c>
    </row>
    <row r="3961" spans="1:16" hidden="1" x14ac:dyDescent="0.25">
      <c r="A3961" s="11">
        <v>46126</v>
      </c>
      <c r="B3961" t="s">
        <v>54</v>
      </c>
      <c r="C3961" t="s">
        <v>48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 t="shared" si="452"/>
        <v>OPORTUNO</v>
      </c>
      <c r="M3961">
        <v>0</v>
      </c>
      <c r="N3961">
        <v>100</v>
      </c>
      <c r="O3961">
        <v>28.921568627450981</v>
      </c>
      <c r="P3961"/>
    </row>
    <row r="3962" spans="1:16" hidden="1" x14ac:dyDescent="0.25">
      <c r="A3962" s="11">
        <v>46126</v>
      </c>
      <c r="B3962" t="s">
        <v>37</v>
      </c>
      <c r="C3962" t="s">
        <v>32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30</v>
      </c>
      <c r="K3962" s="3">
        <f>I3962-J3962</f>
        <v>0</v>
      </c>
      <c r="L3962" s="3" t="str">
        <f t="shared" si="452"/>
        <v>OPORTUNO</v>
      </c>
      <c r="M3962">
        <v>33</v>
      </c>
      <c r="N3962">
        <v>99.57</v>
      </c>
      <c r="O3962">
        <v>30.635838150289018</v>
      </c>
      <c r="P3962"/>
    </row>
    <row r="3963" spans="1:16" hidden="1" x14ac:dyDescent="0.25">
      <c r="A3963" s="11">
        <v>46126</v>
      </c>
      <c r="B3963" t="s">
        <v>38</v>
      </c>
      <c r="C3963" t="s">
        <v>32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 t="shared" ref="L3963:L4026" si="462">IF(K3963&lt;-5,"CRÍTICO",IF(K3963&lt;0,"ATENÇÃO",IF(K3963&lt;=5,"OPORTUNO","MUITO BOM")))</f>
        <v>OPORTUNO</v>
      </c>
      <c r="M3963">
        <v>0</v>
      </c>
      <c r="N3963">
        <v>95.65</v>
      </c>
      <c r="O3963">
        <v>32.432432432432442</v>
      </c>
      <c r="P3963"/>
    </row>
    <row r="3964" spans="1:16" hidden="1" x14ac:dyDescent="0.25">
      <c r="A3964" s="11">
        <v>46126</v>
      </c>
      <c r="B3964" t="s">
        <v>55</v>
      </c>
      <c r="C3964" t="s">
        <v>48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24</v>
      </c>
      <c r="K3964" s="3">
        <f>I3964-J3964</f>
        <v>-12</v>
      </c>
      <c r="L3964" s="3" t="str">
        <f t="shared" si="462"/>
        <v>CRÍTICO</v>
      </c>
      <c r="M3964">
        <v>10</v>
      </c>
      <c r="N3964">
        <v>98.81</v>
      </c>
      <c r="O3964">
        <v>26.256983240223459</v>
      </c>
      <c r="P3964"/>
    </row>
    <row r="3965" spans="1:16" hidden="1" x14ac:dyDescent="0.25">
      <c r="A3965" s="11">
        <v>46126</v>
      </c>
      <c r="B3965" t="s">
        <v>39</v>
      </c>
      <c r="C3965" t="s">
        <v>32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 t="shared" si="462"/>
        <v>OPORTUNO</v>
      </c>
      <c r="M3965">
        <v>0</v>
      </c>
      <c r="N3965">
        <v>0</v>
      </c>
      <c r="O3965">
        <v>0</v>
      </c>
      <c r="P3965"/>
    </row>
    <row r="3966" spans="1:16" hidden="1" x14ac:dyDescent="0.25">
      <c r="A3966" s="11">
        <v>46126</v>
      </c>
      <c r="B3966" t="s">
        <v>25</v>
      </c>
      <c r="C3966" t="s">
        <v>26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17</v>
      </c>
      <c r="K3966" s="3">
        <f>I3966-J3966</f>
        <v>8</v>
      </c>
      <c r="L3966" s="3" t="str">
        <f t="shared" si="462"/>
        <v>MUITO BOM</v>
      </c>
      <c r="M3966">
        <v>21</v>
      </c>
      <c r="N3966">
        <v>97.17</v>
      </c>
      <c r="O3966">
        <v>28.81844380403458</v>
      </c>
      <c r="P3966"/>
    </row>
    <row r="3967" spans="1:16" hidden="1" x14ac:dyDescent="0.25">
      <c r="A3967" s="11">
        <v>46126</v>
      </c>
      <c r="B3967" t="s">
        <v>40</v>
      </c>
      <c r="C3967" t="s">
        <v>32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30</v>
      </c>
      <c r="K3967" s="3">
        <f>I3967-J3967</f>
        <v>-8</v>
      </c>
      <c r="L3967" s="3" t="str">
        <f t="shared" si="462"/>
        <v>CRÍTICO</v>
      </c>
      <c r="M3967">
        <v>23</v>
      </c>
      <c r="N3967">
        <v>96.81</v>
      </c>
      <c r="O3967">
        <v>48.018648018648022</v>
      </c>
      <c r="P3967"/>
    </row>
    <row r="3968" spans="1:16" hidden="1" x14ac:dyDescent="0.25">
      <c r="A3968" s="11">
        <v>46126</v>
      </c>
      <c r="B3968" t="s">
        <v>27</v>
      </c>
      <c r="C3968" t="s">
        <v>26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17</v>
      </c>
      <c r="K3968" s="3">
        <f>I3968-J3968</f>
        <v>-2</v>
      </c>
      <c r="L3968" s="3" t="str">
        <f t="shared" si="462"/>
        <v>ATENÇÃO</v>
      </c>
      <c r="M3968">
        <v>10</v>
      </c>
      <c r="N3968">
        <v>98.15</v>
      </c>
      <c r="O3968">
        <v>27.1551724137931</v>
      </c>
      <c r="P3968"/>
    </row>
    <row r="3969" spans="1:15" customFormat="1" hidden="1" x14ac:dyDescent="0.25">
      <c r="A3969" s="11">
        <v>46126</v>
      </c>
      <c r="B3969" t="s">
        <v>41</v>
      </c>
      <c r="C3969" t="s">
        <v>32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-2</v>
      </c>
      <c r="L3969" s="3" t="str">
        <f t="shared" si="462"/>
        <v>ATENÇÃO</v>
      </c>
      <c r="M3969">
        <v>25</v>
      </c>
      <c r="N3969">
        <v>99.15</v>
      </c>
      <c r="O3969">
        <v>27.586206896551719</v>
      </c>
    </row>
    <row r="3970" spans="1:15" customFormat="1" hidden="1" x14ac:dyDescent="0.25">
      <c r="A3970" s="11">
        <v>46126</v>
      </c>
      <c r="B3970" t="s">
        <v>56</v>
      </c>
      <c r="C3970" t="s">
        <v>48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24</v>
      </c>
      <c r="K3970" s="3">
        <f>I3970-J3970</f>
        <v>6</v>
      </c>
      <c r="L3970" s="3" t="str">
        <f t="shared" si="462"/>
        <v>MUITO BOM</v>
      </c>
      <c r="M3970">
        <v>16</v>
      </c>
      <c r="N3970">
        <v>99.17</v>
      </c>
      <c r="O3970">
        <v>29.75206611570248</v>
      </c>
    </row>
    <row r="3971" spans="1:15" customFormat="1" hidden="1" x14ac:dyDescent="0.25">
      <c r="A3971" s="11">
        <v>46126</v>
      </c>
      <c r="B3971" t="s">
        <v>57</v>
      </c>
      <c r="C3971" t="s">
        <v>48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 t="shared" si="462"/>
        <v>OPORTUNO</v>
      </c>
      <c r="M3971">
        <v>0</v>
      </c>
      <c r="N3971">
        <v>98.73</v>
      </c>
      <c r="O3971">
        <v>28.961748633879779</v>
      </c>
    </row>
    <row r="3972" spans="1:15" customFormat="1" hidden="1" x14ac:dyDescent="0.25">
      <c r="A3972" s="11">
        <v>46126</v>
      </c>
      <c r="B3972" t="s">
        <v>42</v>
      </c>
      <c r="C3972" t="s">
        <v>32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30</v>
      </c>
      <c r="K3972" s="3">
        <f>I3972-J3972</f>
        <v>-5</v>
      </c>
      <c r="L3972" s="3" t="str">
        <f t="shared" si="462"/>
        <v>ATENÇÃO</v>
      </c>
      <c r="M3972">
        <v>20</v>
      </c>
      <c r="N3972">
        <v>88.68</v>
      </c>
      <c r="O3972">
        <v>22.03389830508474</v>
      </c>
    </row>
    <row r="3973" spans="1:15" customFormat="1" hidden="1" x14ac:dyDescent="0.25">
      <c r="A3973" s="11">
        <v>46126</v>
      </c>
      <c r="B3973" t="s">
        <v>62</v>
      </c>
      <c r="C3973" t="s">
        <v>23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20</v>
      </c>
      <c r="K3973" s="3">
        <f>I3973-J3973</f>
        <v>0</v>
      </c>
      <c r="L3973" s="3" t="str">
        <f t="shared" si="462"/>
        <v>OPORTUNO</v>
      </c>
      <c r="M3973">
        <v>18</v>
      </c>
      <c r="N3973">
        <v>97.37</v>
      </c>
      <c r="O3973">
        <v>25.76530612244898</v>
      </c>
    </row>
    <row r="3974" spans="1:15" customFormat="1" hidden="1" x14ac:dyDescent="0.25">
      <c r="A3974" s="11">
        <v>46126</v>
      </c>
      <c r="B3974" t="s">
        <v>19</v>
      </c>
      <c r="C3974" t="s">
        <v>16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9</v>
      </c>
      <c r="K3974" s="3">
        <f>I3974-J3974</f>
        <v>1</v>
      </c>
      <c r="L3974" s="3" t="str">
        <f t="shared" si="462"/>
        <v>OPORTUNO</v>
      </c>
      <c r="M3974">
        <v>7</v>
      </c>
      <c r="N3974">
        <v>100</v>
      </c>
      <c r="O3974">
        <v>25</v>
      </c>
    </row>
    <row r="3975" spans="1:15" customFormat="1" hidden="1" x14ac:dyDescent="0.25">
      <c r="A3975" s="11">
        <v>46126</v>
      </c>
      <c r="B3975" t="s">
        <v>43</v>
      </c>
      <c r="C3975" t="s">
        <v>32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-5</v>
      </c>
      <c r="L3975" s="3" t="str">
        <f t="shared" si="462"/>
        <v>ATENÇÃO</v>
      </c>
      <c r="M3975">
        <v>31</v>
      </c>
      <c r="N3975">
        <v>100</v>
      </c>
      <c r="O3975">
        <v>23.9870340356564</v>
      </c>
    </row>
    <row r="3976" spans="1:15" customFormat="1" hidden="1" x14ac:dyDescent="0.25">
      <c r="A3976" s="11">
        <v>46126</v>
      </c>
      <c r="B3976" t="s">
        <v>44</v>
      </c>
      <c r="C3976" t="s">
        <v>32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30</v>
      </c>
      <c r="K3976" s="3">
        <f>I3976-J3976</f>
        <v>7</v>
      </c>
      <c r="L3976" s="3" t="str">
        <f t="shared" si="462"/>
        <v>MUITO BOM</v>
      </c>
      <c r="M3976">
        <v>3</v>
      </c>
      <c r="N3976">
        <v>95.49</v>
      </c>
      <c r="O3976">
        <v>28.370221327967808</v>
      </c>
    </row>
    <row r="3977" spans="1:15" customFormat="1" hidden="1" x14ac:dyDescent="0.25">
      <c r="A3977" s="11">
        <v>46126</v>
      </c>
      <c r="B3977" t="s">
        <v>20</v>
      </c>
      <c r="C3977" t="s">
        <v>16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 t="shared" si="462"/>
        <v>OPORTUNO</v>
      </c>
      <c r="M3977">
        <v>0</v>
      </c>
      <c r="N3977">
        <v>100</v>
      </c>
      <c r="O3977">
        <v>23.77622377622378</v>
      </c>
    </row>
    <row r="3978" spans="1:15" customFormat="1" hidden="1" x14ac:dyDescent="0.25">
      <c r="A3978" s="11">
        <v>46126</v>
      </c>
      <c r="B3978" t="s">
        <v>28</v>
      </c>
      <c r="C3978" t="s">
        <v>26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18</v>
      </c>
      <c r="L3978" s="3" t="str">
        <f t="shared" si="462"/>
        <v>MUITO BOM</v>
      </c>
      <c r="M3978">
        <v>20</v>
      </c>
      <c r="N3978">
        <v>96.15</v>
      </c>
      <c r="O3978">
        <v>24.045801526717561</v>
      </c>
    </row>
    <row r="3979" spans="1:15" customFormat="1" hidden="1" x14ac:dyDescent="0.25">
      <c r="A3979" s="11">
        <v>46126</v>
      </c>
      <c r="B3979" t="s">
        <v>58</v>
      </c>
      <c r="C3979" t="s">
        <v>48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24</v>
      </c>
      <c r="K3979" s="3">
        <f>I3979-J3979</f>
        <v>6</v>
      </c>
      <c r="L3979" s="3" t="str">
        <f t="shared" si="462"/>
        <v>MUITO BOM</v>
      </c>
      <c r="M3979">
        <v>22</v>
      </c>
      <c r="N3979">
        <v>99.02</v>
      </c>
      <c r="O3979">
        <v>34.797297297297298</v>
      </c>
    </row>
    <row r="3980" spans="1:15" customFormat="1" hidden="1" x14ac:dyDescent="0.25">
      <c r="A3980" s="11">
        <v>46126</v>
      </c>
      <c r="B3980" t="s">
        <v>29</v>
      </c>
      <c r="C3980" t="s">
        <v>26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7</v>
      </c>
      <c r="L3980" s="3" t="str">
        <f t="shared" si="462"/>
        <v>MUITO BOM</v>
      </c>
      <c r="M3980">
        <v>19</v>
      </c>
      <c r="N3980">
        <v>98.84</v>
      </c>
      <c r="O3980">
        <v>31.868131868131869</v>
      </c>
    </row>
    <row r="3981" spans="1:15" customFormat="1" hidden="1" x14ac:dyDescent="0.25">
      <c r="A3981" s="11">
        <v>46126</v>
      </c>
      <c r="B3981" t="s">
        <v>30</v>
      </c>
      <c r="C3981" t="s">
        <v>26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17</v>
      </c>
      <c r="K3981" s="3">
        <f>I3981-J3981</f>
        <v>2</v>
      </c>
      <c r="L3981" s="3" t="str">
        <f t="shared" si="462"/>
        <v>OPORTUNO</v>
      </c>
      <c r="M3981">
        <v>15</v>
      </c>
      <c r="N3981">
        <v>100</v>
      </c>
      <c r="O3981">
        <v>34.666666666666671</v>
      </c>
    </row>
    <row r="3982" spans="1:15" customFormat="1" hidden="1" x14ac:dyDescent="0.25">
      <c r="A3982" s="11">
        <v>46126</v>
      </c>
      <c r="B3982" t="s">
        <v>21</v>
      </c>
      <c r="C3982" t="s">
        <v>16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 t="shared" si="462"/>
        <v>OPORTUNO</v>
      </c>
      <c r="M3982">
        <v>0</v>
      </c>
      <c r="N3982">
        <v>94.12</v>
      </c>
      <c r="O3982">
        <v>32.799999999999997</v>
      </c>
    </row>
    <row r="3983" spans="1:15" customFormat="1" hidden="1" x14ac:dyDescent="0.25">
      <c r="A3983" s="11">
        <v>46126</v>
      </c>
      <c r="B3983" t="s">
        <v>63</v>
      </c>
      <c r="C3983" t="s">
        <v>23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20</v>
      </c>
      <c r="K3983" s="3">
        <f>I3983-J3983</f>
        <v>9</v>
      </c>
      <c r="L3983" s="3" t="str">
        <f t="shared" si="462"/>
        <v>MUITO BOM</v>
      </c>
      <c r="M3983">
        <v>26</v>
      </c>
      <c r="N3983">
        <v>98.32</v>
      </c>
      <c r="O3983">
        <v>26.858513189448441</v>
      </c>
    </row>
    <row r="3984" spans="1:15" customFormat="1" hidden="1" x14ac:dyDescent="0.25">
      <c r="A3984" s="11">
        <v>46126</v>
      </c>
      <c r="B3984" t="s">
        <v>45</v>
      </c>
      <c r="C3984" t="s">
        <v>32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30</v>
      </c>
      <c r="K3984" s="3">
        <f>I3984-J3984</f>
        <v>6</v>
      </c>
      <c r="L3984" s="3" t="str">
        <f t="shared" si="462"/>
        <v>MUITO BOM</v>
      </c>
      <c r="M3984">
        <v>29</v>
      </c>
      <c r="N3984">
        <v>100</v>
      </c>
      <c r="O3984">
        <v>31.135531135531139</v>
      </c>
    </row>
    <row r="3985" spans="1:15" customFormat="1" hidden="1" x14ac:dyDescent="0.25">
      <c r="A3985" s="11">
        <v>46126</v>
      </c>
      <c r="B3985" t="s">
        <v>64</v>
      </c>
      <c r="C3985" t="s">
        <v>23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20</v>
      </c>
      <c r="K3985" s="3">
        <f>I3985-J3985</f>
        <v>-1</v>
      </c>
      <c r="L3985" s="3" t="str">
        <f t="shared" si="462"/>
        <v>ATENÇÃO</v>
      </c>
      <c r="M3985">
        <v>17</v>
      </c>
      <c r="N3985">
        <v>100</v>
      </c>
      <c r="O3985">
        <v>26.36986301369863</v>
      </c>
    </row>
    <row r="3986" spans="1:15" customFormat="1" hidden="1" x14ac:dyDescent="0.25">
      <c r="A3986" s="11">
        <v>46126</v>
      </c>
      <c r="B3986" t="s">
        <v>46</v>
      </c>
      <c r="C3986" t="s">
        <v>32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30</v>
      </c>
      <c r="K3986" s="3">
        <f>I3986-J3986</f>
        <v>-8</v>
      </c>
      <c r="L3986" s="3" t="str">
        <f t="shared" si="462"/>
        <v>CRÍTICO</v>
      </c>
      <c r="M3986">
        <v>21</v>
      </c>
      <c r="N3986">
        <v>99.21</v>
      </c>
      <c r="O3986">
        <v>25.188916876574311</v>
      </c>
    </row>
    <row r="3987" spans="1:15" customFormat="1" hidden="1" x14ac:dyDescent="0.25">
      <c r="A3987" s="11">
        <v>46127</v>
      </c>
      <c r="B3987" t="s">
        <v>47</v>
      </c>
      <c r="C3987" t="s">
        <v>48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26</v>
      </c>
      <c r="K3987" s="3">
        <f>I3987-J3987</f>
        <v>0</v>
      </c>
      <c r="L3987" s="3" t="str">
        <f t="shared" si="462"/>
        <v>OPORTUNO</v>
      </c>
      <c r="M3987">
        <v>12</v>
      </c>
      <c r="N3987">
        <v>100</v>
      </c>
      <c r="O3987">
        <v>32.764505119453922</v>
      </c>
    </row>
    <row r="3988" spans="1:15" customFormat="1" hidden="1" x14ac:dyDescent="0.25">
      <c r="A3988" s="11">
        <v>46127</v>
      </c>
      <c r="B3988" t="s">
        <v>31</v>
      </c>
      <c r="C3988" t="s">
        <v>32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 t="shared" si="462"/>
        <v>OPORTUNO</v>
      </c>
      <c r="M3988">
        <v>30</v>
      </c>
      <c r="N3988">
        <v>98.66</v>
      </c>
      <c r="O3988">
        <v>35.416666666666671</v>
      </c>
    </row>
    <row r="3989" spans="1:15" customFormat="1" hidden="1" x14ac:dyDescent="0.25">
      <c r="A3989" s="11">
        <v>46127</v>
      </c>
      <c r="B3989" t="s">
        <v>59</v>
      </c>
      <c r="C3989" t="s">
        <v>23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ref="I3989:I3996" si="463">E3989+G3989+H3989</f>
        <v>31</v>
      </c>
      <c r="J3989" s="3">
        <f t="shared" ref="J3989:J3996" si="464"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21</v>
      </c>
      <c r="K3989" s="3">
        <f t="shared" ref="K3989:K3996" si="465">I3989-J3989</f>
        <v>10</v>
      </c>
      <c r="L3989" s="3" t="str">
        <f t="shared" si="462"/>
        <v>MUITO BOM</v>
      </c>
      <c r="M3989">
        <v>32</v>
      </c>
      <c r="N3989">
        <v>99.32</v>
      </c>
      <c r="O3989">
        <v>30.648330058939099</v>
      </c>
    </row>
    <row r="3990" spans="1:15" customFormat="1" hidden="1" x14ac:dyDescent="0.25">
      <c r="A3990" s="11">
        <v>46127</v>
      </c>
      <c r="B3990" t="s">
        <v>33</v>
      </c>
      <c r="C3990" t="s">
        <v>32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463"/>
        <v>32</v>
      </c>
      <c r="J3990" s="3">
        <f t="shared" si="464"/>
        <v>32</v>
      </c>
      <c r="K3990" s="3">
        <f t="shared" si="465"/>
        <v>0</v>
      </c>
      <c r="L3990" s="3" t="str">
        <f t="shared" si="462"/>
        <v>OPORTUNO</v>
      </c>
      <c r="M3990">
        <v>29</v>
      </c>
      <c r="N3990">
        <v>100</v>
      </c>
      <c r="O3990">
        <v>27.803738317757009</v>
      </c>
    </row>
    <row r="3991" spans="1:15" customFormat="1" hidden="1" x14ac:dyDescent="0.25">
      <c r="A3991" s="11">
        <v>46127</v>
      </c>
      <c r="B3991" t="s">
        <v>15</v>
      </c>
      <c r="C3991" t="s">
        <v>16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463"/>
        <v>32</v>
      </c>
      <c r="J3991" s="3">
        <f t="shared" si="464"/>
        <v>9</v>
      </c>
      <c r="K3991" s="3">
        <f t="shared" si="465"/>
        <v>23</v>
      </c>
      <c r="L3991" s="3" t="str">
        <f t="shared" si="462"/>
        <v>MUITO BOM</v>
      </c>
      <c r="M3991">
        <v>30</v>
      </c>
      <c r="N3991">
        <v>96.74</v>
      </c>
      <c r="O3991">
        <v>28.67647058823529</v>
      </c>
    </row>
    <row r="3992" spans="1:15" customFormat="1" hidden="1" x14ac:dyDescent="0.25">
      <c r="A3992" s="11">
        <v>46127</v>
      </c>
      <c r="B3992" t="s">
        <v>49</v>
      </c>
      <c r="C3992" t="s">
        <v>48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463"/>
        <v>36</v>
      </c>
      <c r="J3992" s="3">
        <f t="shared" si="464"/>
        <v>26</v>
      </c>
      <c r="K3992" s="3">
        <f t="shared" si="465"/>
        <v>10</v>
      </c>
      <c r="L3992" s="3" t="str">
        <f t="shared" si="462"/>
        <v>MUITO BOM</v>
      </c>
      <c r="M3992">
        <v>37</v>
      </c>
      <c r="N3992">
        <v>98.82</v>
      </c>
      <c r="O3992">
        <v>30.741410488245929</v>
      </c>
    </row>
    <row r="3993" spans="1:15" customFormat="1" hidden="1" x14ac:dyDescent="0.25">
      <c r="A3993" s="11">
        <v>46127</v>
      </c>
      <c r="B3993" t="s">
        <v>50</v>
      </c>
      <c r="C3993" t="s">
        <v>48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463"/>
        <v>20</v>
      </c>
      <c r="J3993" s="3">
        <f t="shared" si="464"/>
        <v>26</v>
      </c>
      <c r="K3993" s="3">
        <f t="shared" si="465"/>
        <v>-6</v>
      </c>
      <c r="L3993" s="3" t="str">
        <f t="shared" si="462"/>
        <v>CRÍTICO</v>
      </c>
      <c r="M3993">
        <v>17</v>
      </c>
      <c r="N3993">
        <v>98.2</v>
      </c>
      <c r="O3993">
        <v>27.170868347338931</v>
      </c>
    </row>
    <row r="3994" spans="1:15" customFormat="1" hidden="1" x14ac:dyDescent="0.25">
      <c r="A3994" s="11">
        <v>46127</v>
      </c>
      <c r="B3994" t="s">
        <v>17</v>
      </c>
      <c r="C3994" t="s">
        <v>16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463"/>
        <v>8</v>
      </c>
      <c r="J3994" s="3">
        <f t="shared" si="464"/>
        <v>9</v>
      </c>
      <c r="K3994" s="3">
        <f t="shared" si="465"/>
        <v>-1</v>
      </c>
      <c r="L3994" s="3" t="str">
        <f t="shared" si="462"/>
        <v>ATENÇÃO</v>
      </c>
      <c r="M3994">
        <v>6</v>
      </c>
      <c r="N3994">
        <v>100</v>
      </c>
      <c r="O3994">
        <v>23.134328358208951</v>
      </c>
    </row>
    <row r="3995" spans="1:15" customFormat="1" hidden="1" x14ac:dyDescent="0.25">
      <c r="A3995" s="11">
        <v>46127</v>
      </c>
      <c r="B3995" t="s">
        <v>60</v>
      </c>
      <c r="C3995" t="s">
        <v>23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si="463"/>
        <v>22</v>
      </c>
      <c r="J3995" s="3">
        <f t="shared" si="464"/>
        <v>21</v>
      </c>
      <c r="K3995" s="3">
        <f t="shared" si="465"/>
        <v>1</v>
      </c>
      <c r="L3995" s="3" t="str">
        <f t="shared" si="462"/>
        <v>OPORTUNO</v>
      </c>
      <c r="M3995">
        <v>24</v>
      </c>
      <c r="N3995">
        <v>96.3</v>
      </c>
      <c r="O3995">
        <v>32.219570405727922</v>
      </c>
    </row>
    <row r="3996" spans="1:15" customFormat="1" hidden="1" x14ac:dyDescent="0.25">
      <c r="A3996" s="11">
        <v>46127</v>
      </c>
      <c r="B3996" t="s">
        <v>34</v>
      </c>
      <c r="C3996" t="s">
        <v>32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463"/>
        <v>41</v>
      </c>
      <c r="J3996" s="3">
        <f t="shared" si="464"/>
        <v>32</v>
      </c>
      <c r="K3996" s="3">
        <f t="shared" si="465"/>
        <v>9</v>
      </c>
      <c r="L3996" s="3" t="str">
        <f t="shared" si="462"/>
        <v>MUITO BOM</v>
      </c>
      <c r="M3996">
        <v>39</v>
      </c>
      <c r="N3996">
        <v>93.75</v>
      </c>
      <c r="O3996">
        <v>26.819923371647509</v>
      </c>
    </row>
    <row r="3997" spans="1:15" customFormat="1" hidden="1" x14ac:dyDescent="0.25">
      <c r="A3997" s="11">
        <v>46127</v>
      </c>
      <c r="B3997" t="s">
        <v>51</v>
      </c>
      <c r="C3997" t="s">
        <v>48</v>
      </c>
      <c r="D3997">
        <v>26</v>
      </c>
      <c r="E3997">
        <v>23</v>
      </c>
      <c r="F3997">
        <v>17.079999999999998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 t="shared" si="462"/>
        <v>OPORTUNO</v>
      </c>
      <c r="M3997">
        <v>23</v>
      </c>
      <c r="N3997">
        <v>97.86</v>
      </c>
      <c r="O3997">
        <v>31.018518518518519</v>
      </c>
    </row>
    <row r="3998" spans="1:15" customFormat="1" hidden="1" x14ac:dyDescent="0.25">
      <c r="A3998" s="11">
        <v>46127</v>
      </c>
      <c r="B3998" t="s">
        <v>61</v>
      </c>
      <c r="C3998" t="s">
        <v>23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21</v>
      </c>
      <c r="K3998" s="3">
        <f>I3998-J3998</f>
        <v>7</v>
      </c>
      <c r="L3998" s="3" t="str">
        <f t="shared" si="462"/>
        <v>MUITO BOM</v>
      </c>
      <c r="M3998">
        <v>16</v>
      </c>
      <c r="N3998">
        <v>100</v>
      </c>
      <c r="O3998">
        <v>36.594202898550733</v>
      </c>
    </row>
    <row r="3999" spans="1:15" customFormat="1" hidden="1" x14ac:dyDescent="0.25">
      <c r="A3999" s="11">
        <v>46127</v>
      </c>
      <c r="B3999" t="s">
        <v>35</v>
      </c>
      <c r="C3999" t="s">
        <v>32</v>
      </c>
      <c r="D3999">
        <v>34</v>
      </c>
      <c r="E3999">
        <v>34</v>
      </c>
      <c r="F3999">
        <v>17.25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 t="shared" si="462"/>
        <v>OPORTUNO</v>
      </c>
      <c r="M3999">
        <v>32</v>
      </c>
      <c r="N3999">
        <v>100</v>
      </c>
      <c r="O3999">
        <v>38.653846153846153</v>
      </c>
    </row>
    <row r="4000" spans="1:15" customFormat="1" hidden="1" x14ac:dyDescent="0.25">
      <c r="A4000" s="11">
        <v>46127</v>
      </c>
      <c r="B4000" t="s">
        <v>18</v>
      </c>
      <c r="C4000" t="s">
        <v>16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 t="shared" si="462"/>
        <v>ATENÇÃO</v>
      </c>
      <c r="M4000">
        <v>6</v>
      </c>
      <c r="N4000">
        <v>100</v>
      </c>
      <c r="O4000">
        <v>27.368421052631579</v>
      </c>
    </row>
    <row r="4001" spans="1:16" hidden="1" x14ac:dyDescent="0.25">
      <c r="A4001" s="11">
        <v>46127</v>
      </c>
      <c r="B4001" t="s">
        <v>52</v>
      </c>
      <c r="C4001" t="s">
        <v>48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26</v>
      </c>
      <c r="K4001" s="3">
        <f>I4001-J4001</f>
        <v>-2</v>
      </c>
      <c r="L4001" s="3" t="str">
        <f t="shared" si="462"/>
        <v>ATENÇÃO</v>
      </c>
      <c r="M4001">
        <v>20</v>
      </c>
      <c r="N4001">
        <v>97.83</v>
      </c>
      <c r="O4001">
        <v>28.35164835164835</v>
      </c>
      <c r="P4001"/>
    </row>
    <row r="4002" spans="1:16" hidden="1" x14ac:dyDescent="0.25">
      <c r="A4002" s="11">
        <v>46127</v>
      </c>
      <c r="B4002" t="s">
        <v>36</v>
      </c>
      <c r="C4002" t="s">
        <v>32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32</v>
      </c>
      <c r="K4002" s="3">
        <f>I4002-J4002</f>
        <v>-5</v>
      </c>
      <c r="L4002" s="3" t="str">
        <f t="shared" si="462"/>
        <v>ATENÇÃO</v>
      </c>
      <c r="M4002">
        <v>28</v>
      </c>
      <c r="N4002">
        <v>99.26</v>
      </c>
      <c r="O4002">
        <v>29.766536964980549</v>
      </c>
      <c r="P4002"/>
    </row>
    <row r="4003" spans="1:16" hidden="1" x14ac:dyDescent="0.25">
      <c r="A4003" s="11">
        <v>46127</v>
      </c>
      <c r="B4003" t="s">
        <v>53</v>
      </c>
      <c r="C4003" t="s">
        <v>48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26</v>
      </c>
      <c r="K4003" s="3">
        <f>I4003-J4003</f>
        <v>0</v>
      </c>
      <c r="L4003" s="3" t="str">
        <f t="shared" si="462"/>
        <v>OPORTUNO</v>
      </c>
      <c r="M4003">
        <v>27</v>
      </c>
      <c r="N4003">
        <v>99.19</v>
      </c>
      <c r="O4003">
        <v>29.462365591397852</v>
      </c>
      <c r="P4003"/>
    </row>
    <row r="4004" spans="1:16" hidden="1" x14ac:dyDescent="0.25">
      <c r="A4004" s="11">
        <v>46167</v>
      </c>
      <c r="B4004" t="s">
        <v>58</v>
      </c>
      <c r="C4004" t="s">
        <v>48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 t="shared" si="462"/>
        <v>OPORTUNO</v>
      </c>
      <c r="M4004" s="3">
        <v>0</v>
      </c>
      <c r="N4004" s="3">
        <v>100</v>
      </c>
      <c r="O4004" s="3">
        <v>20.183486238532112</v>
      </c>
    </row>
    <row r="4005" spans="1:16" hidden="1" x14ac:dyDescent="0.25">
      <c r="A4005" s="11">
        <v>46127</v>
      </c>
      <c r="B4005" t="s">
        <v>54</v>
      </c>
      <c r="C4005" t="s">
        <v>48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 t="shared" si="462"/>
        <v>OPORTUNO</v>
      </c>
      <c r="M4005">
        <v>0</v>
      </c>
      <c r="N4005">
        <v>100</v>
      </c>
      <c r="O4005">
        <v>28.921568627450981</v>
      </c>
      <c r="P4005"/>
    </row>
    <row r="4006" spans="1:16" hidden="1" x14ac:dyDescent="0.25">
      <c r="A4006" s="11">
        <v>46127</v>
      </c>
      <c r="B4006" t="s">
        <v>37</v>
      </c>
      <c r="C4006" t="s">
        <v>32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32</v>
      </c>
      <c r="K4006" s="3">
        <f>I4006-J4006</f>
        <v>10</v>
      </c>
      <c r="L4006" s="3" t="str">
        <f t="shared" si="462"/>
        <v>MUITO BOM</v>
      </c>
      <c r="M4006">
        <v>37</v>
      </c>
      <c r="N4006">
        <v>99.57</v>
      </c>
      <c r="O4006">
        <v>30.635838150289018</v>
      </c>
      <c r="P4006"/>
    </row>
    <row r="4007" spans="1:16" hidden="1" x14ac:dyDescent="0.25">
      <c r="A4007" s="11">
        <v>46127</v>
      </c>
      <c r="B4007" t="s">
        <v>38</v>
      </c>
      <c r="C4007" t="s">
        <v>32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 t="shared" si="462"/>
        <v>OPORTUNO</v>
      </c>
      <c r="M4007">
        <v>0</v>
      </c>
      <c r="N4007">
        <v>95.65</v>
      </c>
      <c r="O4007">
        <v>32.432432432432442</v>
      </c>
      <c r="P4007"/>
    </row>
    <row r="4008" spans="1:16" hidden="1" x14ac:dyDescent="0.25">
      <c r="A4008" s="11">
        <v>46127</v>
      </c>
      <c r="B4008" t="s">
        <v>55</v>
      </c>
      <c r="C4008" t="s">
        <v>48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26</v>
      </c>
      <c r="K4008" s="3">
        <f>I4008-J4008</f>
        <v>-2</v>
      </c>
      <c r="L4008" s="3" t="str">
        <f t="shared" si="462"/>
        <v>ATENÇÃO</v>
      </c>
      <c r="M4008">
        <v>23</v>
      </c>
      <c r="N4008">
        <v>98.81</v>
      </c>
      <c r="O4008">
        <v>26.256983240223459</v>
      </c>
      <c r="P4008"/>
    </row>
    <row r="4009" spans="1:16" hidden="1" x14ac:dyDescent="0.25">
      <c r="A4009" s="11">
        <v>46127</v>
      </c>
      <c r="B4009" t="s">
        <v>39</v>
      </c>
      <c r="C4009" t="s">
        <v>32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 t="shared" si="462"/>
        <v>OPORTUNO</v>
      </c>
      <c r="M4009">
        <v>0</v>
      </c>
      <c r="N4009">
        <v>0</v>
      </c>
      <c r="O4009">
        <v>0</v>
      </c>
      <c r="P4009"/>
    </row>
    <row r="4010" spans="1:16" hidden="1" x14ac:dyDescent="0.25">
      <c r="A4010" s="11">
        <v>46127</v>
      </c>
      <c r="B4010" t="s">
        <v>25</v>
      </c>
      <c r="C4010" t="s">
        <v>26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18</v>
      </c>
      <c r="K4010" s="3">
        <f>I4010-J4010</f>
        <v>3</v>
      </c>
      <c r="L4010" s="3" t="str">
        <f t="shared" si="462"/>
        <v>OPORTUNO</v>
      </c>
      <c r="M4010">
        <v>23</v>
      </c>
      <c r="N4010">
        <v>97.17</v>
      </c>
      <c r="O4010">
        <v>28.81844380403458</v>
      </c>
      <c r="P4010"/>
    </row>
    <row r="4011" spans="1:16" hidden="1" x14ac:dyDescent="0.25">
      <c r="A4011" s="11">
        <v>46127</v>
      </c>
      <c r="B4011" t="s">
        <v>40</v>
      </c>
      <c r="C4011" t="s">
        <v>32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 t="shared" si="462"/>
        <v>OPORTUNO</v>
      </c>
      <c r="M4011">
        <v>44</v>
      </c>
      <c r="N4011">
        <v>96.81</v>
      </c>
      <c r="O4011">
        <v>48.018648018648022</v>
      </c>
      <c r="P4011"/>
    </row>
    <row r="4012" spans="1:16" hidden="1" x14ac:dyDescent="0.25">
      <c r="A4012" s="11">
        <v>46127</v>
      </c>
      <c r="B4012" t="s">
        <v>27</v>
      </c>
      <c r="C4012" t="s">
        <v>26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18</v>
      </c>
      <c r="K4012" s="3">
        <f>I4012-J4012</f>
        <v>-5</v>
      </c>
      <c r="L4012" s="3" t="str">
        <f t="shared" si="462"/>
        <v>ATENÇÃO</v>
      </c>
      <c r="M4012">
        <v>12</v>
      </c>
      <c r="N4012">
        <v>98.15</v>
      </c>
      <c r="O4012">
        <v>27.1551724137931</v>
      </c>
      <c r="P4012"/>
    </row>
    <row r="4013" spans="1:16" hidden="1" x14ac:dyDescent="0.25">
      <c r="A4013" s="11">
        <v>46127</v>
      </c>
      <c r="B4013" t="s">
        <v>41</v>
      </c>
      <c r="C4013" t="s">
        <v>32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-4</v>
      </c>
      <c r="L4013" s="3" t="str">
        <f t="shared" si="462"/>
        <v>ATENÇÃO</v>
      </c>
      <c r="M4013">
        <v>25</v>
      </c>
      <c r="N4013">
        <v>99.15</v>
      </c>
      <c r="O4013">
        <v>27.586206896551719</v>
      </c>
      <c r="P4013"/>
    </row>
    <row r="4014" spans="1:16" hidden="1" x14ac:dyDescent="0.25">
      <c r="A4014" s="11">
        <v>46127</v>
      </c>
      <c r="B4014" t="s">
        <v>56</v>
      </c>
      <c r="C4014" t="s">
        <v>48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26</v>
      </c>
      <c r="K4014" s="3">
        <f>I4014-J4014</f>
        <v>1</v>
      </c>
      <c r="L4014" s="3" t="str">
        <f t="shared" si="462"/>
        <v>OPORTUNO</v>
      </c>
      <c r="M4014">
        <v>32</v>
      </c>
      <c r="N4014">
        <v>99.17</v>
      </c>
      <c r="O4014">
        <v>29.75206611570248</v>
      </c>
      <c r="P4014"/>
    </row>
    <row r="4015" spans="1:16" hidden="1" x14ac:dyDescent="0.25">
      <c r="A4015" s="11">
        <v>46127</v>
      </c>
      <c r="B4015" t="s">
        <v>57</v>
      </c>
      <c r="C4015" t="s">
        <v>48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 t="shared" si="462"/>
        <v>OPORTUNO</v>
      </c>
      <c r="M4015">
        <v>0</v>
      </c>
      <c r="N4015">
        <v>98.73</v>
      </c>
      <c r="O4015">
        <v>28.961748633879779</v>
      </c>
      <c r="P4015"/>
    </row>
    <row r="4016" spans="1:16" hidden="1" x14ac:dyDescent="0.25">
      <c r="A4016" s="11">
        <v>46127</v>
      </c>
      <c r="B4016" t="s">
        <v>42</v>
      </c>
      <c r="C4016" t="s">
        <v>32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ref="I4016:I4031" si="466">E4016+G4016+H4016</f>
        <v>33</v>
      </c>
      <c r="J4016" s="3">
        <f t="shared" ref="J4016:J4031" si="467"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32</v>
      </c>
      <c r="K4016" s="3">
        <f t="shared" ref="K4016:K4031" si="468">I4016-J4016</f>
        <v>1</v>
      </c>
      <c r="L4016" s="3" t="str">
        <f t="shared" si="462"/>
        <v>OPORTUNO</v>
      </c>
      <c r="M4016">
        <v>27</v>
      </c>
      <c r="N4016">
        <v>88.68</v>
      </c>
      <c r="O4016">
        <v>22.03389830508474</v>
      </c>
      <c r="P4016"/>
    </row>
    <row r="4017" spans="1:15" customFormat="1" hidden="1" x14ac:dyDescent="0.25">
      <c r="A4017" s="11">
        <v>46127</v>
      </c>
      <c r="B4017" t="s">
        <v>62</v>
      </c>
      <c r="C4017" t="s">
        <v>23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466"/>
        <v>20</v>
      </c>
      <c r="J4017" s="3">
        <f t="shared" si="467"/>
        <v>21</v>
      </c>
      <c r="K4017" s="3">
        <f t="shared" si="468"/>
        <v>-1</v>
      </c>
      <c r="L4017" s="3" t="str">
        <f t="shared" si="462"/>
        <v>ATENÇÃO</v>
      </c>
      <c r="M4017">
        <v>17</v>
      </c>
      <c r="N4017">
        <v>97.37</v>
      </c>
      <c r="O4017">
        <v>25.76530612244898</v>
      </c>
    </row>
    <row r="4018" spans="1:15" customFormat="1" hidden="1" x14ac:dyDescent="0.25">
      <c r="A4018" s="11">
        <v>46127</v>
      </c>
      <c r="B4018" t="s">
        <v>19</v>
      </c>
      <c r="C4018" t="s">
        <v>16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466"/>
        <v>18</v>
      </c>
      <c r="J4018" s="3">
        <f t="shared" si="467"/>
        <v>9</v>
      </c>
      <c r="K4018" s="3">
        <f t="shared" si="468"/>
        <v>9</v>
      </c>
      <c r="L4018" s="3" t="str">
        <f t="shared" si="462"/>
        <v>MUITO BOM</v>
      </c>
      <c r="M4018">
        <v>6</v>
      </c>
      <c r="N4018">
        <v>100</v>
      </c>
      <c r="O4018">
        <v>25</v>
      </c>
    </row>
    <row r="4019" spans="1:15" customFormat="1" hidden="1" x14ac:dyDescent="0.25">
      <c r="A4019" s="11">
        <v>46127</v>
      </c>
      <c r="B4019" t="s">
        <v>43</v>
      </c>
      <c r="C4019" t="s">
        <v>32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466"/>
        <v>28</v>
      </c>
      <c r="J4019" s="3">
        <f t="shared" si="467"/>
        <v>32</v>
      </c>
      <c r="K4019" s="3">
        <f t="shared" si="468"/>
        <v>-4</v>
      </c>
      <c r="L4019" s="3" t="str">
        <f t="shared" si="462"/>
        <v>ATENÇÃO</v>
      </c>
      <c r="M4019">
        <v>39</v>
      </c>
      <c r="N4019">
        <v>100</v>
      </c>
      <c r="O4019">
        <v>23.9870340356564</v>
      </c>
    </row>
    <row r="4020" spans="1:15" customFormat="1" hidden="1" x14ac:dyDescent="0.25">
      <c r="A4020" s="11">
        <v>46127</v>
      </c>
      <c r="B4020" t="s">
        <v>44</v>
      </c>
      <c r="C4020" t="s">
        <v>32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466"/>
        <v>34</v>
      </c>
      <c r="J4020" s="3">
        <f t="shared" si="467"/>
        <v>32</v>
      </c>
      <c r="K4020" s="3">
        <f t="shared" si="468"/>
        <v>2</v>
      </c>
      <c r="L4020" s="3" t="str">
        <f t="shared" si="462"/>
        <v>OPORTUNO</v>
      </c>
      <c r="M4020">
        <v>51</v>
      </c>
      <c r="N4020">
        <v>95.49</v>
      </c>
      <c r="O4020">
        <v>28.370221327967808</v>
      </c>
    </row>
    <row r="4021" spans="1:15" customFormat="1" hidden="1" x14ac:dyDescent="0.25">
      <c r="A4021" s="11">
        <v>46127</v>
      </c>
      <c r="B4021" t="s">
        <v>20</v>
      </c>
      <c r="C4021" t="s">
        <v>16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466"/>
        <v>19</v>
      </c>
      <c r="J4021" s="3">
        <f t="shared" si="467"/>
        <v>9</v>
      </c>
      <c r="K4021" s="3">
        <f t="shared" si="468"/>
        <v>10</v>
      </c>
      <c r="L4021" s="3" t="str">
        <f t="shared" si="462"/>
        <v>MUITO BOM</v>
      </c>
      <c r="M4021">
        <v>15</v>
      </c>
      <c r="N4021">
        <v>100</v>
      </c>
      <c r="O4021">
        <v>23.77622377622378</v>
      </c>
    </row>
    <row r="4022" spans="1:15" customFormat="1" hidden="1" x14ac:dyDescent="0.25">
      <c r="A4022" s="11">
        <v>46127</v>
      </c>
      <c r="B4022" t="s">
        <v>28</v>
      </c>
      <c r="C4022" t="s">
        <v>26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466"/>
        <v>22</v>
      </c>
      <c r="J4022" s="3">
        <f t="shared" si="467"/>
        <v>18</v>
      </c>
      <c r="K4022" s="3">
        <f t="shared" si="468"/>
        <v>4</v>
      </c>
      <c r="L4022" s="3" t="str">
        <f t="shared" si="462"/>
        <v>OPORTUNO</v>
      </c>
      <c r="M4022">
        <v>18</v>
      </c>
      <c r="N4022">
        <v>96.15</v>
      </c>
      <c r="O4022">
        <v>24.045801526717561</v>
      </c>
    </row>
    <row r="4023" spans="1:15" customFormat="1" hidden="1" x14ac:dyDescent="0.25">
      <c r="A4023" s="11">
        <v>46127</v>
      </c>
      <c r="B4023" t="s">
        <v>58</v>
      </c>
      <c r="C4023" t="s">
        <v>48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466"/>
        <v>25</v>
      </c>
      <c r="J4023" s="3">
        <f t="shared" si="467"/>
        <v>26</v>
      </c>
      <c r="K4023" s="3">
        <f t="shared" si="468"/>
        <v>-1</v>
      </c>
      <c r="L4023" s="3" t="str">
        <f t="shared" si="462"/>
        <v>ATENÇÃO</v>
      </c>
      <c r="M4023">
        <v>22</v>
      </c>
      <c r="N4023">
        <v>99.02</v>
      </c>
      <c r="O4023">
        <v>34.797297297297298</v>
      </c>
    </row>
    <row r="4024" spans="1:15" customFormat="1" hidden="1" x14ac:dyDescent="0.25">
      <c r="A4024" s="11">
        <v>46127</v>
      </c>
      <c r="B4024" t="s">
        <v>29</v>
      </c>
      <c r="C4024" t="s">
        <v>26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466"/>
        <v>26</v>
      </c>
      <c r="J4024" s="3">
        <f t="shared" si="467"/>
        <v>18</v>
      </c>
      <c r="K4024" s="3">
        <f t="shared" si="468"/>
        <v>8</v>
      </c>
      <c r="L4024" s="3" t="str">
        <f t="shared" si="462"/>
        <v>MUITO BOM</v>
      </c>
      <c r="M4024">
        <v>21</v>
      </c>
      <c r="N4024">
        <v>98.84</v>
      </c>
      <c r="O4024">
        <v>31.868131868131869</v>
      </c>
    </row>
    <row r="4025" spans="1:15" customFormat="1" hidden="1" x14ac:dyDescent="0.25">
      <c r="A4025" s="11">
        <v>46127</v>
      </c>
      <c r="B4025" t="s">
        <v>30</v>
      </c>
      <c r="C4025" t="s">
        <v>26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466"/>
        <v>22</v>
      </c>
      <c r="J4025" s="3">
        <f t="shared" si="467"/>
        <v>18</v>
      </c>
      <c r="K4025" s="3">
        <f t="shared" si="468"/>
        <v>4</v>
      </c>
      <c r="L4025" s="3" t="str">
        <f t="shared" si="462"/>
        <v>OPORTUNO</v>
      </c>
      <c r="M4025">
        <v>21</v>
      </c>
      <c r="N4025">
        <v>100</v>
      </c>
      <c r="O4025">
        <v>34.666666666666671</v>
      </c>
    </row>
    <row r="4026" spans="1:15" customFormat="1" hidden="1" x14ac:dyDescent="0.25">
      <c r="A4026" s="11">
        <v>46127</v>
      </c>
      <c r="B4026" t="s">
        <v>21</v>
      </c>
      <c r="C4026" t="s">
        <v>16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466"/>
        <v>11</v>
      </c>
      <c r="J4026" s="3">
        <f t="shared" si="467"/>
        <v>9</v>
      </c>
      <c r="K4026" s="3">
        <f t="shared" si="468"/>
        <v>2</v>
      </c>
      <c r="L4026" s="3" t="str">
        <f t="shared" si="462"/>
        <v>OPORTUNO</v>
      </c>
      <c r="M4026">
        <v>10</v>
      </c>
      <c r="N4026">
        <v>94.12</v>
      </c>
      <c r="O4026">
        <v>32.799999999999997</v>
      </c>
    </row>
    <row r="4027" spans="1:15" customFormat="1" hidden="1" x14ac:dyDescent="0.25">
      <c r="A4027" s="11">
        <v>46127</v>
      </c>
      <c r="B4027" t="s">
        <v>63</v>
      </c>
      <c r="C4027" t="s">
        <v>23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466"/>
        <v>23</v>
      </c>
      <c r="J4027" s="3">
        <f t="shared" si="467"/>
        <v>21</v>
      </c>
      <c r="K4027" s="3">
        <f t="shared" si="468"/>
        <v>2</v>
      </c>
      <c r="L4027" s="3" t="str">
        <f t="shared" ref="L4027:L4090" si="469">IF(K4027&lt;-5,"CRÍTICO",IF(K4027&lt;0,"ATENÇÃO",IF(K4027&lt;=5,"OPORTUNO","MUITO BOM")))</f>
        <v>OPORTUNO</v>
      </c>
      <c r="M4027">
        <v>21</v>
      </c>
      <c r="N4027">
        <v>98.32</v>
      </c>
      <c r="O4027">
        <v>26.858513189448441</v>
      </c>
    </row>
    <row r="4028" spans="1:15" customFormat="1" hidden="1" x14ac:dyDescent="0.25">
      <c r="A4028" s="11">
        <v>46127</v>
      </c>
      <c r="B4028" t="s">
        <v>45</v>
      </c>
      <c r="C4028" t="s">
        <v>32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466"/>
        <v>24</v>
      </c>
      <c r="J4028" s="3">
        <f t="shared" si="467"/>
        <v>32</v>
      </c>
      <c r="K4028" s="3">
        <f t="shared" si="468"/>
        <v>-8</v>
      </c>
      <c r="L4028" s="3" t="str">
        <f t="shared" si="469"/>
        <v>CRÍTICO</v>
      </c>
      <c r="M4028">
        <v>22</v>
      </c>
      <c r="N4028">
        <v>100</v>
      </c>
      <c r="O4028">
        <v>31.135531135531139</v>
      </c>
    </row>
    <row r="4029" spans="1:15" customFormat="1" hidden="1" x14ac:dyDescent="0.25">
      <c r="A4029" s="11">
        <v>46127</v>
      </c>
      <c r="B4029" t="s">
        <v>64</v>
      </c>
      <c r="C4029" t="s">
        <v>23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466"/>
        <v>12</v>
      </c>
      <c r="J4029" s="3">
        <f t="shared" si="467"/>
        <v>21</v>
      </c>
      <c r="K4029" s="3">
        <f t="shared" si="468"/>
        <v>-9</v>
      </c>
      <c r="L4029" s="3" t="str">
        <f t="shared" si="469"/>
        <v>CRÍTICO</v>
      </c>
      <c r="M4029">
        <v>11</v>
      </c>
      <c r="N4029">
        <v>100</v>
      </c>
      <c r="O4029">
        <v>26.36986301369863</v>
      </c>
    </row>
    <row r="4030" spans="1:15" customFormat="1" hidden="1" x14ac:dyDescent="0.25">
      <c r="A4030" s="11">
        <v>46127</v>
      </c>
      <c r="B4030" t="s">
        <v>46</v>
      </c>
      <c r="C4030" t="s">
        <v>32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466"/>
        <v>33</v>
      </c>
      <c r="J4030" s="3">
        <f t="shared" si="467"/>
        <v>32</v>
      </c>
      <c r="K4030" s="3">
        <f t="shared" si="468"/>
        <v>1</v>
      </c>
      <c r="L4030" s="3" t="str">
        <f t="shared" si="469"/>
        <v>OPORTUNO</v>
      </c>
      <c r="M4030">
        <v>28</v>
      </c>
      <c r="N4030">
        <v>99.21</v>
      </c>
      <c r="O4030">
        <v>25.188916876574311</v>
      </c>
    </row>
    <row r="4031" spans="1:15" customFormat="1" hidden="1" x14ac:dyDescent="0.25">
      <c r="A4031" s="11">
        <v>46128</v>
      </c>
      <c r="B4031" t="s">
        <v>47</v>
      </c>
      <c r="C4031" t="s">
        <v>48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466"/>
        <v>13</v>
      </c>
      <c r="J4031" s="3">
        <f t="shared" si="467"/>
        <v>23</v>
      </c>
      <c r="K4031" s="3">
        <f t="shared" si="468"/>
        <v>-10</v>
      </c>
      <c r="L4031" s="3" t="str">
        <f t="shared" si="469"/>
        <v>CRÍTICO</v>
      </c>
      <c r="M4031">
        <v>11</v>
      </c>
      <c r="N4031">
        <v>100</v>
      </c>
      <c r="O4031">
        <v>32.764505119453922</v>
      </c>
    </row>
    <row r="4032" spans="1:15" customFormat="1" hidden="1" x14ac:dyDescent="0.25">
      <c r="A4032" s="11">
        <v>46128</v>
      </c>
      <c r="B4032" t="s">
        <v>31</v>
      </c>
      <c r="C4032" t="s">
        <v>32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 t="shared" si="469"/>
        <v>OPORTUNO</v>
      </c>
      <c r="M4032">
        <v>21</v>
      </c>
      <c r="N4032">
        <v>98.66</v>
      </c>
      <c r="O4032">
        <v>35.416666666666671</v>
      </c>
    </row>
    <row r="4033" spans="1:16" hidden="1" x14ac:dyDescent="0.25">
      <c r="A4033" s="11">
        <v>46128</v>
      </c>
      <c r="B4033" t="s">
        <v>59</v>
      </c>
      <c r="C4033" t="s">
        <v>23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ref="I4033:I4040" si="470">E4033+G4033+H4033</f>
        <v>22</v>
      </c>
      <c r="J4033" s="3">
        <f t="shared" ref="J4033:J4040" si="471"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19</v>
      </c>
      <c r="K4033" s="3">
        <f t="shared" ref="K4033:K4040" si="472">I4033-J4033</f>
        <v>3</v>
      </c>
      <c r="L4033" s="3" t="str">
        <f t="shared" si="469"/>
        <v>OPORTUNO</v>
      </c>
      <c r="M4033">
        <v>24</v>
      </c>
      <c r="N4033">
        <v>99.32</v>
      </c>
      <c r="O4033">
        <v>30.648330058939099</v>
      </c>
      <c r="P4033"/>
    </row>
    <row r="4034" spans="1:16" hidden="1" x14ac:dyDescent="0.25">
      <c r="A4034" s="11">
        <v>46128</v>
      </c>
      <c r="B4034" t="s">
        <v>33</v>
      </c>
      <c r="C4034" t="s">
        <v>32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470"/>
        <v>16</v>
      </c>
      <c r="J4034" s="3">
        <f t="shared" si="471"/>
        <v>29</v>
      </c>
      <c r="K4034" s="3">
        <f t="shared" si="472"/>
        <v>-13</v>
      </c>
      <c r="L4034" s="3" t="str">
        <f t="shared" si="469"/>
        <v>CRÍTICO</v>
      </c>
      <c r="M4034">
        <v>23</v>
      </c>
      <c r="N4034">
        <v>100</v>
      </c>
      <c r="O4034">
        <v>27.803738317757009</v>
      </c>
      <c r="P4034"/>
    </row>
    <row r="4035" spans="1:16" hidden="1" x14ac:dyDescent="0.25">
      <c r="A4035" s="11">
        <v>46128</v>
      </c>
      <c r="B4035" t="s">
        <v>15</v>
      </c>
      <c r="C4035" t="s">
        <v>16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470"/>
        <v>27</v>
      </c>
      <c r="J4035" s="3">
        <f t="shared" si="471"/>
        <v>8</v>
      </c>
      <c r="K4035" s="3">
        <f t="shared" si="472"/>
        <v>19</v>
      </c>
      <c r="L4035" s="3" t="str">
        <f t="shared" si="469"/>
        <v>MUITO BOM</v>
      </c>
      <c r="M4035">
        <v>25</v>
      </c>
      <c r="N4035">
        <v>96.74</v>
      </c>
      <c r="O4035">
        <v>28.67647058823529</v>
      </c>
      <c r="P4035"/>
    </row>
    <row r="4036" spans="1:16" hidden="1" x14ac:dyDescent="0.25">
      <c r="A4036" s="11">
        <v>46128</v>
      </c>
      <c r="B4036" t="s">
        <v>49</v>
      </c>
      <c r="C4036" t="s">
        <v>48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470"/>
        <v>42</v>
      </c>
      <c r="J4036" s="3">
        <f t="shared" si="471"/>
        <v>23</v>
      </c>
      <c r="K4036" s="3">
        <f t="shared" si="472"/>
        <v>19</v>
      </c>
      <c r="L4036" s="3" t="str">
        <f t="shared" si="469"/>
        <v>MUITO BOM</v>
      </c>
      <c r="M4036">
        <v>43</v>
      </c>
      <c r="N4036">
        <v>98.82</v>
      </c>
      <c r="O4036">
        <v>30.741410488245929</v>
      </c>
      <c r="P4036"/>
    </row>
    <row r="4037" spans="1:16" hidden="1" x14ac:dyDescent="0.25">
      <c r="A4037" s="11">
        <v>46128</v>
      </c>
      <c r="B4037" t="s">
        <v>50</v>
      </c>
      <c r="C4037" t="s">
        <v>48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470"/>
        <v>24</v>
      </c>
      <c r="J4037" s="3">
        <f t="shared" si="471"/>
        <v>23</v>
      </c>
      <c r="K4037" s="3">
        <f t="shared" si="472"/>
        <v>1</v>
      </c>
      <c r="L4037" s="3" t="str">
        <f t="shared" si="469"/>
        <v>OPORTUNO</v>
      </c>
      <c r="M4037">
        <v>26</v>
      </c>
      <c r="N4037">
        <v>98.2</v>
      </c>
      <c r="O4037">
        <v>27.170868347338931</v>
      </c>
      <c r="P4037"/>
    </row>
    <row r="4038" spans="1:16" hidden="1" x14ac:dyDescent="0.25">
      <c r="A4038" s="11">
        <v>46128</v>
      </c>
      <c r="B4038" t="s">
        <v>17</v>
      </c>
      <c r="C4038" t="s">
        <v>16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470"/>
        <v>9</v>
      </c>
      <c r="J4038" s="3">
        <f t="shared" si="471"/>
        <v>8</v>
      </c>
      <c r="K4038" s="3">
        <f t="shared" si="472"/>
        <v>1</v>
      </c>
      <c r="L4038" s="3" t="str">
        <f t="shared" si="469"/>
        <v>OPORTUNO</v>
      </c>
      <c r="M4038">
        <v>7</v>
      </c>
      <c r="N4038">
        <v>100</v>
      </c>
      <c r="O4038">
        <v>23.134328358208951</v>
      </c>
      <c r="P4038"/>
    </row>
    <row r="4039" spans="1:16" hidden="1" x14ac:dyDescent="0.25">
      <c r="A4039" s="11">
        <v>46128</v>
      </c>
      <c r="B4039" t="s">
        <v>60</v>
      </c>
      <c r="C4039" t="s">
        <v>23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470"/>
        <v>11</v>
      </c>
      <c r="J4039" s="3">
        <f t="shared" si="471"/>
        <v>19</v>
      </c>
      <c r="K4039" s="3">
        <f t="shared" si="472"/>
        <v>-8</v>
      </c>
      <c r="L4039" s="3" t="str">
        <f t="shared" si="469"/>
        <v>CRÍTICO</v>
      </c>
      <c r="M4039">
        <v>11</v>
      </c>
      <c r="N4039">
        <v>96.3</v>
      </c>
      <c r="O4039">
        <v>32.219570405727922</v>
      </c>
      <c r="P4039"/>
    </row>
    <row r="4040" spans="1:16" hidden="1" x14ac:dyDescent="0.25">
      <c r="A4040" s="11">
        <v>46128</v>
      </c>
      <c r="B4040" t="s">
        <v>34</v>
      </c>
      <c r="C4040" t="s">
        <v>32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470"/>
        <v>26</v>
      </c>
      <c r="J4040" s="3">
        <f t="shared" si="471"/>
        <v>29</v>
      </c>
      <c r="K4040" s="3">
        <f t="shared" si="472"/>
        <v>-3</v>
      </c>
      <c r="L4040" s="3" t="str">
        <f t="shared" si="469"/>
        <v>ATENÇÃO</v>
      </c>
      <c r="M4040">
        <v>26</v>
      </c>
      <c r="N4040">
        <v>93.75</v>
      </c>
      <c r="O4040">
        <v>26.819923371647509</v>
      </c>
      <c r="P4040"/>
    </row>
    <row r="4041" spans="1:16" hidden="1" x14ac:dyDescent="0.25">
      <c r="A4041" s="11">
        <v>46128</v>
      </c>
      <c r="B4041" t="s">
        <v>51</v>
      </c>
      <c r="C4041" t="s">
        <v>48</v>
      </c>
      <c r="D4041">
        <v>35</v>
      </c>
      <c r="E4041">
        <v>25</v>
      </c>
      <c r="F4041">
        <v>15.05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 t="shared" si="469"/>
        <v>OPORTUNO</v>
      </c>
      <c r="M4041">
        <v>29</v>
      </c>
      <c r="N4041">
        <v>97.86</v>
      </c>
      <c r="O4041">
        <v>31.018518518518519</v>
      </c>
      <c r="P4041"/>
    </row>
    <row r="4042" spans="1:16" hidden="1" x14ac:dyDescent="0.25">
      <c r="A4042" s="11">
        <v>46128</v>
      </c>
      <c r="B4042" t="s">
        <v>61</v>
      </c>
      <c r="C4042" t="s">
        <v>23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19</v>
      </c>
      <c r="K4042" s="3">
        <f>I4042-J4042</f>
        <v>3</v>
      </c>
      <c r="L4042" s="3" t="str">
        <f t="shared" si="469"/>
        <v>OPORTUNO</v>
      </c>
      <c r="M4042">
        <v>23</v>
      </c>
      <c r="N4042">
        <v>100</v>
      </c>
      <c r="O4042">
        <v>36.594202898550733</v>
      </c>
      <c r="P4042"/>
    </row>
    <row r="4043" spans="1:16" hidden="1" x14ac:dyDescent="0.25">
      <c r="A4043" s="11">
        <v>46128</v>
      </c>
      <c r="B4043" t="s">
        <v>35</v>
      </c>
      <c r="C4043" t="s">
        <v>32</v>
      </c>
      <c r="D4043">
        <v>8</v>
      </c>
      <c r="E4043">
        <v>8</v>
      </c>
      <c r="F4043">
        <v>35.44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 t="shared" si="469"/>
        <v>OPORTUNO</v>
      </c>
      <c r="M4043">
        <v>12</v>
      </c>
      <c r="N4043">
        <v>100</v>
      </c>
      <c r="O4043">
        <v>38.653846153846153</v>
      </c>
      <c r="P4043"/>
    </row>
    <row r="4044" spans="1:16" hidden="1" x14ac:dyDescent="0.25">
      <c r="A4044" s="11">
        <v>46128</v>
      </c>
      <c r="B4044" t="s">
        <v>18</v>
      </c>
      <c r="C4044" t="s">
        <v>16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 t="shared" si="469"/>
        <v>ATENÇÃO</v>
      </c>
      <c r="M4044">
        <v>3</v>
      </c>
      <c r="N4044">
        <v>100</v>
      </c>
      <c r="O4044">
        <v>27.368421052631579</v>
      </c>
      <c r="P4044"/>
    </row>
    <row r="4045" spans="1:16" hidden="1" x14ac:dyDescent="0.25">
      <c r="A4045" s="11">
        <v>46128</v>
      </c>
      <c r="B4045" t="s">
        <v>52</v>
      </c>
      <c r="C4045" t="s">
        <v>48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23</v>
      </c>
      <c r="K4045" s="3">
        <f>I4045-J4045</f>
        <v>2</v>
      </c>
      <c r="L4045" s="3" t="str">
        <f t="shared" si="469"/>
        <v>OPORTUNO</v>
      </c>
      <c r="M4045">
        <v>24</v>
      </c>
      <c r="N4045">
        <v>97.83</v>
      </c>
      <c r="O4045">
        <v>28.35164835164835</v>
      </c>
      <c r="P4045"/>
    </row>
    <row r="4046" spans="1:16" hidden="1" x14ac:dyDescent="0.25">
      <c r="A4046" s="11">
        <v>46128</v>
      </c>
      <c r="B4046" t="s">
        <v>36</v>
      </c>
      <c r="C4046" t="s">
        <v>32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29</v>
      </c>
      <c r="K4046" s="3">
        <f>I4046-J4046</f>
        <v>-10</v>
      </c>
      <c r="L4046" s="3" t="str">
        <f t="shared" si="469"/>
        <v>CRÍTICO</v>
      </c>
      <c r="M4046">
        <v>22</v>
      </c>
      <c r="N4046">
        <v>99.26</v>
      </c>
      <c r="O4046">
        <v>29.766536964980549</v>
      </c>
      <c r="P4046"/>
    </row>
    <row r="4047" spans="1:16" hidden="1" x14ac:dyDescent="0.25">
      <c r="A4047" s="11">
        <v>46128</v>
      </c>
      <c r="B4047" t="s">
        <v>53</v>
      </c>
      <c r="C4047" t="s">
        <v>48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23</v>
      </c>
      <c r="K4047" s="3">
        <f>I4047-J4047</f>
        <v>3</v>
      </c>
      <c r="L4047" s="3" t="str">
        <f t="shared" si="469"/>
        <v>OPORTUNO</v>
      </c>
      <c r="M4047">
        <v>22</v>
      </c>
      <c r="N4047">
        <v>99.19</v>
      </c>
      <c r="O4047">
        <v>29.462365591397852</v>
      </c>
      <c r="P4047"/>
    </row>
    <row r="4048" spans="1:16" hidden="1" x14ac:dyDescent="0.25">
      <c r="A4048" s="5">
        <v>46148</v>
      </c>
      <c r="B4048" s="6" t="s">
        <v>52</v>
      </c>
      <c r="C4048" s="3" t="s">
        <v>48</v>
      </c>
      <c r="D4048" s="3">
        <v>15</v>
      </c>
      <c r="E4048" s="3">
        <v>14</v>
      </c>
      <c r="F4048" s="3">
        <v>17.309999999999999</v>
      </c>
      <c r="G4048" s="3">
        <v>9</v>
      </c>
      <c r="H4048" s="3">
        <v>0</v>
      </c>
      <c r="I4048" s="3">
        <f>E4048+G4048+H4048</f>
        <v>23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28</v>
      </c>
      <c r="K4048" s="3">
        <f>I4048-J4048</f>
        <v>-5</v>
      </c>
      <c r="L4048" s="3" t="str">
        <f>IF(K4048&lt;-5,"CRÍTICO",IF(K4048&lt;0,"ATENÇÃO",IF(K4048&lt;=5,"BOM","EXCELENTE")))</f>
        <v>ATENÇÃO</v>
      </c>
      <c r="M4048" s="3">
        <v>22</v>
      </c>
      <c r="N4048" s="3">
        <v>99.01</v>
      </c>
      <c r="O4048" s="3">
        <v>17.766497461928939</v>
      </c>
    </row>
    <row r="4049" spans="1:15" customFormat="1" hidden="1" x14ac:dyDescent="0.25">
      <c r="A4049" s="11">
        <v>46128</v>
      </c>
      <c r="B4049" t="s">
        <v>54</v>
      </c>
      <c r="C4049" t="s">
        <v>48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 t="shared" ref="L4049:L4091" si="473">IF(K4049&lt;-5,"CRÍTICO",IF(K4049&lt;0,"ATENÇÃO",IF(K4049&lt;=5,"OPORTUNO","MUITO BOM")))</f>
        <v>OPORTUNO</v>
      </c>
      <c r="M4049">
        <v>0</v>
      </c>
      <c r="N4049">
        <v>100</v>
      </c>
      <c r="O4049">
        <v>28.921568627450981</v>
      </c>
    </row>
    <row r="4050" spans="1:15" customFormat="1" hidden="1" x14ac:dyDescent="0.25">
      <c r="A4050" s="11">
        <v>46128</v>
      </c>
      <c r="B4050" t="s">
        <v>37</v>
      </c>
      <c r="C4050" t="s">
        <v>32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29</v>
      </c>
      <c r="K4050" s="3">
        <f>I4050-J4050</f>
        <v>5</v>
      </c>
      <c r="L4050" s="3" t="str">
        <f t="shared" si="473"/>
        <v>OPORTUNO</v>
      </c>
      <c r="M4050">
        <v>31</v>
      </c>
      <c r="N4050">
        <v>99.57</v>
      </c>
      <c r="O4050">
        <v>30.635838150289018</v>
      </c>
    </row>
    <row r="4051" spans="1:15" customFormat="1" hidden="1" x14ac:dyDescent="0.25">
      <c r="A4051" s="11">
        <v>46128</v>
      </c>
      <c r="B4051" t="s">
        <v>38</v>
      </c>
      <c r="C4051" t="s">
        <v>32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 t="shared" si="473"/>
        <v>OPORTUNO</v>
      </c>
      <c r="M4051">
        <v>0</v>
      </c>
      <c r="N4051">
        <v>95.65</v>
      </c>
      <c r="O4051">
        <v>32.432432432432442</v>
      </c>
    </row>
    <row r="4052" spans="1:15" customFormat="1" hidden="1" x14ac:dyDescent="0.25">
      <c r="A4052" s="11">
        <v>46128</v>
      </c>
      <c r="B4052" t="s">
        <v>55</v>
      </c>
      <c r="C4052" t="s">
        <v>48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23</v>
      </c>
      <c r="K4052" s="3">
        <f>I4052-J4052</f>
        <v>-13</v>
      </c>
      <c r="L4052" s="3" t="str">
        <f t="shared" si="473"/>
        <v>CRÍTICO</v>
      </c>
      <c r="M4052">
        <v>9</v>
      </c>
      <c r="N4052">
        <v>98.81</v>
      </c>
      <c r="O4052">
        <v>26.256983240223459</v>
      </c>
    </row>
    <row r="4053" spans="1:15" customFormat="1" hidden="1" x14ac:dyDescent="0.25">
      <c r="A4053" s="11">
        <v>46128</v>
      </c>
      <c r="B4053" t="s">
        <v>39</v>
      </c>
      <c r="C4053" t="s">
        <v>32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 t="shared" si="473"/>
        <v>OPORTUNO</v>
      </c>
      <c r="M4053">
        <v>0</v>
      </c>
      <c r="N4053">
        <v>0</v>
      </c>
      <c r="O4053">
        <v>0</v>
      </c>
    </row>
    <row r="4054" spans="1:15" customFormat="1" hidden="1" x14ac:dyDescent="0.25">
      <c r="A4054" s="11">
        <v>46128</v>
      </c>
      <c r="B4054" t="s">
        <v>25</v>
      </c>
      <c r="C4054" t="s">
        <v>26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17</v>
      </c>
      <c r="K4054" s="3">
        <f>I4054-J4054</f>
        <v>2</v>
      </c>
      <c r="L4054" s="3" t="str">
        <f t="shared" si="473"/>
        <v>OPORTUNO</v>
      </c>
      <c r="M4054">
        <v>20</v>
      </c>
      <c r="N4054">
        <v>97.17</v>
      </c>
      <c r="O4054">
        <v>28.81844380403458</v>
      </c>
    </row>
    <row r="4055" spans="1:15" customFormat="1" hidden="1" x14ac:dyDescent="0.25">
      <c r="A4055" s="11">
        <v>46128</v>
      </c>
      <c r="B4055" t="s">
        <v>40</v>
      </c>
      <c r="C4055" t="s">
        <v>32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 t="shared" si="473"/>
        <v>OPORTUNO</v>
      </c>
      <c r="M4055">
        <v>22</v>
      </c>
      <c r="N4055">
        <v>96.81</v>
      </c>
      <c r="O4055">
        <v>48.018648018648022</v>
      </c>
    </row>
    <row r="4056" spans="1:15" customFormat="1" hidden="1" x14ac:dyDescent="0.25">
      <c r="A4056" s="11">
        <v>46128</v>
      </c>
      <c r="B4056" t="s">
        <v>27</v>
      </c>
      <c r="C4056" t="s">
        <v>26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17</v>
      </c>
      <c r="K4056" s="3">
        <f>I4056-J4056</f>
        <v>-4</v>
      </c>
      <c r="L4056" s="3" t="str">
        <f t="shared" si="473"/>
        <v>ATENÇÃO</v>
      </c>
      <c r="M4056">
        <v>11</v>
      </c>
      <c r="N4056">
        <v>98.15</v>
      </c>
      <c r="O4056">
        <v>27.1551724137931</v>
      </c>
    </row>
    <row r="4057" spans="1:15" customFormat="1" hidden="1" x14ac:dyDescent="0.25">
      <c r="A4057" s="11">
        <v>46128</v>
      </c>
      <c r="B4057" t="s">
        <v>41</v>
      </c>
      <c r="C4057" t="s">
        <v>32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-10</v>
      </c>
      <c r="L4057" s="3" t="str">
        <f t="shared" si="473"/>
        <v>CRÍTICO</v>
      </c>
      <c r="M4057">
        <v>19</v>
      </c>
      <c r="N4057">
        <v>99.15</v>
      </c>
      <c r="O4057">
        <v>27.586206896551719</v>
      </c>
    </row>
    <row r="4058" spans="1:15" customFormat="1" hidden="1" x14ac:dyDescent="0.25">
      <c r="A4058" s="11">
        <v>46128</v>
      </c>
      <c r="B4058" t="s">
        <v>56</v>
      </c>
      <c r="C4058" t="s">
        <v>48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23</v>
      </c>
      <c r="K4058" s="3">
        <f>I4058-J4058</f>
        <v>6</v>
      </c>
      <c r="L4058" s="3" t="str">
        <f t="shared" si="473"/>
        <v>MUITO BOM</v>
      </c>
      <c r="M4058">
        <v>17</v>
      </c>
      <c r="N4058">
        <v>99.17</v>
      </c>
      <c r="O4058">
        <v>29.75206611570248</v>
      </c>
    </row>
    <row r="4059" spans="1:15" customFormat="1" hidden="1" x14ac:dyDescent="0.25">
      <c r="A4059" s="11">
        <v>46128</v>
      </c>
      <c r="B4059" t="s">
        <v>57</v>
      </c>
      <c r="C4059" t="s">
        <v>48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 t="shared" si="473"/>
        <v>OPORTUNO</v>
      </c>
      <c r="M4059">
        <v>0</v>
      </c>
      <c r="N4059">
        <v>98.73</v>
      </c>
      <c r="O4059">
        <v>28.961748633879779</v>
      </c>
    </row>
    <row r="4060" spans="1:15" customFormat="1" hidden="1" x14ac:dyDescent="0.25">
      <c r="A4060" s="11">
        <v>46128</v>
      </c>
      <c r="B4060" t="s">
        <v>42</v>
      </c>
      <c r="C4060" t="s">
        <v>32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ref="I4060:I4075" si="474">E4060+G4060+H4060</f>
        <v>14</v>
      </c>
      <c r="J4060" s="3">
        <f t="shared" ref="J4060:J4075" si="475"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29</v>
      </c>
      <c r="K4060" s="3">
        <f t="shared" ref="K4060:K4075" si="476">I4060-J4060</f>
        <v>-15</v>
      </c>
      <c r="L4060" s="3" t="str">
        <f t="shared" si="473"/>
        <v>CRÍTICO</v>
      </c>
      <c r="M4060">
        <v>11</v>
      </c>
      <c r="N4060">
        <v>88.68</v>
      </c>
      <c r="O4060">
        <v>22.03389830508474</v>
      </c>
    </row>
    <row r="4061" spans="1:15" customFormat="1" hidden="1" x14ac:dyDescent="0.25">
      <c r="A4061" s="11">
        <v>46128</v>
      </c>
      <c r="B4061" t="s">
        <v>62</v>
      </c>
      <c r="C4061" t="s">
        <v>23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474"/>
        <v>18</v>
      </c>
      <c r="J4061" s="3">
        <f t="shared" si="475"/>
        <v>19</v>
      </c>
      <c r="K4061" s="3">
        <f t="shared" si="476"/>
        <v>-1</v>
      </c>
      <c r="L4061" s="3" t="str">
        <f t="shared" si="473"/>
        <v>ATENÇÃO</v>
      </c>
      <c r="M4061">
        <v>20</v>
      </c>
      <c r="N4061">
        <v>97.37</v>
      </c>
      <c r="O4061">
        <v>25.76530612244898</v>
      </c>
    </row>
    <row r="4062" spans="1:15" customFormat="1" hidden="1" x14ac:dyDescent="0.25">
      <c r="A4062" s="11">
        <v>46128</v>
      </c>
      <c r="B4062" t="s">
        <v>19</v>
      </c>
      <c r="C4062" t="s">
        <v>16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474"/>
        <v>29</v>
      </c>
      <c r="J4062" s="3">
        <f t="shared" si="475"/>
        <v>8</v>
      </c>
      <c r="K4062" s="3">
        <f t="shared" si="476"/>
        <v>21</v>
      </c>
      <c r="L4062" s="3" t="str">
        <f t="shared" si="473"/>
        <v>MUITO BOM</v>
      </c>
      <c r="M4062">
        <v>4</v>
      </c>
      <c r="N4062">
        <v>100</v>
      </c>
      <c r="O4062">
        <v>25</v>
      </c>
    </row>
    <row r="4063" spans="1:15" customFormat="1" hidden="1" x14ac:dyDescent="0.25">
      <c r="A4063" s="11">
        <v>46128</v>
      </c>
      <c r="B4063" t="s">
        <v>43</v>
      </c>
      <c r="C4063" t="s">
        <v>32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474"/>
        <v>24</v>
      </c>
      <c r="J4063" s="3">
        <f t="shared" si="475"/>
        <v>29</v>
      </c>
      <c r="K4063" s="3">
        <f t="shared" si="476"/>
        <v>-5</v>
      </c>
      <c r="L4063" s="3" t="str">
        <f t="shared" si="473"/>
        <v>ATENÇÃO</v>
      </c>
      <c r="M4063">
        <v>29</v>
      </c>
      <c r="N4063">
        <v>100</v>
      </c>
      <c r="O4063">
        <v>23.9870340356564</v>
      </c>
    </row>
    <row r="4064" spans="1:15" customFormat="1" hidden="1" x14ac:dyDescent="0.25">
      <c r="A4064" s="11">
        <v>46128</v>
      </c>
      <c r="B4064" t="s">
        <v>44</v>
      </c>
      <c r="C4064" t="s">
        <v>32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474"/>
        <v>34</v>
      </c>
      <c r="J4064" s="3">
        <f t="shared" si="475"/>
        <v>29</v>
      </c>
      <c r="K4064" s="3">
        <f t="shared" si="476"/>
        <v>5</v>
      </c>
      <c r="L4064" s="3" t="str">
        <f t="shared" si="473"/>
        <v>OPORTUNO</v>
      </c>
      <c r="M4064">
        <v>34</v>
      </c>
      <c r="N4064">
        <v>95.49</v>
      </c>
      <c r="O4064">
        <v>28.370221327967808</v>
      </c>
    </row>
    <row r="4065" spans="1:15" customFormat="1" hidden="1" x14ac:dyDescent="0.25">
      <c r="A4065" s="11">
        <v>46128</v>
      </c>
      <c r="B4065" t="s">
        <v>20</v>
      </c>
      <c r="C4065" t="s">
        <v>16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474"/>
        <v>16</v>
      </c>
      <c r="J4065" s="3">
        <f t="shared" si="475"/>
        <v>8</v>
      </c>
      <c r="K4065" s="3">
        <f t="shared" si="476"/>
        <v>8</v>
      </c>
      <c r="L4065" s="3" t="str">
        <f t="shared" si="473"/>
        <v>MUITO BOM</v>
      </c>
      <c r="M4065">
        <v>11</v>
      </c>
      <c r="N4065">
        <v>100</v>
      </c>
      <c r="O4065">
        <v>23.77622377622378</v>
      </c>
    </row>
    <row r="4066" spans="1:15" customFormat="1" hidden="1" x14ac:dyDescent="0.25">
      <c r="A4066" s="11">
        <v>46128</v>
      </c>
      <c r="B4066" t="s">
        <v>28</v>
      </c>
      <c r="C4066" t="s">
        <v>26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474"/>
        <v>25</v>
      </c>
      <c r="J4066" s="3">
        <f t="shared" si="475"/>
        <v>17</v>
      </c>
      <c r="K4066" s="3">
        <f t="shared" si="476"/>
        <v>8</v>
      </c>
      <c r="L4066" s="3" t="str">
        <f t="shared" si="473"/>
        <v>MUITO BOM</v>
      </c>
      <c r="M4066">
        <v>15</v>
      </c>
      <c r="N4066">
        <v>96.15</v>
      </c>
      <c r="O4066">
        <v>24.045801526717561</v>
      </c>
    </row>
    <row r="4067" spans="1:15" customFormat="1" hidden="1" x14ac:dyDescent="0.25">
      <c r="A4067" s="11">
        <v>46128</v>
      </c>
      <c r="B4067" t="s">
        <v>58</v>
      </c>
      <c r="C4067" t="s">
        <v>48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474"/>
        <v>19</v>
      </c>
      <c r="J4067" s="3">
        <f t="shared" si="475"/>
        <v>23</v>
      </c>
      <c r="K4067" s="3">
        <f t="shared" si="476"/>
        <v>-4</v>
      </c>
      <c r="L4067" s="3" t="str">
        <f t="shared" si="473"/>
        <v>ATENÇÃO</v>
      </c>
      <c r="M4067">
        <v>16</v>
      </c>
      <c r="N4067">
        <v>99.02</v>
      </c>
      <c r="O4067">
        <v>34.797297297297298</v>
      </c>
    </row>
    <row r="4068" spans="1:15" customFormat="1" hidden="1" x14ac:dyDescent="0.25">
      <c r="A4068" s="11">
        <v>46128</v>
      </c>
      <c r="B4068" t="s">
        <v>29</v>
      </c>
      <c r="C4068" t="s">
        <v>26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474"/>
        <v>11</v>
      </c>
      <c r="J4068" s="3">
        <f t="shared" si="475"/>
        <v>17</v>
      </c>
      <c r="K4068" s="3">
        <f t="shared" si="476"/>
        <v>-6</v>
      </c>
      <c r="L4068" s="3" t="str">
        <f t="shared" si="473"/>
        <v>CRÍTICO</v>
      </c>
      <c r="M4068">
        <v>13</v>
      </c>
      <c r="N4068">
        <v>98.84</v>
      </c>
      <c r="O4068">
        <v>31.868131868131869</v>
      </c>
    </row>
    <row r="4069" spans="1:15" customFormat="1" hidden="1" x14ac:dyDescent="0.25">
      <c r="A4069" s="11">
        <v>46128</v>
      </c>
      <c r="B4069" t="s">
        <v>30</v>
      </c>
      <c r="C4069" t="s">
        <v>26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474"/>
        <v>14</v>
      </c>
      <c r="J4069" s="3">
        <f t="shared" si="475"/>
        <v>17</v>
      </c>
      <c r="K4069" s="3">
        <f t="shared" si="476"/>
        <v>-3</v>
      </c>
      <c r="L4069" s="3" t="str">
        <f t="shared" si="473"/>
        <v>ATENÇÃO</v>
      </c>
      <c r="M4069">
        <v>13</v>
      </c>
      <c r="N4069">
        <v>100</v>
      </c>
      <c r="O4069">
        <v>34.666666666666671</v>
      </c>
    </row>
    <row r="4070" spans="1:15" customFormat="1" hidden="1" x14ac:dyDescent="0.25">
      <c r="A4070" s="11">
        <v>46128</v>
      </c>
      <c r="B4070" t="s">
        <v>21</v>
      </c>
      <c r="C4070" t="s">
        <v>16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474"/>
        <v>13</v>
      </c>
      <c r="J4070" s="3">
        <f t="shared" si="475"/>
        <v>8</v>
      </c>
      <c r="K4070" s="3">
        <f t="shared" si="476"/>
        <v>5</v>
      </c>
      <c r="L4070" s="3" t="str">
        <f t="shared" si="473"/>
        <v>OPORTUNO</v>
      </c>
      <c r="M4070">
        <v>9</v>
      </c>
      <c r="N4070">
        <v>94.12</v>
      </c>
      <c r="O4070">
        <v>32.799999999999997</v>
      </c>
    </row>
    <row r="4071" spans="1:15" customFormat="1" hidden="1" x14ac:dyDescent="0.25">
      <c r="A4071" s="11">
        <v>46128</v>
      </c>
      <c r="B4071" t="s">
        <v>63</v>
      </c>
      <c r="C4071" t="s">
        <v>23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474"/>
        <v>36</v>
      </c>
      <c r="J4071" s="3">
        <f t="shared" si="475"/>
        <v>19</v>
      </c>
      <c r="K4071" s="3">
        <f t="shared" si="476"/>
        <v>17</v>
      </c>
      <c r="L4071" s="3" t="str">
        <f t="shared" si="473"/>
        <v>MUITO BOM</v>
      </c>
      <c r="M4071">
        <v>32</v>
      </c>
      <c r="N4071">
        <v>98.32</v>
      </c>
      <c r="O4071">
        <v>26.858513189448441</v>
      </c>
    </row>
    <row r="4072" spans="1:15" customFormat="1" hidden="1" x14ac:dyDescent="0.25">
      <c r="A4072" s="11">
        <v>46128</v>
      </c>
      <c r="B4072" t="s">
        <v>45</v>
      </c>
      <c r="C4072" t="s">
        <v>32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474"/>
        <v>34</v>
      </c>
      <c r="J4072" s="3">
        <f t="shared" si="475"/>
        <v>29</v>
      </c>
      <c r="K4072" s="3">
        <f t="shared" si="476"/>
        <v>5</v>
      </c>
      <c r="L4072" s="3" t="str">
        <f t="shared" si="473"/>
        <v>OPORTUNO</v>
      </c>
      <c r="M4072">
        <v>27</v>
      </c>
      <c r="N4072">
        <v>100</v>
      </c>
      <c r="O4072">
        <v>31.135531135531139</v>
      </c>
    </row>
    <row r="4073" spans="1:15" customFormat="1" hidden="1" x14ac:dyDescent="0.25">
      <c r="A4073" s="11">
        <v>46128</v>
      </c>
      <c r="B4073" t="s">
        <v>64</v>
      </c>
      <c r="C4073" t="s">
        <v>23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474"/>
        <v>18</v>
      </c>
      <c r="J4073" s="3">
        <f t="shared" si="475"/>
        <v>19</v>
      </c>
      <c r="K4073" s="3">
        <f t="shared" si="476"/>
        <v>-1</v>
      </c>
      <c r="L4073" s="3" t="str">
        <f t="shared" si="473"/>
        <v>ATENÇÃO</v>
      </c>
      <c r="M4073">
        <v>14</v>
      </c>
      <c r="N4073">
        <v>100</v>
      </c>
      <c r="O4073">
        <v>26.36986301369863</v>
      </c>
    </row>
    <row r="4074" spans="1:15" customFormat="1" hidden="1" x14ac:dyDescent="0.25">
      <c r="A4074" s="11">
        <v>46128</v>
      </c>
      <c r="B4074" t="s">
        <v>46</v>
      </c>
      <c r="C4074" t="s">
        <v>32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474"/>
        <v>28</v>
      </c>
      <c r="J4074" s="3">
        <f t="shared" si="475"/>
        <v>29</v>
      </c>
      <c r="K4074" s="3">
        <f t="shared" si="476"/>
        <v>-1</v>
      </c>
      <c r="L4074" s="3" t="str">
        <f t="shared" si="473"/>
        <v>ATENÇÃO</v>
      </c>
      <c r="M4074">
        <v>25</v>
      </c>
      <c r="N4074">
        <v>99.21</v>
      </c>
      <c r="O4074">
        <v>25.188916876574311</v>
      </c>
    </row>
    <row r="4075" spans="1:15" customFormat="1" hidden="1" x14ac:dyDescent="0.25">
      <c r="A4075" s="11">
        <v>46129</v>
      </c>
      <c r="B4075" t="s">
        <v>47</v>
      </c>
      <c r="C4075" t="s">
        <v>48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474"/>
        <v>21</v>
      </c>
      <c r="J4075" s="3">
        <f t="shared" si="475"/>
        <v>22</v>
      </c>
      <c r="K4075" s="3">
        <f t="shared" si="476"/>
        <v>-1</v>
      </c>
      <c r="L4075" s="3" t="str">
        <f t="shared" si="473"/>
        <v>ATENÇÃO</v>
      </c>
      <c r="M4075">
        <v>4</v>
      </c>
      <c r="N4075">
        <v>100</v>
      </c>
      <c r="O4075">
        <v>32.764505119453922</v>
      </c>
    </row>
    <row r="4076" spans="1:15" customFormat="1" hidden="1" x14ac:dyDescent="0.25">
      <c r="A4076" s="11">
        <v>46129</v>
      </c>
      <c r="B4076" t="s">
        <v>31</v>
      </c>
      <c r="C4076" t="s">
        <v>32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 t="shared" si="473"/>
        <v>OPORTUNO</v>
      </c>
      <c r="M4076">
        <v>30</v>
      </c>
      <c r="N4076">
        <v>98.66</v>
      </c>
      <c r="O4076">
        <v>35.416666666666671</v>
      </c>
    </row>
    <row r="4077" spans="1:15" customFormat="1" hidden="1" x14ac:dyDescent="0.25">
      <c r="A4077" s="11">
        <v>46129</v>
      </c>
      <c r="B4077" t="s">
        <v>59</v>
      </c>
      <c r="C4077" t="s">
        <v>23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18</v>
      </c>
      <c r="K4077" s="3">
        <f>I4077-J4077</f>
        <v>4</v>
      </c>
      <c r="L4077" s="3" t="str">
        <f t="shared" si="473"/>
        <v>OPORTUNO</v>
      </c>
      <c r="M4077">
        <v>21</v>
      </c>
      <c r="N4077">
        <v>99.32</v>
      </c>
      <c r="O4077">
        <v>30.648330058939099</v>
      </c>
    </row>
    <row r="4078" spans="1:15" customFormat="1" hidden="1" x14ac:dyDescent="0.25">
      <c r="A4078" s="11">
        <v>46129</v>
      </c>
      <c r="B4078" t="s">
        <v>33</v>
      </c>
      <c r="C4078" t="s">
        <v>32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27</v>
      </c>
      <c r="K4078" s="3">
        <f>I4078-J4078</f>
        <v>-4</v>
      </c>
      <c r="L4078" s="3" t="str">
        <f t="shared" si="473"/>
        <v>ATENÇÃO</v>
      </c>
      <c r="M4078">
        <v>20</v>
      </c>
      <c r="N4078">
        <v>100</v>
      </c>
      <c r="O4078">
        <v>27.803738317757009</v>
      </c>
    </row>
    <row r="4079" spans="1:15" customFormat="1" hidden="1" x14ac:dyDescent="0.25">
      <c r="A4079" s="11">
        <v>46129</v>
      </c>
      <c r="B4079" t="s">
        <v>15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 t="shared" si="473"/>
        <v>OPORTUNO</v>
      </c>
      <c r="M4079">
        <v>0</v>
      </c>
      <c r="N4079">
        <v>96.74</v>
      </c>
      <c r="O4079">
        <v>28.67647058823529</v>
      </c>
    </row>
    <row r="4080" spans="1:15" customFormat="1" hidden="1" x14ac:dyDescent="0.25">
      <c r="A4080" s="11">
        <v>46129</v>
      </c>
      <c r="B4080" t="s">
        <v>49</v>
      </c>
      <c r="C4080" t="s">
        <v>48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10</v>
      </c>
      <c r="L4080" s="3" t="str">
        <f t="shared" si="473"/>
        <v>MUITO BOM</v>
      </c>
      <c r="M4080">
        <v>31</v>
      </c>
      <c r="N4080">
        <v>98.82</v>
      </c>
      <c r="O4080">
        <v>30.741410488245929</v>
      </c>
    </row>
    <row r="4081" spans="1:16" hidden="1" x14ac:dyDescent="0.25">
      <c r="A4081" s="11">
        <v>46129</v>
      </c>
      <c r="B4081" t="s">
        <v>50</v>
      </c>
      <c r="C4081" t="s">
        <v>48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22</v>
      </c>
      <c r="K4081" s="3">
        <f>I4081-J4081</f>
        <v>-6</v>
      </c>
      <c r="L4081" s="3" t="str">
        <f t="shared" si="473"/>
        <v>CRÍTICO</v>
      </c>
      <c r="M4081">
        <v>14</v>
      </c>
      <c r="N4081">
        <v>98.2</v>
      </c>
      <c r="O4081">
        <v>27.170868347338931</v>
      </c>
      <c r="P4081"/>
    </row>
    <row r="4082" spans="1:16" hidden="1" x14ac:dyDescent="0.25">
      <c r="A4082" s="11">
        <v>46129</v>
      </c>
      <c r="B4082" t="s">
        <v>17</v>
      </c>
      <c r="C4082" t="s">
        <v>16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8</v>
      </c>
      <c r="K4082" s="3">
        <f>I4082-J4082</f>
        <v>-2</v>
      </c>
      <c r="L4082" s="3" t="str">
        <f t="shared" si="473"/>
        <v>ATENÇÃO</v>
      </c>
      <c r="M4082">
        <v>6</v>
      </c>
      <c r="N4082">
        <v>100</v>
      </c>
      <c r="O4082">
        <v>23.134328358208951</v>
      </c>
      <c r="P4082"/>
    </row>
    <row r="4083" spans="1:16" hidden="1" x14ac:dyDescent="0.25">
      <c r="A4083" s="11">
        <v>46129</v>
      </c>
      <c r="B4083" t="s">
        <v>60</v>
      </c>
      <c r="C4083" t="s">
        <v>23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8</v>
      </c>
      <c r="L4083" s="3" t="str">
        <f t="shared" si="473"/>
        <v>MUITO BOM</v>
      </c>
      <c r="M4083">
        <v>29</v>
      </c>
      <c r="N4083">
        <v>96.3</v>
      </c>
      <c r="O4083">
        <v>32.219570405727922</v>
      </c>
      <c r="P4083"/>
    </row>
    <row r="4084" spans="1:16" hidden="1" x14ac:dyDescent="0.25">
      <c r="A4084" s="11">
        <v>46129</v>
      </c>
      <c r="B4084" t="s">
        <v>34</v>
      </c>
      <c r="C4084" t="s">
        <v>32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27</v>
      </c>
      <c r="K4084" s="3">
        <f>I4084-J4084</f>
        <v>0</v>
      </c>
      <c r="L4084" s="3" t="str">
        <f t="shared" si="473"/>
        <v>OPORTUNO</v>
      </c>
      <c r="M4084">
        <v>26</v>
      </c>
      <c r="N4084">
        <v>93.75</v>
      </c>
      <c r="O4084">
        <v>26.819923371647509</v>
      </c>
      <c r="P4084"/>
    </row>
    <row r="4085" spans="1:16" hidden="1" x14ac:dyDescent="0.25">
      <c r="A4085" s="11">
        <v>46129</v>
      </c>
      <c r="B4085" t="s">
        <v>51</v>
      </c>
      <c r="C4085" t="s">
        <v>48</v>
      </c>
      <c r="D4085">
        <v>30</v>
      </c>
      <c r="E4085">
        <v>25</v>
      </c>
      <c r="F4085">
        <v>20.39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 t="shared" si="473"/>
        <v>OPORTUNO</v>
      </c>
      <c r="M4085">
        <v>20</v>
      </c>
      <c r="N4085">
        <v>97.86</v>
      </c>
      <c r="O4085">
        <v>31.018518518518519</v>
      </c>
      <c r="P4085"/>
    </row>
    <row r="4086" spans="1:16" hidden="1" x14ac:dyDescent="0.25">
      <c r="A4086" s="11">
        <v>46129</v>
      </c>
      <c r="B4086" t="s">
        <v>61</v>
      </c>
      <c r="C4086" t="s">
        <v>23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18</v>
      </c>
      <c r="K4086" s="3">
        <f>I4086-J4086</f>
        <v>5</v>
      </c>
      <c r="L4086" s="3" t="str">
        <f t="shared" si="473"/>
        <v>OPORTUNO</v>
      </c>
      <c r="M4086">
        <v>15</v>
      </c>
      <c r="N4086">
        <v>100</v>
      </c>
      <c r="O4086">
        <v>36.594202898550733</v>
      </c>
      <c r="P4086"/>
    </row>
    <row r="4087" spans="1:16" hidden="1" x14ac:dyDescent="0.25">
      <c r="A4087" s="11">
        <v>46129</v>
      </c>
      <c r="B4087" t="s">
        <v>35</v>
      </c>
      <c r="C4087" t="s">
        <v>32</v>
      </c>
      <c r="D4087">
        <v>28</v>
      </c>
      <c r="E4087">
        <v>27</v>
      </c>
      <c r="F4087">
        <v>20.11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 t="shared" si="473"/>
        <v>OPORTUNO</v>
      </c>
      <c r="M4087">
        <v>28</v>
      </c>
      <c r="N4087">
        <v>100</v>
      </c>
      <c r="O4087">
        <v>38.653846153846153</v>
      </c>
      <c r="P4087"/>
    </row>
    <row r="4088" spans="1:16" hidden="1" x14ac:dyDescent="0.25">
      <c r="A4088" s="11">
        <v>46129</v>
      </c>
      <c r="B4088" t="s">
        <v>18</v>
      </c>
      <c r="C4088" t="s">
        <v>16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8</v>
      </c>
      <c r="K4088" s="3">
        <f>I4088-J4088</f>
        <v>3</v>
      </c>
      <c r="L4088" s="3" t="str">
        <f t="shared" si="473"/>
        <v>OPORTUNO</v>
      </c>
      <c r="M4088">
        <v>7</v>
      </c>
      <c r="N4088">
        <v>100</v>
      </c>
      <c r="O4088">
        <v>27.368421052631579</v>
      </c>
      <c r="P4088"/>
    </row>
    <row r="4089" spans="1:16" hidden="1" x14ac:dyDescent="0.25">
      <c r="A4089" s="11">
        <v>46129</v>
      </c>
      <c r="B4089" t="s">
        <v>52</v>
      </c>
      <c r="C4089" t="s">
        <v>48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22</v>
      </c>
      <c r="K4089" s="3">
        <f>I4089-J4089</f>
        <v>3</v>
      </c>
      <c r="L4089" s="3" t="str">
        <f t="shared" si="473"/>
        <v>OPORTUNO</v>
      </c>
      <c r="M4089">
        <v>25</v>
      </c>
      <c r="N4089">
        <v>97.83</v>
      </c>
      <c r="O4089">
        <v>28.35164835164835</v>
      </c>
      <c r="P4089"/>
    </row>
    <row r="4090" spans="1:16" hidden="1" x14ac:dyDescent="0.25">
      <c r="A4090" s="11">
        <v>46129</v>
      </c>
      <c r="B4090" t="s">
        <v>36</v>
      </c>
      <c r="C4090" t="s">
        <v>32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27</v>
      </c>
      <c r="K4090" s="3">
        <f>I4090-J4090</f>
        <v>0</v>
      </c>
      <c r="L4090" s="3" t="str">
        <f t="shared" si="473"/>
        <v>OPORTUNO</v>
      </c>
      <c r="M4090">
        <v>30</v>
      </c>
      <c r="N4090">
        <v>99.26</v>
      </c>
      <c r="O4090">
        <v>29.766536964980549</v>
      </c>
      <c r="P4090"/>
    </row>
    <row r="4091" spans="1:16" hidden="1" x14ac:dyDescent="0.25">
      <c r="A4091" s="11">
        <v>46129</v>
      </c>
      <c r="B4091" t="s">
        <v>53</v>
      </c>
      <c r="C4091" t="s">
        <v>48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22</v>
      </c>
      <c r="K4091" s="3">
        <f>I4091-J4091</f>
        <v>6</v>
      </c>
      <c r="L4091" s="3" t="str">
        <f t="shared" si="473"/>
        <v>MUITO BOM</v>
      </c>
      <c r="M4091">
        <v>23</v>
      </c>
      <c r="N4091">
        <v>99.19</v>
      </c>
      <c r="O4091">
        <v>29.462365591397852</v>
      </c>
      <c r="P4091"/>
    </row>
    <row r="4092" spans="1:16" hidden="1" x14ac:dyDescent="0.25">
      <c r="A4092" s="11">
        <v>46168</v>
      </c>
      <c r="B4092" t="s">
        <v>52</v>
      </c>
      <c r="C4092" t="s">
        <v>48</v>
      </c>
      <c r="D4092" s="3">
        <v>21</v>
      </c>
      <c r="E4092" s="3">
        <v>21</v>
      </c>
      <c r="F4092" s="3">
        <v>13.22</v>
      </c>
      <c r="G4092" s="3">
        <v>1</v>
      </c>
      <c r="M4092" s="3">
        <v>17</v>
      </c>
      <c r="N4092" s="3">
        <v>99.01</v>
      </c>
      <c r="O4092" s="3">
        <v>19.54314720812183</v>
      </c>
    </row>
    <row r="4093" spans="1:16" hidden="1" x14ac:dyDescent="0.25">
      <c r="A4093" s="11">
        <v>46129</v>
      </c>
      <c r="B4093" t="s">
        <v>54</v>
      </c>
      <c r="C4093" t="s">
        <v>48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 t="shared" ref="L4093:L4124" si="477">IF(K4093&lt;-5,"CRÍTICO",IF(K4093&lt;0,"ATENÇÃO",IF(K4093&lt;=5,"OPORTUNO","MUITO BOM")))</f>
        <v>OPORTUNO</v>
      </c>
      <c r="M4093">
        <v>0</v>
      </c>
      <c r="N4093">
        <v>100</v>
      </c>
      <c r="O4093">
        <v>28.921568627450981</v>
      </c>
      <c r="P4093"/>
    </row>
    <row r="4094" spans="1:16" hidden="1" x14ac:dyDescent="0.25">
      <c r="A4094" s="11">
        <v>46129</v>
      </c>
      <c r="B4094" t="s">
        <v>37</v>
      </c>
      <c r="C4094" t="s">
        <v>32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27</v>
      </c>
      <c r="K4094" s="3">
        <f>I4094-J4094</f>
        <v>1</v>
      </c>
      <c r="L4094" s="3" t="str">
        <f t="shared" si="477"/>
        <v>OPORTUNO</v>
      </c>
      <c r="M4094">
        <v>31</v>
      </c>
      <c r="N4094">
        <v>99.57</v>
      </c>
      <c r="O4094">
        <v>30.635838150289018</v>
      </c>
      <c r="P4094"/>
    </row>
    <row r="4095" spans="1:16" hidden="1" x14ac:dyDescent="0.25">
      <c r="A4095" s="11">
        <v>46129</v>
      </c>
      <c r="B4095" t="s">
        <v>38</v>
      </c>
      <c r="C4095" t="s">
        <v>32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 t="shared" si="477"/>
        <v>OPORTUNO</v>
      </c>
      <c r="M4095">
        <v>0</v>
      </c>
      <c r="N4095">
        <v>95.65</v>
      </c>
      <c r="O4095">
        <v>32.432432432432442</v>
      </c>
      <c r="P4095"/>
    </row>
    <row r="4096" spans="1:16" hidden="1" x14ac:dyDescent="0.25">
      <c r="A4096" s="11">
        <v>46129</v>
      </c>
      <c r="B4096" t="s">
        <v>55</v>
      </c>
      <c r="C4096" t="s">
        <v>48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22</v>
      </c>
      <c r="K4096" s="3">
        <f>I4096-J4096</f>
        <v>-1</v>
      </c>
      <c r="L4096" s="3" t="str">
        <f t="shared" si="477"/>
        <v>ATENÇÃO</v>
      </c>
      <c r="M4096">
        <v>16</v>
      </c>
      <c r="N4096">
        <v>98.81</v>
      </c>
      <c r="O4096">
        <v>26.256983240223459</v>
      </c>
      <c r="P4096"/>
    </row>
    <row r="4097" spans="1:15" customFormat="1" hidden="1" x14ac:dyDescent="0.25">
      <c r="A4097" s="11">
        <v>46129</v>
      </c>
      <c r="B4097" t="s">
        <v>39</v>
      </c>
      <c r="C4097" t="s">
        <v>32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 t="shared" si="477"/>
        <v>OPORTUNO</v>
      </c>
      <c r="M4097">
        <v>0</v>
      </c>
      <c r="N4097">
        <v>0</v>
      </c>
      <c r="O4097">
        <v>0</v>
      </c>
    </row>
    <row r="4098" spans="1:15" customFormat="1" hidden="1" x14ac:dyDescent="0.25">
      <c r="A4098" s="11">
        <v>46129</v>
      </c>
      <c r="B4098" t="s">
        <v>25</v>
      </c>
      <c r="C4098" t="s">
        <v>26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16</v>
      </c>
      <c r="K4098" s="3">
        <f>I4098-J4098</f>
        <v>5</v>
      </c>
      <c r="L4098" s="3" t="str">
        <f t="shared" si="477"/>
        <v>OPORTUNO</v>
      </c>
      <c r="M4098">
        <v>21</v>
      </c>
      <c r="N4098">
        <v>97.17</v>
      </c>
      <c r="O4098">
        <v>28.81844380403458</v>
      </c>
    </row>
    <row r="4099" spans="1:15" customFormat="1" hidden="1" x14ac:dyDescent="0.25">
      <c r="A4099" s="11">
        <v>46129</v>
      </c>
      <c r="B4099" t="s">
        <v>40</v>
      </c>
      <c r="C4099" t="s">
        <v>32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 t="shared" si="477"/>
        <v>OPORTUNO</v>
      </c>
      <c r="M4099">
        <v>22</v>
      </c>
      <c r="N4099">
        <v>96.81</v>
      </c>
      <c r="O4099">
        <v>48.018648018648022</v>
      </c>
    </row>
    <row r="4100" spans="1:15" customFormat="1" hidden="1" x14ac:dyDescent="0.25">
      <c r="A4100" s="11">
        <v>46129</v>
      </c>
      <c r="B4100" t="s">
        <v>27</v>
      </c>
      <c r="C4100" t="s">
        <v>26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16</v>
      </c>
      <c r="K4100" s="3">
        <f>I4100-J4100</f>
        <v>-8</v>
      </c>
      <c r="L4100" s="3" t="str">
        <f t="shared" si="477"/>
        <v>CRÍTICO</v>
      </c>
      <c r="M4100">
        <v>6</v>
      </c>
      <c r="N4100">
        <v>98.15</v>
      </c>
      <c r="O4100">
        <v>27.1551724137931</v>
      </c>
    </row>
    <row r="4101" spans="1:15" customFormat="1" hidden="1" x14ac:dyDescent="0.25">
      <c r="A4101" s="11">
        <v>46129</v>
      </c>
      <c r="B4101" t="s">
        <v>41</v>
      </c>
      <c r="C4101" t="s">
        <v>32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27</v>
      </c>
      <c r="K4101" s="3">
        <f>I4101-J4101</f>
        <v>-5</v>
      </c>
      <c r="L4101" s="3" t="str">
        <f t="shared" si="477"/>
        <v>ATENÇÃO</v>
      </c>
      <c r="M4101">
        <v>23</v>
      </c>
      <c r="N4101">
        <v>99.15</v>
      </c>
      <c r="O4101">
        <v>27.586206896551719</v>
      </c>
    </row>
    <row r="4102" spans="1:15" customFormat="1" hidden="1" x14ac:dyDescent="0.25">
      <c r="A4102" s="11">
        <v>46129</v>
      </c>
      <c r="B4102" t="s">
        <v>56</v>
      </c>
      <c r="C4102" t="s">
        <v>48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22</v>
      </c>
      <c r="K4102" s="3">
        <f>I4102-J4102</f>
        <v>5</v>
      </c>
      <c r="L4102" s="3" t="str">
        <f t="shared" si="477"/>
        <v>OPORTUNO</v>
      </c>
      <c r="M4102">
        <v>18</v>
      </c>
      <c r="N4102">
        <v>99.17</v>
      </c>
      <c r="O4102">
        <v>29.75206611570248</v>
      </c>
    </row>
    <row r="4103" spans="1:15" customFormat="1" hidden="1" x14ac:dyDescent="0.25">
      <c r="A4103" s="11">
        <v>46129</v>
      </c>
      <c r="B4103" t="s">
        <v>57</v>
      </c>
      <c r="C4103" t="s">
        <v>48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477"/>
        <v>OPORTUNO</v>
      </c>
      <c r="M4103">
        <v>0</v>
      </c>
      <c r="N4103">
        <v>98.73</v>
      </c>
      <c r="O4103">
        <v>28.961748633879779</v>
      </c>
    </row>
    <row r="4104" spans="1:15" customFormat="1" hidden="1" x14ac:dyDescent="0.25">
      <c r="A4104" s="11">
        <v>46129</v>
      </c>
      <c r="B4104" t="s">
        <v>42</v>
      </c>
      <c r="C4104" t="s">
        <v>32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 t="shared" si="477"/>
        <v>OPORTUNO</v>
      </c>
      <c r="M4104">
        <v>0</v>
      </c>
      <c r="N4104">
        <v>88.68</v>
      </c>
      <c r="O4104">
        <v>22.03389830508474</v>
      </c>
    </row>
    <row r="4105" spans="1:15" customFormat="1" hidden="1" x14ac:dyDescent="0.25">
      <c r="A4105" s="11">
        <v>46129</v>
      </c>
      <c r="B4105" t="s">
        <v>62</v>
      </c>
      <c r="C4105" t="s">
        <v>23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ref="I4105:I4117" si="478">E4105+G4105+H4105</f>
        <v>20</v>
      </c>
      <c r="J4105" s="3">
        <f t="shared" ref="J4105:J4117" si="479"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18</v>
      </c>
      <c r="K4105" s="3">
        <f t="shared" ref="K4105:K4117" si="480">I4105-J4105</f>
        <v>2</v>
      </c>
      <c r="L4105" s="3" t="str">
        <f t="shared" si="477"/>
        <v>OPORTUNO</v>
      </c>
      <c r="M4105">
        <v>19</v>
      </c>
      <c r="N4105">
        <v>97.37</v>
      </c>
      <c r="O4105">
        <v>25.76530612244898</v>
      </c>
    </row>
    <row r="4106" spans="1:15" customFormat="1" hidden="1" x14ac:dyDescent="0.25">
      <c r="A4106" s="11">
        <v>46129</v>
      </c>
      <c r="B4106" t="s">
        <v>19</v>
      </c>
      <c r="C4106" t="s">
        <v>16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478"/>
        <v>28</v>
      </c>
      <c r="J4106" s="3">
        <f t="shared" si="479"/>
        <v>8</v>
      </c>
      <c r="K4106" s="3">
        <f t="shared" si="480"/>
        <v>20</v>
      </c>
      <c r="L4106" s="3" t="str">
        <f t="shared" si="477"/>
        <v>MUITO BOM</v>
      </c>
      <c r="M4106">
        <v>7</v>
      </c>
      <c r="N4106">
        <v>100</v>
      </c>
      <c r="O4106">
        <v>25</v>
      </c>
    </row>
    <row r="4107" spans="1:15" customFormat="1" hidden="1" x14ac:dyDescent="0.25">
      <c r="A4107" s="11">
        <v>46129</v>
      </c>
      <c r="B4107" t="s">
        <v>43</v>
      </c>
      <c r="C4107" t="s">
        <v>32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478"/>
        <v>29</v>
      </c>
      <c r="J4107" s="3">
        <f t="shared" si="479"/>
        <v>27</v>
      </c>
      <c r="K4107" s="3">
        <f t="shared" si="480"/>
        <v>2</v>
      </c>
      <c r="L4107" s="3" t="str">
        <f t="shared" si="477"/>
        <v>OPORTUNO</v>
      </c>
      <c r="M4107">
        <v>30</v>
      </c>
      <c r="N4107">
        <v>100</v>
      </c>
      <c r="O4107">
        <v>23.9870340356564</v>
      </c>
    </row>
    <row r="4108" spans="1:15" customFormat="1" hidden="1" x14ac:dyDescent="0.25">
      <c r="A4108" s="11">
        <v>46129</v>
      </c>
      <c r="B4108" t="s">
        <v>44</v>
      </c>
      <c r="C4108" t="s">
        <v>32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478"/>
        <v>28</v>
      </c>
      <c r="J4108" s="3">
        <f t="shared" si="479"/>
        <v>27</v>
      </c>
      <c r="K4108" s="3">
        <f t="shared" si="480"/>
        <v>1</v>
      </c>
      <c r="L4108" s="3" t="str">
        <f t="shared" si="477"/>
        <v>OPORTUNO</v>
      </c>
      <c r="M4108">
        <v>22</v>
      </c>
      <c r="N4108">
        <v>95.49</v>
      </c>
      <c r="O4108">
        <v>28.370221327967808</v>
      </c>
    </row>
    <row r="4109" spans="1:15" customFormat="1" hidden="1" x14ac:dyDescent="0.25">
      <c r="A4109" s="11">
        <v>46129</v>
      </c>
      <c r="B4109" t="s">
        <v>20</v>
      </c>
      <c r="C4109" t="s">
        <v>16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478"/>
        <v>12</v>
      </c>
      <c r="J4109" s="3">
        <f t="shared" si="479"/>
        <v>8</v>
      </c>
      <c r="K4109" s="3">
        <f t="shared" si="480"/>
        <v>4</v>
      </c>
      <c r="L4109" s="3" t="str">
        <f t="shared" si="477"/>
        <v>OPORTUNO</v>
      </c>
      <c r="M4109">
        <v>5</v>
      </c>
      <c r="N4109">
        <v>100</v>
      </c>
      <c r="O4109">
        <v>23.77622377622378</v>
      </c>
    </row>
    <row r="4110" spans="1:15" customFormat="1" hidden="1" x14ac:dyDescent="0.25">
      <c r="A4110" s="11">
        <v>46129</v>
      </c>
      <c r="B4110" t="s">
        <v>28</v>
      </c>
      <c r="C4110" t="s">
        <v>26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478"/>
        <v>31</v>
      </c>
      <c r="J4110" s="3">
        <f t="shared" si="479"/>
        <v>16</v>
      </c>
      <c r="K4110" s="3">
        <f t="shared" si="480"/>
        <v>15</v>
      </c>
      <c r="L4110" s="3" t="str">
        <f t="shared" si="477"/>
        <v>MUITO BOM</v>
      </c>
      <c r="M4110">
        <v>16</v>
      </c>
      <c r="N4110">
        <v>96.15</v>
      </c>
      <c r="O4110">
        <v>24.045801526717561</v>
      </c>
    </row>
    <row r="4111" spans="1:15" customFormat="1" hidden="1" x14ac:dyDescent="0.25">
      <c r="A4111" s="11">
        <v>46129</v>
      </c>
      <c r="B4111" t="s">
        <v>58</v>
      </c>
      <c r="C4111" t="s">
        <v>48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478"/>
        <v>25</v>
      </c>
      <c r="J4111" s="3">
        <f t="shared" si="479"/>
        <v>22</v>
      </c>
      <c r="K4111" s="3">
        <f t="shared" si="480"/>
        <v>3</v>
      </c>
      <c r="L4111" s="3" t="str">
        <f t="shared" si="477"/>
        <v>OPORTUNO</v>
      </c>
      <c r="M4111">
        <v>24</v>
      </c>
      <c r="N4111">
        <v>99.02</v>
      </c>
      <c r="O4111">
        <v>34.797297297297298</v>
      </c>
    </row>
    <row r="4112" spans="1:15" customFormat="1" hidden="1" x14ac:dyDescent="0.25">
      <c r="A4112" s="11">
        <v>46129</v>
      </c>
      <c r="B4112" t="s">
        <v>29</v>
      </c>
      <c r="C4112" t="s">
        <v>26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478"/>
        <v>17</v>
      </c>
      <c r="J4112" s="3">
        <f t="shared" si="479"/>
        <v>16</v>
      </c>
      <c r="K4112" s="3">
        <f t="shared" si="480"/>
        <v>1</v>
      </c>
      <c r="L4112" s="3" t="str">
        <f t="shared" si="477"/>
        <v>OPORTUNO</v>
      </c>
      <c r="M4112">
        <v>17</v>
      </c>
      <c r="N4112">
        <v>98.84</v>
      </c>
      <c r="O4112">
        <v>31.868131868131869</v>
      </c>
    </row>
    <row r="4113" spans="1:15" customFormat="1" hidden="1" x14ac:dyDescent="0.25">
      <c r="A4113" s="11">
        <v>46129</v>
      </c>
      <c r="B4113" t="s">
        <v>30</v>
      </c>
      <c r="C4113" t="s">
        <v>26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478"/>
        <v>14</v>
      </c>
      <c r="J4113" s="3">
        <f t="shared" si="479"/>
        <v>16</v>
      </c>
      <c r="K4113" s="3">
        <f t="shared" si="480"/>
        <v>-2</v>
      </c>
      <c r="L4113" s="3" t="str">
        <f t="shared" si="477"/>
        <v>ATENÇÃO</v>
      </c>
      <c r="M4113">
        <v>15</v>
      </c>
      <c r="N4113">
        <v>100</v>
      </c>
      <c r="O4113">
        <v>34.666666666666671</v>
      </c>
    </row>
    <row r="4114" spans="1:15" customFormat="1" hidden="1" x14ac:dyDescent="0.25">
      <c r="A4114" s="11">
        <v>46129</v>
      </c>
      <c r="B4114" t="s">
        <v>21</v>
      </c>
      <c r="C4114" t="s">
        <v>16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478"/>
        <v>14</v>
      </c>
      <c r="J4114" s="3">
        <f t="shared" si="479"/>
        <v>8</v>
      </c>
      <c r="K4114" s="3">
        <f t="shared" si="480"/>
        <v>6</v>
      </c>
      <c r="L4114" s="3" t="str">
        <f t="shared" si="477"/>
        <v>MUITO BOM</v>
      </c>
      <c r="M4114">
        <v>10</v>
      </c>
      <c r="N4114">
        <v>94.12</v>
      </c>
      <c r="O4114">
        <v>32.799999999999997</v>
      </c>
    </row>
    <row r="4115" spans="1:15" customFormat="1" hidden="1" x14ac:dyDescent="0.25">
      <c r="A4115" s="11">
        <v>46129</v>
      </c>
      <c r="B4115" t="s">
        <v>63</v>
      </c>
      <c r="C4115" t="s">
        <v>23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478"/>
        <v>26</v>
      </c>
      <c r="J4115" s="3">
        <f t="shared" si="479"/>
        <v>18</v>
      </c>
      <c r="K4115" s="3">
        <f t="shared" si="480"/>
        <v>8</v>
      </c>
      <c r="L4115" s="3" t="str">
        <f t="shared" si="477"/>
        <v>MUITO BOM</v>
      </c>
      <c r="M4115">
        <v>21</v>
      </c>
      <c r="N4115">
        <v>98.32</v>
      </c>
      <c r="O4115">
        <v>26.858513189448441</v>
      </c>
    </row>
    <row r="4116" spans="1:15" customFormat="1" hidden="1" x14ac:dyDescent="0.25">
      <c r="A4116" s="11">
        <v>46129</v>
      </c>
      <c r="B4116" t="s">
        <v>45</v>
      </c>
      <c r="C4116" t="s">
        <v>32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478"/>
        <v>31</v>
      </c>
      <c r="J4116" s="3">
        <f t="shared" si="479"/>
        <v>27</v>
      </c>
      <c r="K4116" s="3">
        <f t="shared" si="480"/>
        <v>4</v>
      </c>
      <c r="L4116" s="3" t="str">
        <f t="shared" si="477"/>
        <v>OPORTUNO</v>
      </c>
      <c r="M4116">
        <v>31</v>
      </c>
      <c r="N4116">
        <v>100</v>
      </c>
      <c r="O4116">
        <v>31.135531135531139</v>
      </c>
    </row>
    <row r="4117" spans="1:15" customFormat="1" hidden="1" x14ac:dyDescent="0.25">
      <c r="A4117" s="11">
        <v>46129</v>
      </c>
      <c r="B4117" t="s">
        <v>64</v>
      </c>
      <c r="C4117" t="s">
        <v>23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478"/>
        <v>17</v>
      </c>
      <c r="J4117" s="3">
        <f t="shared" si="479"/>
        <v>18</v>
      </c>
      <c r="K4117" s="3">
        <f t="shared" si="480"/>
        <v>-1</v>
      </c>
      <c r="L4117" s="3" t="str">
        <f t="shared" si="477"/>
        <v>ATENÇÃO</v>
      </c>
      <c r="M4117">
        <v>16</v>
      </c>
      <c r="N4117">
        <v>100</v>
      </c>
      <c r="O4117">
        <v>26.36986301369863</v>
      </c>
    </row>
    <row r="4118" spans="1:15" customFormat="1" hidden="1" x14ac:dyDescent="0.25">
      <c r="A4118" s="11">
        <v>46129</v>
      </c>
      <c r="B4118" t="s">
        <v>46</v>
      </c>
      <c r="C4118" t="s">
        <v>32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 t="shared" si="477"/>
        <v>OPORTUNO</v>
      </c>
      <c r="M4118">
        <v>0</v>
      </c>
      <c r="N4118">
        <v>99.21</v>
      </c>
      <c r="O4118">
        <v>25.188916876574311</v>
      </c>
    </row>
    <row r="4119" spans="1:15" customFormat="1" hidden="1" x14ac:dyDescent="0.25">
      <c r="A4119" s="11">
        <v>46132</v>
      </c>
      <c r="B4119" t="s">
        <v>47</v>
      </c>
      <c r="C4119" t="s">
        <v>48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16</v>
      </c>
      <c r="K4119" s="3">
        <f>I4119-J4119</f>
        <v>11</v>
      </c>
      <c r="L4119" s="3" t="str">
        <f t="shared" si="477"/>
        <v>MUITO BOM</v>
      </c>
      <c r="M4119">
        <v>18</v>
      </c>
      <c r="N4119">
        <v>100</v>
      </c>
      <c r="O4119">
        <v>32.764505119453922</v>
      </c>
    </row>
    <row r="4120" spans="1:15" customFormat="1" hidden="1" x14ac:dyDescent="0.25">
      <c r="A4120" s="11">
        <v>46132</v>
      </c>
      <c r="B4120" t="s">
        <v>31</v>
      </c>
      <c r="C4120" t="s">
        <v>32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 t="shared" si="477"/>
        <v>OPORTUNO</v>
      </c>
      <c r="M4120">
        <v>11</v>
      </c>
      <c r="N4120">
        <v>98.66</v>
      </c>
      <c r="O4120">
        <v>35.416666666666671</v>
      </c>
    </row>
    <row r="4121" spans="1:15" customFormat="1" hidden="1" x14ac:dyDescent="0.25">
      <c r="A4121" s="11">
        <v>46132</v>
      </c>
      <c r="B4121" t="s">
        <v>59</v>
      </c>
      <c r="C4121" t="s">
        <v>23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ref="I4121:I4128" si="481">E4121+G4121+H4121</f>
        <v>24</v>
      </c>
      <c r="J4121" s="3">
        <f t="shared" ref="J4121:J4128" si="482"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14</v>
      </c>
      <c r="K4121" s="3">
        <f t="shared" ref="K4121:K4128" si="483">I4121-J4121</f>
        <v>10</v>
      </c>
      <c r="L4121" s="3" t="str">
        <f t="shared" si="477"/>
        <v>MUITO BOM</v>
      </c>
      <c r="M4121">
        <v>24</v>
      </c>
      <c r="N4121">
        <v>99.32</v>
      </c>
      <c r="O4121">
        <v>30.648330058939099</v>
      </c>
    </row>
    <row r="4122" spans="1:15" customFormat="1" hidden="1" x14ac:dyDescent="0.25">
      <c r="A4122" s="11">
        <v>46132</v>
      </c>
      <c r="B4122" t="s">
        <v>33</v>
      </c>
      <c r="C4122" t="s">
        <v>32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481"/>
        <v>15</v>
      </c>
      <c r="J4122" s="3">
        <f t="shared" si="482"/>
        <v>21</v>
      </c>
      <c r="K4122" s="3">
        <f t="shared" si="483"/>
        <v>-6</v>
      </c>
      <c r="L4122" s="3" t="str">
        <f t="shared" si="477"/>
        <v>CRÍTICO</v>
      </c>
      <c r="M4122">
        <v>17</v>
      </c>
      <c r="N4122">
        <v>100</v>
      </c>
      <c r="O4122">
        <v>27.803738317757009</v>
      </c>
    </row>
    <row r="4123" spans="1:15" customFormat="1" hidden="1" x14ac:dyDescent="0.25">
      <c r="A4123" s="11">
        <v>46132</v>
      </c>
      <c r="B4123" t="s">
        <v>15</v>
      </c>
      <c r="C4123" t="s">
        <v>16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si="481"/>
        <v>11</v>
      </c>
      <c r="J4123" s="3">
        <f t="shared" si="482"/>
        <v>6</v>
      </c>
      <c r="K4123" s="3">
        <f t="shared" si="483"/>
        <v>5</v>
      </c>
      <c r="L4123" s="3" t="str">
        <f t="shared" si="477"/>
        <v>OPORTUNO</v>
      </c>
      <c r="M4123">
        <v>11</v>
      </c>
      <c r="N4123">
        <v>96.74</v>
      </c>
      <c r="O4123">
        <v>28.67647058823529</v>
      </c>
    </row>
    <row r="4124" spans="1:15" customFormat="1" hidden="1" x14ac:dyDescent="0.25">
      <c r="A4124" s="11">
        <v>46132</v>
      </c>
      <c r="B4124" t="s">
        <v>49</v>
      </c>
      <c r="C4124" t="s">
        <v>48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481"/>
        <v>30</v>
      </c>
      <c r="J4124" s="3">
        <f t="shared" si="482"/>
        <v>16</v>
      </c>
      <c r="K4124" s="3">
        <f t="shared" si="483"/>
        <v>14</v>
      </c>
      <c r="L4124" s="3" t="str">
        <f t="shared" si="477"/>
        <v>MUITO BOM</v>
      </c>
      <c r="M4124">
        <v>32</v>
      </c>
      <c r="N4124">
        <v>98.82</v>
      </c>
      <c r="O4124">
        <v>30.741410488245929</v>
      </c>
    </row>
    <row r="4125" spans="1:15" customFormat="1" hidden="1" x14ac:dyDescent="0.25">
      <c r="A4125" s="11">
        <v>46132</v>
      </c>
      <c r="B4125" t="s">
        <v>50</v>
      </c>
      <c r="C4125" t="s">
        <v>48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481"/>
        <v>25</v>
      </c>
      <c r="J4125" s="3">
        <f t="shared" si="482"/>
        <v>16</v>
      </c>
      <c r="K4125" s="3">
        <f t="shared" si="483"/>
        <v>9</v>
      </c>
      <c r="L4125" s="3" t="str">
        <f t="shared" ref="L4125:L4156" si="484">IF(K4125&lt;-5,"CRÍTICO",IF(K4125&lt;0,"ATENÇÃO",IF(K4125&lt;=5,"OPORTUNO","MUITO BOM")))</f>
        <v>MUITO BOM</v>
      </c>
      <c r="M4125">
        <v>24</v>
      </c>
      <c r="N4125">
        <v>98.2</v>
      </c>
      <c r="O4125">
        <v>27.170868347338931</v>
      </c>
    </row>
    <row r="4126" spans="1:15" customFormat="1" hidden="1" x14ac:dyDescent="0.25">
      <c r="A4126" s="11">
        <v>46132</v>
      </c>
      <c r="B4126" t="s">
        <v>17</v>
      </c>
      <c r="C4126" t="s">
        <v>16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481"/>
        <v>1</v>
      </c>
      <c r="J4126" s="3">
        <f t="shared" si="482"/>
        <v>6</v>
      </c>
      <c r="K4126" s="3">
        <f t="shared" si="483"/>
        <v>-5</v>
      </c>
      <c r="L4126" s="3" t="str">
        <f t="shared" si="484"/>
        <v>ATENÇÃO</v>
      </c>
      <c r="M4126">
        <v>1</v>
      </c>
      <c r="N4126">
        <v>100</v>
      </c>
      <c r="O4126">
        <v>23.134328358208951</v>
      </c>
    </row>
    <row r="4127" spans="1:15" customFormat="1" hidden="1" x14ac:dyDescent="0.25">
      <c r="A4127" s="11">
        <v>46132</v>
      </c>
      <c r="B4127" t="s">
        <v>60</v>
      </c>
      <c r="C4127" t="s">
        <v>23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481"/>
        <v>19</v>
      </c>
      <c r="J4127" s="3">
        <f t="shared" si="482"/>
        <v>14</v>
      </c>
      <c r="K4127" s="3">
        <f t="shared" si="483"/>
        <v>5</v>
      </c>
      <c r="L4127" s="3" t="str">
        <f t="shared" si="484"/>
        <v>OPORTUNO</v>
      </c>
      <c r="M4127">
        <v>19</v>
      </c>
      <c r="N4127">
        <v>96.3</v>
      </c>
      <c r="O4127">
        <v>32.219570405727922</v>
      </c>
    </row>
    <row r="4128" spans="1:15" customFormat="1" hidden="1" x14ac:dyDescent="0.25">
      <c r="A4128" s="11">
        <v>46132</v>
      </c>
      <c r="B4128" t="s">
        <v>34</v>
      </c>
      <c r="C4128" t="s">
        <v>32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481"/>
        <v>21</v>
      </c>
      <c r="J4128" s="3">
        <f t="shared" si="482"/>
        <v>21</v>
      </c>
      <c r="K4128" s="3">
        <f t="shared" si="483"/>
        <v>0</v>
      </c>
      <c r="L4128" s="3" t="str">
        <f t="shared" si="484"/>
        <v>OPORTUNO</v>
      </c>
      <c r="M4128">
        <v>16</v>
      </c>
      <c r="N4128">
        <v>93.75</v>
      </c>
      <c r="O4128">
        <v>26.819923371647509</v>
      </c>
    </row>
    <row r="4129" spans="1:16" hidden="1" x14ac:dyDescent="0.25">
      <c r="A4129" s="11">
        <v>46132</v>
      </c>
      <c r="B4129" t="s">
        <v>51</v>
      </c>
      <c r="C4129" t="s">
        <v>48</v>
      </c>
      <c r="D4129">
        <v>24</v>
      </c>
      <c r="E4129">
        <v>22</v>
      </c>
      <c r="F4129">
        <v>18.3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 t="shared" si="484"/>
        <v>OPORTUNO</v>
      </c>
      <c r="M4129">
        <v>24</v>
      </c>
      <c r="N4129">
        <v>97.86</v>
      </c>
      <c r="O4129">
        <v>31.018518518518519</v>
      </c>
      <c r="P4129"/>
    </row>
    <row r="4130" spans="1:16" hidden="1" x14ac:dyDescent="0.25">
      <c r="A4130" s="11">
        <v>46132</v>
      </c>
      <c r="B4130" t="s">
        <v>61</v>
      </c>
      <c r="C4130" t="s">
        <v>23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14</v>
      </c>
      <c r="K4130" s="3">
        <f>I4130-J4130</f>
        <v>3</v>
      </c>
      <c r="L4130" s="3" t="str">
        <f t="shared" si="484"/>
        <v>OPORTUNO</v>
      </c>
      <c r="M4130">
        <v>11</v>
      </c>
      <c r="N4130">
        <v>100</v>
      </c>
      <c r="O4130">
        <v>36.594202898550733</v>
      </c>
      <c r="P4130"/>
    </row>
    <row r="4131" spans="1:16" hidden="1" x14ac:dyDescent="0.25">
      <c r="A4131" s="11">
        <v>46132</v>
      </c>
      <c r="B4131" t="s">
        <v>35</v>
      </c>
      <c r="C4131" t="s">
        <v>32</v>
      </c>
      <c r="D4131">
        <v>24</v>
      </c>
      <c r="E4131">
        <v>23</v>
      </c>
      <c r="F4131">
        <v>19.12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 t="shared" si="484"/>
        <v>OPORTUNO</v>
      </c>
      <c r="M4131">
        <v>23</v>
      </c>
      <c r="N4131">
        <v>100</v>
      </c>
      <c r="O4131">
        <v>38.653846153846153</v>
      </c>
      <c r="P4131"/>
    </row>
    <row r="4132" spans="1:16" hidden="1" x14ac:dyDescent="0.25">
      <c r="A4132" s="11">
        <v>46132</v>
      </c>
      <c r="B4132" t="s">
        <v>18</v>
      </c>
      <c r="C4132" t="s">
        <v>16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6</v>
      </c>
      <c r="K4132" s="3">
        <f>I4132-J4132</f>
        <v>0</v>
      </c>
      <c r="L4132" s="3" t="str">
        <f t="shared" si="484"/>
        <v>OPORTUNO</v>
      </c>
      <c r="M4132">
        <v>4</v>
      </c>
      <c r="N4132">
        <v>100</v>
      </c>
      <c r="O4132">
        <v>27.368421052631579</v>
      </c>
      <c r="P4132"/>
    </row>
    <row r="4133" spans="1:16" hidden="1" x14ac:dyDescent="0.25">
      <c r="A4133" s="11">
        <v>46132</v>
      </c>
      <c r="B4133" t="s">
        <v>52</v>
      </c>
      <c r="C4133" t="s">
        <v>48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16</v>
      </c>
      <c r="K4133" s="3">
        <f>I4133-J4133</f>
        <v>9</v>
      </c>
      <c r="L4133" s="3" t="str">
        <f t="shared" si="484"/>
        <v>MUITO BOM</v>
      </c>
      <c r="M4133">
        <v>22</v>
      </c>
      <c r="N4133">
        <v>97.83</v>
      </c>
      <c r="O4133">
        <v>28.35164835164835</v>
      </c>
      <c r="P4133"/>
    </row>
    <row r="4134" spans="1:16" hidden="1" x14ac:dyDescent="0.25">
      <c r="A4134" s="11">
        <v>46132</v>
      </c>
      <c r="B4134" t="s">
        <v>36</v>
      </c>
      <c r="C4134" t="s">
        <v>32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21</v>
      </c>
      <c r="K4134" s="3">
        <f>I4134-J4134</f>
        <v>2</v>
      </c>
      <c r="L4134" s="3" t="str">
        <f t="shared" si="484"/>
        <v>OPORTUNO</v>
      </c>
      <c r="M4134">
        <v>24</v>
      </c>
      <c r="N4134">
        <v>99.26</v>
      </c>
      <c r="O4134">
        <v>29.766536964980549</v>
      </c>
      <c r="P4134"/>
    </row>
    <row r="4135" spans="1:16" hidden="1" x14ac:dyDescent="0.25">
      <c r="A4135" s="11">
        <v>46132</v>
      </c>
      <c r="B4135" t="s">
        <v>53</v>
      </c>
      <c r="C4135" t="s">
        <v>48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16</v>
      </c>
      <c r="K4135" s="3">
        <f>I4135-J4135</f>
        <v>-7</v>
      </c>
      <c r="L4135" s="3" t="str">
        <f t="shared" si="484"/>
        <v>CRÍTICO</v>
      </c>
      <c r="M4135">
        <v>7</v>
      </c>
      <c r="N4135">
        <v>99.19</v>
      </c>
      <c r="O4135">
        <v>29.462365591397852</v>
      </c>
      <c r="P4135"/>
    </row>
    <row r="4136" spans="1:16" hidden="1" x14ac:dyDescent="0.25">
      <c r="A4136" s="11">
        <v>46140</v>
      </c>
      <c r="B4136" t="s">
        <v>53</v>
      </c>
      <c r="C4136" t="s">
        <v>48</v>
      </c>
      <c r="D4136" s="3">
        <v>29</v>
      </c>
      <c r="E4136" s="3">
        <v>25</v>
      </c>
      <c r="F4136" s="3">
        <v>20.23</v>
      </c>
      <c r="G4136" s="3">
        <v>0</v>
      </c>
      <c r="H4136" s="3">
        <v>0</v>
      </c>
      <c r="I4136" s="3">
        <f>E4136+G4136+H4136</f>
        <v>25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27</v>
      </c>
      <c r="K4136" s="3">
        <f>I4136-J4136</f>
        <v>-2</v>
      </c>
      <c r="L4136" s="3" t="str">
        <f t="shared" si="484"/>
        <v>ATENÇÃO</v>
      </c>
      <c r="M4136" s="3">
        <v>23</v>
      </c>
      <c r="N4136" s="3">
        <v>99.19</v>
      </c>
      <c r="O4136" s="3">
        <v>29.462365591397852</v>
      </c>
    </row>
    <row r="4137" spans="1:16" hidden="1" x14ac:dyDescent="0.25">
      <c r="A4137" s="11">
        <v>46132</v>
      </c>
      <c r="B4137" t="s">
        <v>54</v>
      </c>
      <c r="C4137" t="s">
        <v>48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 t="shared" si="484"/>
        <v>OPORTUNO</v>
      </c>
      <c r="M4137">
        <v>0</v>
      </c>
      <c r="N4137">
        <v>100</v>
      </c>
      <c r="O4137">
        <v>28.921568627450981</v>
      </c>
      <c r="P4137"/>
    </row>
    <row r="4138" spans="1:16" hidden="1" x14ac:dyDescent="0.25">
      <c r="A4138" s="11">
        <v>46132</v>
      </c>
      <c r="B4138" t="s">
        <v>37</v>
      </c>
      <c r="C4138" t="s">
        <v>32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21</v>
      </c>
      <c r="K4138" s="3">
        <f>I4138-J4138</f>
        <v>9</v>
      </c>
      <c r="L4138" s="3" t="str">
        <f t="shared" si="484"/>
        <v>MUITO BOM</v>
      </c>
      <c r="M4138">
        <v>27</v>
      </c>
      <c r="N4138">
        <v>99.57</v>
      </c>
      <c r="O4138">
        <v>30.635838150289018</v>
      </c>
      <c r="P4138"/>
    </row>
    <row r="4139" spans="1:16" hidden="1" x14ac:dyDescent="0.25">
      <c r="A4139" s="11">
        <v>46132</v>
      </c>
      <c r="B4139" t="s">
        <v>38</v>
      </c>
      <c r="C4139" t="s">
        <v>32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 t="shared" si="484"/>
        <v>OPORTUNO</v>
      </c>
      <c r="M4139">
        <v>0</v>
      </c>
      <c r="N4139">
        <v>95.65</v>
      </c>
      <c r="O4139">
        <v>32.432432432432442</v>
      </c>
      <c r="P4139"/>
    </row>
    <row r="4140" spans="1:16" hidden="1" x14ac:dyDescent="0.25">
      <c r="A4140" s="11">
        <v>46132</v>
      </c>
      <c r="B4140" t="s">
        <v>55</v>
      </c>
      <c r="C4140" t="s">
        <v>48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16</v>
      </c>
      <c r="K4140" s="3">
        <f>I4140-J4140</f>
        <v>7</v>
      </c>
      <c r="L4140" s="3" t="str">
        <f t="shared" si="484"/>
        <v>MUITO BOM</v>
      </c>
      <c r="M4140">
        <v>19</v>
      </c>
      <c r="N4140">
        <v>98.81</v>
      </c>
      <c r="O4140">
        <v>26.256983240223459</v>
      </c>
      <c r="P4140"/>
    </row>
    <row r="4141" spans="1:16" hidden="1" x14ac:dyDescent="0.25">
      <c r="A4141" s="11">
        <v>46132</v>
      </c>
      <c r="B4141" t="s">
        <v>39</v>
      </c>
      <c r="C4141" t="s">
        <v>32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 t="shared" si="484"/>
        <v>OPORTUNO</v>
      </c>
      <c r="M4141">
        <v>0</v>
      </c>
      <c r="N4141">
        <v>0</v>
      </c>
      <c r="O4141">
        <v>0</v>
      </c>
      <c r="P4141"/>
    </row>
    <row r="4142" spans="1:16" hidden="1" x14ac:dyDescent="0.25">
      <c r="A4142" s="11">
        <v>46132</v>
      </c>
      <c r="B4142" t="s">
        <v>25</v>
      </c>
      <c r="C4142" t="s">
        <v>26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12</v>
      </c>
      <c r="K4142" s="3">
        <f>I4142-J4142</f>
        <v>-6</v>
      </c>
      <c r="L4142" s="3" t="str">
        <f t="shared" si="484"/>
        <v>CRÍTICO</v>
      </c>
      <c r="M4142">
        <v>5</v>
      </c>
      <c r="N4142">
        <v>97.17</v>
      </c>
      <c r="O4142">
        <v>28.81844380403458</v>
      </c>
      <c r="P4142"/>
    </row>
    <row r="4143" spans="1:16" hidden="1" x14ac:dyDescent="0.25">
      <c r="A4143" s="11">
        <v>46132</v>
      </c>
      <c r="B4143" t="s">
        <v>40</v>
      </c>
      <c r="C4143" t="s">
        <v>32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 t="shared" si="484"/>
        <v>OPORTUNO</v>
      </c>
      <c r="M4143">
        <v>17</v>
      </c>
      <c r="N4143">
        <v>96.81</v>
      </c>
      <c r="O4143">
        <v>48.018648018648022</v>
      </c>
      <c r="P4143"/>
    </row>
    <row r="4144" spans="1:16" hidden="1" x14ac:dyDescent="0.25">
      <c r="A4144" s="11">
        <v>46132</v>
      </c>
      <c r="B4144" t="s">
        <v>27</v>
      </c>
      <c r="C4144" t="s">
        <v>26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12</v>
      </c>
      <c r="K4144" s="3">
        <f>I4144-J4144</f>
        <v>-4</v>
      </c>
      <c r="L4144" s="3" t="str">
        <f t="shared" si="484"/>
        <v>ATENÇÃO</v>
      </c>
      <c r="M4144">
        <v>6</v>
      </c>
      <c r="N4144">
        <v>98.15</v>
      </c>
      <c r="O4144">
        <v>27.1551724137931</v>
      </c>
      <c r="P4144"/>
    </row>
    <row r="4145" spans="1:15" customFormat="1" hidden="1" x14ac:dyDescent="0.25">
      <c r="A4145" s="11">
        <v>46132</v>
      </c>
      <c r="B4145" t="s">
        <v>41</v>
      </c>
      <c r="C4145" t="s">
        <v>32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21</v>
      </c>
      <c r="K4145" s="3">
        <f>I4145-J4145</f>
        <v>2</v>
      </c>
      <c r="L4145" s="3" t="str">
        <f t="shared" si="484"/>
        <v>OPORTUNO</v>
      </c>
      <c r="M4145">
        <v>22</v>
      </c>
      <c r="N4145">
        <v>99.15</v>
      </c>
      <c r="O4145">
        <v>27.586206896551719</v>
      </c>
    </row>
    <row r="4146" spans="1:15" customFormat="1" hidden="1" x14ac:dyDescent="0.25">
      <c r="A4146" s="11">
        <v>46132</v>
      </c>
      <c r="B4146" t="s">
        <v>56</v>
      </c>
      <c r="C4146" t="s">
        <v>48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16</v>
      </c>
      <c r="K4146" s="3">
        <f>I4146-J4146</f>
        <v>3</v>
      </c>
      <c r="L4146" s="3" t="str">
        <f t="shared" si="484"/>
        <v>OPORTUNO</v>
      </c>
      <c r="M4146">
        <v>9</v>
      </c>
      <c r="N4146">
        <v>99.17</v>
      </c>
      <c r="O4146">
        <v>29.75206611570248</v>
      </c>
    </row>
    <row r="4147" spans="1:15" customFormat="1" hidden="1" x14ac:dyDescent="0.25">
      <c r="A4147" s="11">
        <v>46132</v>
      </c>
      <c r="B4147" t="s">
        <v>57</v>
      </c>
      <c r="C4147" t="s">
        <v>48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484"/>
        <v>OPORTUNO</v>
      </c>
      <c r="M4147">
        <v>0</v>
      </c>
      <c r="N4147">
        <v>98.73</v>
      </c>
      <c r="O4147">
        <v>28.961748633879779</v>
      </c>
    </row>
    <row r="4148" spans="1:15" customFormat="1" hidden="1" x14ac:dyDescent="0.25">
      <c r="A4148" s="11">
        <v>46132</v>
      </c>
      <c r="B4148" t="s">
        <v>42</v>
      </c>
      <c r="C4148" t="s">
        <v>32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 t="shared" si="484"/>
        <v>OPORTUNO</v>
      </c>
      <c r="M4148">
        <v>0</v>
      </c>
      <c r="N4148">
        <v>88.68</v>
      </c>
      <c r="O4148">
        <v>22.03389830508474</v>
      </c>
    </row>
    <row r="4149" spans="1:15" customFormat="1" hidden="1" x14ac:dyDescent="0.25">
      <c r="A4149" s="11">
        <v>46132</v>
      </c>
      <c r="B4149" t="s">
        <v>62</v>
      </c>
      <c r="C4149" t="s">
        <v>23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14</v>
      </c>
      <c r="K4149" s="3">
        <f>I4149-J4149</f>
        <v>-3</v>
      </c>
      <c r="L4149" s="3" t="str">
        <f t="shared" si="484"/>
        <v>ATENÇÃO</v>
      </c>
      <c r="M4149">
        <v>13</v>
      </c>
      <c r="N4149">
        <v>97.37</v>
      </c>
      <c r="O4149">
        <v>25.76530612244898</v>
      </c>
    </row>
    <row r="4150" spans="1:15" customFormat="1" hidden="1" x14ac:dyDescent="0.25">
      <c r="A4150" s="11">
        <v>46132</v>
      </c>
      <c r="B4150" t="s">
        <v>19</v>
      </c>
      <c r="C4150" t="s">
        <v>16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6</v>
      </c>
      <c r="K4150" s="3">
        <f>I4150-J4150</f>
        <v>4</v>
      </c>
      <c r="L4150" s="3" t="str">
        <f t="shared" si="484"/>
        <v>OPORTUNO</v>
      </c>
      <c r="M4150">
        <v>8</v>
      </c>
      <c r="N4150">
        <v>100</v>
      </c>
      <c r="O4150">
        <v>25</v>
      </c>
    </row>
    <row r="4151" spans="1:15" customFormat="1" hidden="1" x14ac:dyDescent="0.25">
      <c r="A4151" s="11">
        <v>46132</v>
      </c>
      <c r="B4151" t="s">
        <v>43</v>
      </c>
      <c r="C4151" t="s">
        <v>32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0</v>
      </c>
      <c r="L4151" s="3" t="str">
        <f t="shared" si="484"/>
        <v>OPORTUNO</v>
      </c>
      <c r="M4151">
        <v>23</v>
      </c>
      <c r="N4151">
        <v>100</v>
      </c>
      <c r="O4151">
        <v>23.9870340356564</v>
      </c>
    </row>
    <row r="4152" spans="1:15" customFormat="1" hidden="1" x14ac:dyDescent="0.25">
      <c r="A4152" s="11">
        <v>46132</v>
      </c>
      <c r="B4152" t="s">
        <v>44</v>
      </c>
      <c r="C4152" t="s">
        <v>32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21</v>
      </c>
      <c r="K4152" s="3">
        <f>I4152-J4152</f>
        <v>5</v>
      </c>
      <c r="L4152" s="3" t="str">
        <f t="shared" si="484"/>
        <v>OPORTUNO</v>
      </c>
      <c r="M4152">
        <v>22</v>
      </c>
      <c r="N4152">
        <v>95.49</v>
      </c>
      <c r="O4152">
        <v>28.370221327967808</v>
      </c>
    </row>
    <row r="4153" spans="1:15" customFormat="1" hidden="1" x14ac:dyDescent="0.25">
      <c r="A4153" s="11">
        <v>46132</v>
      </c>
      <c r="B4153" t="s">
        <v>20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 t="shared" si="484"/>
        <v>OPORTUNO</v>
      </c>
      <c r="M4153">
        <v>0</v>
      </c>
      <c r="N4153">
        <v>100</v>
      </c>
      <c r="O4153">
        <v>23.77622377622378</v>
      </c>
    </row>
    <row r="4154" spans="1:15" customFormat="1" hidden="1" x14ac:dyDescent="0.25">
      <c r="A4154" s="11">
        <v>46132</v>
      </c>
      <c r="B4154" t="s">
        <v>28</v>
      </c>
      <c r="C4154" t="s">
        <v>26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ref="I4154:I4163" si="485">E4154+G4154+H4154</f>
        <v>8</v>
      </c>
      <c r="J4154" s="3">
        <f t="shared" ref="J4154:J4163" si="486"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 t="shared" ref="K4154:K4163" si="487">I4154-J4154</f>
        <v>-4</v>
      </c>
      <c r="L4154" s="3" t="str">
        <f t="shared" si="484"/>
        <v>ATENÇÃO</v>
      </c>
      <c r="M4154">
        <v>7</v>
      </c>
      <c r="N4154">
        <v>96.15</v>
      </c>
      <c r="O4154">
        <v>24.045801526717561</v>
      </c>
    </row>
    <row r="4155" spans="1:15" customFormat="1" hidden="1" x14ac:dyDescent="0.25">
      <c r="A4155" s="11">
        <v>46132</v>
      </c>
      <c r="B4155" t="s">
        <v>58</v>
      </c>
      <c r="C4155" t="s">
        <v>48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485"/>
        <v>12</v>
      </c>
      <c r="J4155" s="3">
        <f t="shared" si="486"/>
        <v>16</v>
      </c>
      <c r="K4155" s="3">
        <f t="shared" si="487"/>
        <v>-4</v>
      </c>
      <c r="L4155" s="3" t="str">
        <f t="shared" si="484"/>
        <v>ATENÇÃO</v>
      </c>
      <c r="M4155">
        <v>14</v>
      </c>
      <c r="N4155">
        <v>99.02</v>
      </c>
      <c r="O4155">
        <v>34.797297297297298</v>
      </c>
    </row>
    <row r="4156" spans="1:15" customFormat="1" hidden="1" x14ac:dyDescent="0.25">
      <c r="A4156" s="11">
        <v>46132</v>
      </c>
      <c r="B4156" t="s">
        <v>29</v>
      </c>
      <c r="C4156" t="s">
        <v>26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485"/>
        <v>10</v>
      </c>
      <c r="J4156" s="3">
        <f t="shared" si="486"/>
        <v>12</v>
      </c>
      <c r="K4156" s="3">
        <f t="shared" si="487"/>
        <v>-2</v>
      </c>
      <c r="L4156" s="3" t="str">
        <f t="shared" si="484"/>
        <v>ATENÇÃO</v>
      </c>
      <c r="M4156">
        <v>10</v>
      </c>
      <c r="N4156">
        <v>98.84</v>
      </c>
      <c r="O4156">
        <v>31.868131868131869</v>
      </c>
    </row>
    <row r="4157" spans="1:15" customFormat="1" hidden="1" x14ac:dyDescent="0.25">
      <c r="A4157" s="11">
        <v>46132</v>
      </c>
      <c r="B4157" t="s">
        <v>30</v>
      </c>
      <c r="C4157" t="s">
        <v>26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485"/>
        <v>9</v>
      </c>
      <c r="J4157" s="3">
        <f t="shared" si="486"/>
        <v>12</v>
      </c>
      <c r="K4157" s="3">
        <f t="shared" si="487"/>
        <v>-3</v>
      </c>
      <c r="L4157" s="3" t="str">
        <f t="shared" ref="L4157:L4188" si="488">IF(K4157&lt;-5,"CRÍTICO",IF(K4157&lt;0,"ATENÇÃO",IF(K4157&lt;=5,"OPORTUNO","MUITO BOM")))</f>
        <v>ATENÇÃO</v>
      </c>
      <c r="M4157">
        <v>8</v>
      </c>
      <c r="N4157">
        <v>100</v>
      </c>
      <c r="O4157">
        <v>34.666666666666671</v>
      </c>
    </row>
    <row r="4158" spans="1:15" customFormat="1" hidden="1" x14ac:dyDescent="0.25">
      <c r="A4158" s="11">
        <v>46132</v>
      </c>
      <c r="B4158" t="s">
        <v>21</v>
      </c>
      <c r="C4158" t="s">
        <v>16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485"/>
        <v>6</v>
      </c>
      <c r="J4158" s="3">
        <f t="shared" si="486"/>
        <v>6</v>
      </c>
      <c r="K4158" s="3">
        <f t="shared" si="487"/>
        <v>0</v>
      </c>
      <c r="L4158" s="3" t="str">
        <f t="shared" si="488"/>
        <v>OPORTUNO</v>
      </c>
      <c r="M4158">
        <v>5</v>
      </c>
      <c r="N4158">
        <v>94.12</v>
      </c>
      <c r="O4158">
        <v>32.799999999999997</v>
      </c>
    </row>
    <row r="4159" spans="1:15" customFormat="1" hidden="1" x14ac:dyDescent="0.25">
      <c r="A4159" s="11">
        <v>46132</v>
      </c>
      <c r="B4159" t="s">
        <v>63</v>
      </c>
      <c r="C4159" t="s">
        <v>23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485"/>
        <v>11</v>
      </c>
      <c r="J4159" s="3">
        <f t="shared" si="486"/>
        <v>14</v>
      </c>
      <c r="K4159" s="3">
        <f t="shared" si="487"/>
        <v>-3</v>
      </c>
      <c r="L4159" s="3" t="str">
        <f t="shared" si="488"/>
        <v>ATENÇÃO</v>
      </c>
      <c r="M4159">
        <v>6</v>
      </c>
      <c r="N4159">
        <v>98.32</v>
      </c>
      <c r="O4159">
        <v>26.858513189448441</v>
      </c>
    </row>
    <row r="4160" spans="1:15" customFormat="1" hidden="1" x14ac:dyDescent="0.25">
      <c r="A4160" s="11">
        <v>46132</v>
      </c>
      <c r="B4160" t="s">
        <v>45</v>
      </c>
      <c r="C4160" t="s">
        <v>32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485"/>
        <v>30</v>
      </c>
      <c r="J4160" s="3">
        <f t="shared" si="486"/>
        <v>21</v>
      </c>
      <c r="K4160" s="3">
        <f t="shared" si="487"/>
        <v>9</v>
      </c>
      <c r="L4160" s="3" t="str">
        <f t="shared" si="488"/>
        <v>MUITO BOM</v>
      </c>
      <c r="M4160">
        <v>19</v>
      </c>
      <c r="N4160">
        <v>100</v>
      </c>
      <c r="O4160">
        <v>31.135531135531139</v>
      </c>
    </row>
    <row r="4161" spans="1:15" customFormat="1" hidden="1" x14ac:dyDescent="0.25">
      <c r="A4161" s="11">
        <v>46132</v>
      </c>
      <c r="B4161" t="s">
        <v>64</v>
      </c>
      <c r="C4161" t="s">
        <v>23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485"/>
        <v>7</v>
      </c>
      <c r="J4161" s="3">
        <f t="shared" si="486"/>
        <v>14</v>
      </c>
      <c r="K4161" s="3">
        <f t="shared" si="487"/>
        <v>-7</v>
      </c>
      <c r="L4161" s="3" t="str">
        <f t="shared" si="488"/>
        <v>CRÍTICO</v>
      </c>
      <c r="M4161">
        <v>7</v>
      </c>
      <c r="N4161">
        <v>100</v>
      </c>
      <c r="O4161">
        <v>26.36986301369863</v>
      </c>
    </row>
    <row r="4162" spans="1:15" customFormat="1" hidden="1" x14ac:dyDescent="0.25">
      <c r="A4162" s="11">
        <v>46132</v>
      </c>
      <c r="B4162" t="s">
        <v>46</v>
      </c>
      <c r="C4162" t="s">
        <v>32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485"/>
        <v>23</v>
      </c>
      <c r="J4162" s="3">
        <f t="shared" si="486"/>
        <v>21</v>
      </c>
      <c r="K4162" s="3">
        <f t="shared" si="487"/>
        <v>2</v>
      </c>
      <c r="L4162" s="3" t="str">
        <f t="shared" si="488"/>
        <v>OPORTUNO</v>
      </c>
      <c r="M4162">
        <v>19</v>
      </c>
      <c r="N4162">
        <v>99.21</v>
      </c>
      <c r="O4162">
        <v>25.188916876574311</v>
      </c>
    </row>
    <row r="4163" spans="1:15" customFormat="1" hidden="1" x14ac:dyDescent="0.25">
      <c r="A4163" s="11">
        <v>46134</v>
      </c>
      <c r="B4163" t="s">
        <v>47</v>
      </c>
      <c r="C4163" t="s">
        <v>48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485"/>
        <v>38</v>
      </c>
      <c r="J4163" s="3">
        <f t="shared" si="486"/>
        <v>18</v>
      </c>
      <c r="K4163" s="3">
        <f t="shared" si="487"/>
        <v>20</v>
      </c>
      <c r="L4163" s="3" t="str">
        <f t="shared" si="488"/>
        <v>MUITO BOM</v>
      </c>
      <c r="M4163">
        <v>30</v>
      </c>
      <c r="N4163">
        <v>100</v>
      </c>
      <c r="O4163">
        <v>32.764505119453922</v>
      </c>
    </row>
    <row r="4164" spans="1:15" customFormat="1" hidden="1" x14ac:dyDescent="0.25">
      <c r="A4164" s="11">
        <v>46134</v>
      </c>
      <c r="B4164" t="s">
        <v>31</v>
      </c>
      <c r="C4164" t="s">
        <v>32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 t="shared" si="488"/>
        <v>OPORTUNO</v>
      </c>
      <c r="M4164">
        <v>21</v>
      </c>
      <c r="N4164">
        <v>98.66</v>
      </c>
      <c r="O4164">
        <v>35.416666666666671</v>
      </c>
    </row>
    <row r="4165" spans="1:15" customFormat="1" hidden="1" x14ac:dyDescent="0.25">
      <c r="A4165" s="11">
        <v>46134</v>
      </c>
      <c r="B4165" t="s">
        <v>59</v>
      </c>
      <c r="C4165" t="s">
        <v>23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15</v>
      </c>
      <c r="K4165" s="3">
        <f>I4165-J4165</f>
        <v>15</v>
      </c>
      <c r="L4165" s="3" t="str">
        <f t="shared" si="488"/>
        <v>MUITO BOM</v>
      </c>
      <c r="M4165">
        <v>32</v>
      </c>
      <c r="N4165">
        <v>99.32</v>
      </c>
      <c r="O4165">
        <v>30.648330058939099</v>
      </c>
    </row>
    <row r="4166" spans="1:15" customFormat="1" hidden="1" x14ac:dyDescent="0.25">
      <c r="A4166" s="11">
        <v>46134</v>
      </c>
      <c r="B4166" t="s">
        <v>33</v>
      </c>
      <c r="C4166" t="s">
        <v>32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23</v>
      </c>
      <c r="K4166" s="3">
        <f>I4166-J4166</f>
        <v>-8</v>
      </c>
      <c r="L4166" s="3" t="str">
        <f t="shared" si="488"/>
        <v>CRÍTICO</v>
      </c>
      <c r="M4166">
        <v>13</v>
      </c>
      <c r="N4166">
        <v>100</v>
      </c>
      <c r="O4166">
        <v>27.803738317757009</v>
      </c>
    </row>
    <row r="4167" spans="1:15" customFormat="1" hidden="1" x14ac:dyDescent="0.25">
      <c r="A4167" s="11">
        <v>46134</v>
      </c>
      <c r="B4167" t="s">
        <v>15</v>
      </c>
      <c r="C4167" t="s">
        <v>16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18</v>
      </c>
      <c r="L4167" s="3" t="str">
        <f t="shared" si="488"/>
        <v>MUITO BOM</v>
      </c>
      <c r="M4167">
        <v>22</v>
      </c>
      <c r="N4167">
        <v>96.74</v>
      </c>
      <c r="O4167">
        <v>28.67647058823529</v>
      </c>
    </row>
    <row r="4168" spans="1:15" customFormat="1" hidden="1" x14ac:dyDescent="0.25">
      <c r="A4168" s="11">
        <v>46134</v>
      </c>
      <c r="B4168" t="s">
        <v>49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488"/>
        <v>OPORTUNO</v>
      </c>
      <c r="M4168">
        <v>0</v>
      </c>
      <c r="N4168">
        <v>98.82</v>
      </c>
      <c r="O4168">
        <v>30.741410488245929</v>
      </c>
    </row>
    <row r="4169" spans="1:15" customFormat="1" hidden="1" x14ac:dyDescent="0.25">
      <c r="A4169" s="11">
        <v>46134</v>
      </c>
      <c r="B4169" t="s">
        <v>50</v>
      </c>
      <c r="C4169" t="s">
        <v>48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 t="shared" si="488"/>
        <v>OPORTUNO</v>
      </c>
      <c r="M4169">
        <v>0</v>
      </c>
      <c r="N4169">
        <v>98.2</v>
      </c>
      <c r="O4169">
        <v>27.170868347338931</v>
      </c>
    </row>
    <row r="4170" spans="1:15" customFormat="1" hidden="1" x14ac:dyDescent="0.25">
      <c r="A4170" s="11">
        <v>46134</v>
      </c>
      <c r="B4170" t="s">
        <v>17</v>
      </c>
      <c r="C4170" t="s">
        <v>16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7</v>
      </c>
      <c r="K4170" s="3">
        <f>I4170-J4170</f>
        <v>-2</v>
      </c>
      <c r="L4170" s="3" t="str">
        <f t="shared" si="488"/>
        <v>ATENÇÃO</v>
      </c>
      <c r="M4170">
        <v>4</v>
      </c>
      <c r="N4170">
        <v>100</v>
      </c>
      <c r="O4170">
        <v>23.134328358208951</v>
      </c>
    </row>
    <row r="4171" spans="1:15" customFormat="1" hidden="1" x14ac:dyDescent="0.25">
      <c r="A4171" s="11">
        <v>46134</v>
      </c>
      <c r="B4171" t="s">
        <v>60</v>
      </c>
      <c r="C4171" t="s">
        <v>23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-2</v>
      </c>
      <c r="L4171" s="3" t="str">
        <f t="shared" si="488"/>
        <v>ATENÇÃO</v>
      </c>
      <c r="M4171">
        <v>13</v>
      </c>
      <c r="N4171">
        <v>96.3</v>
      </c>
      <c r="O4171">
        <v>32.219570405727922</v>
      </c>
    </row>
    <row r="4172" spans="1:15" customFormat="1" hidden="1" x14ac:dyDescent="0.25">
      <c r="A4172" s="11">
        <v>46134</v>
      </c>
      <c r="B4172" t="s">
        <v>34</v>
      </c>
      <c r="C4172" t="s">
        <v>32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23</v>
      </c>
      <c r="K4172" s="3">
        <f>I4172-J4172</f>
        <v>0</v>
      </c>
      <c r="L4172" s="3" t="str">
        <f t="shared" si="488"/>
        <v>OPORTUNO</v>
      </c>
      <c r="M4172">
        <v>19</v>
      </c>
      <c r="N4172">
        <v>93.75</v>
      </c>
      <c r="O4172">
        <v>26.819923371647509</v>
      </c>
    </row>
    <row r="4173" spans="1:15" customFormat="1" hidden="1" x14ac:dyDescent="0.25">
      <c r="A4173" s="11">
        <v>46134</v>
      </c>
      <c r="B4173" t="s">
        <v>51</v>
      </c>
      <c r="C4173" t="s">
        <v>48</v>
      </c>
      <c r="D4173">
        <v>26</v>
      </c>
      <c r="E4173">
        <v>25</v>
      </c>
      <c r="F4173">
        <v>20.07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 t="shared" si="488"/>
        <v>OPORTUNO</v>
      </c>
      <c r="M4173">
        <v>21</v>
      </c>
      <c r="N4173">
        <v>97.86</v>
      </c>
      <c r="O4173">
        <v>31.018518518518519</v>
      </c>
    </row>
    <row r="4174" spans="1:15" customFormat="1" hidden="1" x14ac:dyDescent="0.25">
      <c r="A4174" s="11">
        <v>46134</v>
      </c>
      <c r="B4174" t="s">
        <v>61</v>
      </c>
      <c r="C4174" t="s">
        <v>23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15</v>
      </c>
      <c r="K4174" s="3">
        <f>I4174-J4174</f>
        <v>1</v>
      </c>
      <c r="L4174" s="3" t="str">
        <f t="shared" si="488"/>
        <v>OPORTUNO</v>
      </c>
      <c r="M4174">
        <v>8</v>
      </c>
      <c r="N4174">
        <v>100</v>
      </c>
      <c r="O4174">
        <v>36.594202898550733</v>
      </c>
    </row>
    <row r="4175" spans="1:15" customFormat="1" hidden="1" x14ac:dyDescent="0.25">
      <c r="A4175" s="11">
        <v>46134</v>
      </c>
      <c r="B4175" t="s">
        <v>35</v>
      </c>
      <c r="C4175" t="s">
        <v>32</v>
      </c>
      <c r="D4175">
        <v>17</v>
      </c>
      <c r="E4175">
        <v>16</v>
      </c>
      <c r="F4175">
        <v>31.59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 t="shared" si="488"/>
        <v>OPORTUNO</v>
      </c>
      <c r="M4175">
        <v>16</v>
      </c>
      <c r="N4175">
        <v>100</v>
      </c>
      <c r="O4175">
        <v>38.653846153846153</v>
      </c>
    </row>
    <row r="4176" spans="1:15" customFormat="1" hidden="1" x14ac:dyDescent="0.25">
      <c r="A4176" s="11">
        <v>46134</v>
      </c>
      <c r="B4176" t="s">
        <v>18</v>
      </c>
      <c r="C4176" t="s">
        <v>16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 t="shared" ref="I4176:I4182" si="489">E4176+G4176+H4176</f>
        <v>7</v>
      </c>
      <c r="J4176" s="3">
        <f t="shared" ref="J4176:J4182" si="490"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7</v>
      </c>
      <c r="K4176" s="3">
        <f t="shared" ref="K4176:K4182" si="491">I4176-J4176</f>
        <v>0</v>
      </c>
      <c r="L4176" s="3" t="str">
        <f t="shared" si="488"/>
        <v>OPORTUNO</v>
      </c>
      <c r="M4176">
        <v>5</v>
      </c>
      <c r="N4176">
        <v>100</v>
      </c>
      <c r="O4176">
        <v>27.368421052631579</v>
      </c>
    </row>
    <row r="4177" spans="1:16" hidden="1" x14ac:dyDescent="0.25">
      <c r="A4177" s="11">
        <v>46134</v>
      </c>
      <c r="B4177" t="s">
        <v>52</v>
      </c>
      <c r="C4177" t="s">
        <v>48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 t="shared" si="489"/>
        <v>29</v>
      </c>
      <c r="J4177" s="3">
        <f t="shared" si="490"/>
        <v>18</v>
      </c>
      <c r="K4177" s="3">
        <f t="shared" si="491"/>
        <v>11</v>
      </c>
      <c r="L4177" s="3" t="str">
        <f t="shared" si="488"/>
        <v>MUITO BOM</v>
      </c>
      <c r="M4177">
        <v>27</v>
      </c>
      <c r="N4177">
        <v>97.83</v>
      </c>
      <c r="O4177">
        <v>28.35164835164835</v>
      </c>
      <c r="P4177"/>
    </row>
    <row r="4178" spans="1:16" hidden="1" x14ac:dyDescent="0.25">
      <c r="A4178" s="11">
        <v>46134</v>
      </c>
      <c r="B4178" t="s">
        <v>36</v>
      </c>
      <c r="C4178" t="s">
        <v>32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 t="shared" si="489"/>
        <v>19</v>
      </c>
      <c r="J4178" s="3">
        <f t="shared" si="490"/>
        <v>23</v>
      </c>
      <c r="K4178" s="3">
        <f t="shared" si="491"/>
        <v>-4</v>
      </c>
      <c r="L4178" s="3" t="str">
        <f t="shared" si="488"/>
        <v>ATENÇÃO</v>
      </c>
      <c r="M4178">
        <v>19</v>
      </c>
      <c r="N4178">
        <v>99.26</v>
      </c>
      <c r="O4178">
        <v>29.766536964980549</v>
      </c>
      <c r="P4178"/>
    </row>
    <row r="4179" spans="1:16" hidden="1" x14ac:dyDescent="0.25">
      <c r="A4179" s="11">
        <v>46134</v>
      </c>
      <c r="B4179" t="s">
        <v>53</v>
      </c>
      <c r="C4179" t="s">
        <v>48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 t="shared" si="489"/>
        <v>19</v>
      </c>
      <c r="J4179" s="3">
        <f t="shared" si="490"/>
        <v>18</v>
      </c>
      <c r="K4179" s="3">
        <f t="shared" si="491"/>
        <v>1</v>
      </c>
      <c r="L4179" s="3" t="str">
        <f t="shared" si="488"/>
        <v>OPORTUNO</v>
      </c>
      <c r="M4179">
        <v>17</v>
      </c>
      <c r="N4179">
        <v>99.19</v>
      </c>
      <c r="O4179">
        <v>29.462365591397852</v>
      </c>
      <c r="P4179"/>
    </row>
    <row r="4180" spans="1:16" hidden="1" x14ac:dyDescent="0.25">
      <c r="A4180" s="11">
        <v>46141</v>
      </c>
      <c r="B4180" t="s">
        <v>53</v>
      </c>
      <c r="C4180" t="s">
        <v>48</v>
      </c>
      <c r="D4180" s="3">
        <v>36</v>
      </c>
      <c r="E4180" s="3">
        <v>34</v>
      </c>
      <c r="F4180" s="3">
        <v>15.24</v>
      </c>
      <c r="G4180" s="3">
        <v>0</v>
      </c>
      <c r="H4180" s="3">
        <v>0</v>
      </c>
      <c r="I4180" s="3">
        <f t="shared" si="489"/>
        <v>34</v>
      </c>
      <c r="J4180" s="3">
        <f t="shared" si="490"/>
        <v>28</v>
      </c>
      <c r="K4180" s="3">
        <f t="shared" si="491"/>
        <v>6</v>
      </c>
      <c r="L4180" s="3" t="str">
        <f t="shared" si="488"/>
        <v>MUITO BOM</v>
      </c>
      <c r="M4180" s="3">
        <v>30</v>
      </c>
      <c r="N4180" s="3">
        <v>99.19</v>
      </c>
      <c r="O4180" s="3">
        <v>29.462365591397852</v>
      </c>
    </row>
    <row r="4181" spans="1:16" hidden="1" x14ac:dyDescent="0.25">
      <c r="A4181" s="11">
        <v>46134</v>
      </c>
      <c r="B4181" t="s">
        <v>54</v>
      </c>
      <c r="C4181" t="s">
        <v>48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 t="shared" si="489"/>
        <v>18</v>
      </c>
      <c r="J4181" s="3">
        <f t="shared" si="490"/>
        <v>18</v>
      </c>
      <c r="K4181" s="3">
        <f t="shared" si="491"/>
        <v>0</v>
      </c>
      <c r="L4181" s="3" t="str">
        <f t="shared" si="488"/>
        <v>OPORTUNO</v>
      </c>
      <c r="M4181">
        <v>20</v>
      </c>
      <c r="N4181">
        <v>100</v>
      </c>
      <c r="O4181">
        <v>28.921568627450981</v>
      </c>
      <c r="P4181"/>
    </row>
    <row r="4182" spans="1:16" hidden="1" x14ac:dyDescent="0.25">
      <c r="A4182" s="11">
        <v>46134</v>
      </c>
      <c r="B4182" t="s">
        <v>37</v>
      </c>
      <c r="C4182" t="s">
        <v>32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 t="shared" si="489"/>
        <v>30</v>
      </c>
      <c r="J4182" s="3">
        <f t="shared" si="490"/>
        <v>23</v>
      </c>
      <c r="K4182" s="3">
        <f t="shared" si="491"/>
        <v>7</v>
      </c>
      <c r="L4182" s="3" t="str">
        <f t="shared" si="488"/>
        <v>MUITO BOM</v>
      </c>
      <c r="M4182">
        <v>27</v>
      </c>
      <c r="N4182">
        <v>99.57</v>
      </c>
      <c r="O4182">
        <v>30.635838150289018</v>
      </c>
      <c r="P4182"/>
    </row>
    <row r="4183" spans="1:16" hidden="1" x14ac:dyDescent="0.25">
      <c r="A4183" s="11">
        <v>46134</v>
      </c>
      <c r="B4183" t="s">
        <v>38</v>
      </c>
      <c r="C4183" t="s">
        <v>32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 t="shared" si="488"/>
        <v>OPORTUNO</v>
      </c>
      <c r="M4183">
        <v>0</v>
      </c>
      <c r="N4183">
        <v>95.65</v>
      </c>
      <c r="O4183">
        <v>32.432432432432442</v>
      </c>
      <c r="P4183"/>
    </row>
    <row r="4184" spans="1:16" hidden="1" x14ac:dyDescent="0.25">
      <c r="A4184" s="11">
        <v>46134</v>
      </c>
      <c r="B4184" t="s">
        <v>55</v>
      </c>
      <c r="C4184" t="s">
        <v>48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18</v>
      </c>
      <c r="K4184" s="3">
        <f>I4184-J4184</f>
        <v>3</v>
      </c>
      <c r="L4184" s="3" t="str">
        <f t="shared" si="488"/>
        <v>OPORTUNO</v>
      </c>
      <c r="M4184">
        <v>20</v>
      </c>
      <c r="N4184">
        <v>98.81</v>
      </c>
      <c r="O4184">
        <v>26.256983240223459</v>
      </c>
      <c r="P4184"/>
    </row>
    <row r="4185" spans="1:16" hidden="1" x14ac:dyDescent="0.25">
      <c r="A4185" s="11">
        <v>46134</v>
      </c>
      <c r="B4185" t="s">
        <v>39</v>
      </c>
      <c r="C4185" t="s">
        <v>32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 t="shared" si="488"/>
        <v>OPORTUNO</v>
      </c>
      <c r="M4185">
        <v>0</v>
      </c>
      <c r="N4185">
        <v>0</v>
      </c>
      <c r="O4185">
        <v>0</v>
      </c>
      <c r="P4185"/>
    </row>
    <row r="4186" spans="1:16" hidden="1" x14ac:dyDescent="0.25">
      <c r="A4186" s="11">
        <v>46134</v>
      </c>
      <c r="B4186" t="s">
        <v>25</v>
      </c>
      <c r="C4186" t="s">
        <v>26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13</v>
      </c>
      <c r="K4186" s="3">
        <f>I4186-J4186</f>
        <v>-4</v>
      </c>
      <c r="L4186" s="3" t="str">
        <f t="shared" si="488"/>
        <v>ATENÇÃO</v>
      </c>
      <c r="M4186">
        <v>10</v>
      </c>
      <c r="N4186">
        <v>97.17</v>
      </c>
      <c r="O4186">
        <v>28.81844380403458</v>
      </c>
      <c r="P4186"/>
    </row>
    <row r="4187" spans="1:16" hidden="1" x14ac:dyDescent="0.25">
      <c r="A4187" s="11">
        <v>46134</v>
      </c>
      <c r="B4187" t="s">
        <v>40</v>
      </c>
      <c r="C4187" t="s">
        <v>32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 t="shared" si="488"/>
        <v>OPORTUNO</v>
      </c>
      <c r="M4187">
        <v>20</v>
      </c>
      <c r="N4187">
        <v>96.81</v>
      </c>
      <c r="O4187">
        <v>48.018648018648022</v>
      </c>
      <c r="P4187"/>
    </row>
    <row r="4188" spans="1:16" hidden="1" x14ac:dyDescent="0.25">
      <c r="A4188" s="11">
        <v>46134</v>
      </c>
      <c r="B4188" t="s">
        <v>27</v>
      </c>
      <c r="C4188" t="s">
        <v>26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13</v>
      </c>
      <c r="K4188" s="3">
        <f>I4188-J4188</f>
        <v>-8</v>
      </c>
      <c r="L4188" s="3" t="str">
        <f t="shared" si="488"/>
        <v>CRÍTICO</v>
      </c>
      <c r="M4188">
        <v>5</v>
      </c>
      <c r="N4188">
        <v>98.15</v>
      </c>
      <c r="O4188">
        <v>27.1551724137931</v>
      </c>
      <c r="P4188"/>
    </row>
    <row r="4189" spans="1:16" hidden="1" x14ac:dyDescent="0.25">
      <c r="A4189" s="11">
        <v>46134</v>
      </c>
      <c r="B4189" t="s">
        <v>41</v>
      </c>
      <c r="C4189" t="s">
        <v>32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23</v>
      </c>
      <c r="K4189" s="3">
        <f>I4189-J4189</f>
        <v>0</v>
      </c>
      <c r="L4189" s="3" t="str">
        <f t="shared" ref="L4189:L4220" si="492">IF(K4189&lt;-5,"CRÍTICO",IF(K4189&lt;0,"ATENÇÃO",IF(K4189&lt;=5,"OPORTUNO","MUITO BOM")))</f>
        <v>OPORTUNO</v>
      </c>
      <c r="M4189">
        <v>25</v>
      </c>
      <c r="N4189">
        <v>99.15</v>
      </c>
      <c r="O4189">
        <v>27.586206896551719</v>
      </c>
      <c r="P4189"/>
    </row>
    <row r="4190" spans="1:16" hidden="1" x14ac:dyDescent="0.25">
      <c r="A4190" s="11">
        <v>46134</v>
      </c>
      <c r="B4190" t="s">
        <v>56</v>
      </c>
      <c r="C4190" t="s">
        <v>48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18</v>
      </c>
      <c r="K4190" s="3">
        <f>I4190-J4190</f>
        <v>3</v>
      </c>
      <c r="L4190" s="3" t="str">
        <f t="shared" si="492"/>
        <v>OPORTUNO</v>
      </c>
      <c r="M4190">
        <v>21</v>
      </c>
      <c r="N4190">
        <v>99.17</v>
      </c>
      <c r="O4190">
        <v>29.75206611570248</v>
      </c>
      <c r="P4190"/>
    </row>
    <row r="4191" spans="1:16" hidden="1" x14ac:dyDescent="0.25">
      <c r="A4191" s="11">
        <v>46134</v>
      </c>
      <c r="B4191" t="s">
        <v>57</v>
      </c>
      <c r="C4191" t="s">
        <v>48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492"/>
        <v>OPORTUNO</v>
      </c>
      <c r="M4191">
        <v>0</v>
      </c>
      <c r="N4191">
        <v>98.73</v>
      </c>
      <c r="O4191">
        <v>28.961748633879779</v>
      </c>
      <c r="P4191"/>
    </row>
    <row r="4192" spans="1:16" hidden="1" x14ac:dyDescent="0.25">
      <c r="A4192" s="11">
        <v>46134</v>
      </c>
      <c r="B4192" t="s">
        <v>42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 t="shared" si="492"/>
        <v>OPORTUNO</v>
      </c>
      <c r="M4192">
        <v>0</v>
      </c>
      <c r="N4192">
        <v>88.68</v>
      </c>
      <c r="O4192">
        <v>22.03389830508474</v>
      </c>
      <c r="P4192"/>
    </row>
    <row r="4193" spans="1:15" customFormat="1" hidden="1" x14ac:dyDescent="0.25">
      <c r="A4193" s="11">
        <v>46134</v>
      </c>
      <c r="B4193" t="s">
        <v>62</v>
      </c>
      <c r="C4193" t="s">
        <v>23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ref="I4193:I4207" si="493">E4193+G4193+H4193</f>
        <v>19</v>
      </c>
      <c r="J4193" s="3">
        <f t="shared" ref="J4193:J4207" si="494"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15</v>
      </c>
      <c r="K4193" s="3">
        <f t="shared" ref="K4193:K4207" si="495">I4193-J4193</f>
        <v>4</v>
      </c>
      <c r="L4193" s="3" t="str">
        <f t="shared" si="492"/>
        <v>OPORTUNO</v>
      </c>
      <c r="M4193">
        <v>15</v>
      </c>
      <c r="N4193">
        <v>97.37</v>
      </c>
      <c r="O4193">
        <v>25.76530612244898</v>
      </c>
    </row>
    <row r="4194" spans="1:15" customFormat="1" hidden="1" x14ac:dyDescent="0.25">
      <c r="A4194" s="11">
        <v>46134</v>
      </c>
      <c r="B4194" t="s">
        <v>19</v>
      </c>
      <c r="C4194" t="s">
        <v>16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493"/>
        <v>2</v>
      </c>
      <c r="J4194" s="3">
        <f t="shared" si="494"/>
        <v>7</v>
      </c>
      <c r="K4194" s="3">
        <f t="shared" si="495"/>
        <v>-5</v>
      </c>
      <c r="L4194" s="3" t="str">
        <f t="shared" si="492"/>
        <v>ATENÇÃO</v>
      </c>
      <c r="M4194">
        <v>0</v>
      </c>
      <c r="N4194">
        <v>100</v>
      </c>
      <c r="O4194">
        <v>25</v>
      </c>
    </row>
    <row r="4195" spans="1:15" customFormat="1" hidden="1" x14ac:dyDescent="0.25">
      <c r="A4195" s="11">
        <v>46134</v>
      </c>
      <c r="B4195" t="s">
        <v>43</v>
      </c>
      <c r="C4195" t="s">
        <v>32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493"/>
        <v>21</v>
      </c>
      <c r="J4195" s="3">
        <f t="shared" si="494"/>
        <v>23</v>
      </c>
      <c r="K4195" s="3">
        <f t="shared" si="495"/>
        <v>-2</v>
      </c>
      <c r="L4195" s="3" t="str">
        <f t="shared" si="492"/>
        <v>ATENÇÃO</v>
      </c>
      <c r="M4195">
        <v>31</v>
      </c>
      <c r="N4195">
        <v>100</v>
      </c>
      <c r="O4195">
        <v>23.9870340356564</v>
      </c>
    </row>
    <row r="4196" spans="1:15" customFormat="1" hidden="1" x14ac:dyDescent="0.25">
      <c r="A4196" s="11">
        <v>46134</v>
      </c>
      <c r="B4196" t="s">
        <v>44</v>
      </c>
      <c r="C4196" t="s">
        <v>32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493"/>
        <v>23</v>
      </c>
      <c r="J4196" s="3">
        <f t="shared" si="494"/>
        <v>23</v>
      </c>
      <c r="K4196" s="3">
        <f t="shared" si="495"/>
        <v>0</v>
      </c>
      <c r="L4196" s="3" t="str">
        <f t="shared" si="492"/>
        <v>OPORTUNO</v>
      </c>
      <c r="M4196">
        <v>16</v>
      </c>
      <c r="N4196">
        <v>95.49</v>
      </c>
      <c r="O4196">
        <v>28.370221327967808</v>
      </c>
    </row>
    <row r="4197" spans="1:15" customFormat="1" hidden="1" x14ac:dyDescent="0.25">
      <c r="A4197" s="11">
        <v>46134</v>
      </c>
      <c r="B4197" t="s">
        <v>20</v>
      </c>
      <c r="C4197" t="s">
        <v>16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493"/>
        <v>18</v>
      </c>
      <c r="J4197" s="3">
        <f t="shared" si="494"/>
        <v>7</v>
      </c>
      <c r="K4197" s="3">
        <f t="shared" si="495"/>
        <v>11</v>
      </c>
      <c r="L4197" s="3" t="str">
        <f t="shared" si="492"/>
        <v>MUITO BOM</v>
      </c>
      <c r="M4197">
        <v>9</v>
      </c>
      <c r="N4197">
        <v>100</v>
      </c>
      <c r="O4197">
        <v>23.77622377622378</v>
      </c>
    </row>
    <row r="4198" spans="1:15" customFormat="1" hidden="1" x14ac:dyDescent="0.25">
      <c r="A4198" s="11">
        <v>46134</v>
      </c>
      <c r="B4198" t="s">
        <v>28</v>
      </c>
      <c r="C4198" t="s">
        <v>26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493"/>
        <v>18</v>
      </c>
      <c r="J4198" s="3">
        <f t="shared" si="494"/>
        <v>13</v>
      </c>
      <c r="K4198" s="3">
        <f t="shared" si="495"/>
        <v>5</v>
      </c>
      <c r="L4198" s="3" t="str">
        <f t="shared" si="492"/>
        <v>OPORTUNO</v>
      </c>
      <c r="M4198">
        <v>10</v>
      </c>
      <c r="N4198">
        <v>96.15</v>
      </c>
      <c r="O4198">
        <v>24.045801526717561</v>
      </c>
    </row>
    <row r="4199" spans="1:15" customFormat="1" hidden="1" x14ac:dyDescent="0.25">
      <c r="A4199" s="11">
        <v>46134</v>
      </c>
      <c r="B4199" t="s">
        <v>58</v>
      </c>
      <c r="C4199" t="s">
        <v>48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493"/>
        <v>8</v>
      </c>
      <c r="J4199" s="3">
        <f t="shared" si="494"/>
        <v>18</v>
      </c>
      <c r="K4199" s="3">
        <f t="shared" si="495"/>
        <v>-10</v>
      </c>
      <c r="L4199" s="3" t="str">
        <f t="shared" si="492"/>
        <v>CRÍTICO</v>
      </c>
      <c r="M4199">
        <v>8</v>
      </c>
      <c r="N4199">
        <v>99.02</v>
      </c>
      <c r="O4199">
        <v>34.797297297297298</v>
      </c>
    </row>
    <row r="4200" spans="1:15" customFormat="1" hidden="1" x14ac:dyDescent="0.25">
      <c r="A4200" s="11">
        <v>46134</v>
      </c>
      <c r="B4200" t="s">
        <v>29</v>
      </c>
      <c r="C4200" t="s">
        <v>26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493"/>
        <v>4</v>
      </c>
      <c r="J4200" s="3">
        <f t="shared" si="494"/>
        <v>13</v>
      </c>
      <c r="K4200" s="3">
        <f t="shared" si="495"/>
        <v>-9</v>
      </c>
      <c r="L4200" s="3" t="str">
        <f t="shared" si="492"/>
        <v>CRÍTICO</v>
      </c>
      <c r="M4200">
        <v>3</v>
      </c>
      <c r="N4200">
        <v>98.84</v>
      </c>
      <c r="O4200">
        <v>31.868131868131869</v>
      </c>
    </row>
    <row r="4201" spans="1:15" customFormat="1" hidden="1" x14ac:dyDescent="0.25">
      <c r="A4201" s="11">
        <v>46134</v>
      </c>
      <c r="B4201" t="s">
        <v>30</v>
      </c>
      <c r="C4201" t="s">
        <v>26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493"/>
        <v>7</v>
      </c>
      <c r="J4201" s="3">
        <f t="shared" si="494"/>
        <v>13</v>
      </c>
      <c r="K4201" s="3">
        <f t="shared" si="495"/>
        <v>-6</v>
      </c>
      <c r="L4201" s="3" t="str">
        <f t="shared" si="492"/>
        <v>CRÍTICO</v>
      </c>
      <c r="M4201">
        <v>8</v>
      </c>
      <c r="N4201">
        <v>100</v>
      </c>
      <c r="O4201">
        <v>34.666666666666671</v>
      </c>
    </row>
    <row r="4202" spans="1:15" customFormat="1" hidden="1" x14ac:dyDescent="0.25">
      <c r="A4202" s="11">
        <v>46134</v>
      </c>
      <c r="B4202" t="s">
        <v>21</v>
      </c>
      <c r="C4202" t="s">
        <v>16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493"/>
        <v>7</v>
      </c>
      <c r="J4202" s="3">
        <f t="shared" si="494"/>
        <v>7</v>
      </c>
      <c r="K4202" s="3">
        <f t="shared" si="495"/>
        <v>0</v>
      </c>
      <c r="L4202" s="3" t="str">
        <f t="shared" si="492"/>
        <v>OPORTUNO</v>
      </c>
      <c r="M4202">
        <v>5</v>
      </c>
      <c r="N4202">
        <v>94.12</v>
      </c>
      <c r="O4202">
        <v>32.799999999999997</v>
      </c>
    </row>
    <row r="4203" spans="1:15" customFormat="1" hidden="1" x14ac:dyDescent="0.25">
      <c r="A4203" s="11">
        <v>46134</v>
      </c>
      <c r="B4203" t="s">
        <v>63</v>
      </c>
      <c r="C4203" t="s">
        <v>23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493"/>
        <v>18</v>
      </c>
      <c r="J4203" s="3">
        <f t="shared" si="494"/>
        <v>15</v>
      </c>
      <c r="K4203" s="3">
        <f t="shared" si="495"/>
        <v>3</v>
      </c>
      <c r="L4203" s="3" t="str">
        <f t="shared" si="492"/>
        <v>OPORTUNO</v>
      </c>
      <c r="M4203">
        <v>16</v>
      </c>
      <c r="N4203">
        <v>98.32</v>
      </c>
      <c r="O4203">
        <v>26.858513189448441</v>
      </c>
    </row>
    <row r="4204" spans="1:15" customFormat="1" hidden="1" x14ac:dyDescent="0.25">
      <c r="A4204" s="11">
        <v>46134</v>
      </c>
      <c r="B4204" t="s">
        <v>45</v>
      </c>
      <c r="C4204" t="s">
        <v>32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493"/>
        <v>28</v>
      </c>
      <c r="J4204" s="3">
        <f t="shared" si="494"/>
        <v>23</v>
      </c>
      <c r="K4204" s="3">
        <f t="shared" si="495"/>
        <v>5</v>
      </c>
      <c r="L4204" s="3" t="str">
        <f t="shared" si="492"/>
        <v>OPORTUNO</v>
      </c>
      <c r="M4204">
        <v>19</v>
      </c>
      <c r="N4204">
        <v>100</v>
      </c>
      <c r="O4204">
        <v>31.135531135531139</v>
      </c>
    </row>
    <row r="4205" spans="1:15" customFormat="1" hidden="1" x14ac:dyDescent="0.25">
      <c r="A4205" s="11">
        <v>46134</v>
      </c>
      <c r="B4205" t="s">
        <v>64</v>
      </c>
      <c r="C4205" t="s">
        <v>23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493"/>
        <v>17</v>
      </c>
      <c r="J4205" s="3">
        <f t="shared" si="494"/>
        <v>15</v>
      </c>
      <c r="K4205" s="3">
        <f t="shared" si="495"/>
        <v>2</v>
      </c>
      <c r="L4205" s="3" t="str">
        <f t="shared" si="492"/>
        <v>OPORTUNO</v>
      </c>
      <c r="M4205">
        <v>12</v>
      </c>
      <c r="N4205">
        <v>100</v>
      </c>
      <c r="O4205">
        <v>26.36986301369863</v>
      </c>
    </row>
    <row r="4206" spans="1:15" customFormat="1" hidden="1" x14ac:dyDescent="0.25">
      <c r="A4206" s="11">
        <v>46134</v>
      </c>
      <c r="B4206" t="s">
        <v>46</v>
      </c>
      <c r="C4206" t="s">
        <v>32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493"/>
        <v>23</v>
      </c>
      <c r="J4206" s="3">
        <f t="shared" si="494"/>
        <v>23</v>
      </c>
      <c r="K4206" s="3">
        <f t="shared" si="495"/>
        <v>0</v>
      </c>
      <c r="L4206" s="3" t="str">
        <f t="shared" si="492"/>
        <v>OPORTUNO</v>
      </c>
      <c r="M4206">
        <v>16</v>
      </c>
      <c r="N4206">
        <v>99.21</v>
      </c>
      <c r="O4206">
        <v>25.188916876574311</v>
      </c>
    </row>
    <row r="4207" spans="1:15" customFormat="1" hidden="1" x14ac:dyDescent="0.25">
      <c r="A4207" s="11">
        <v>46135</v>
      </c>
      <c r="B4207" t="s">
        <v>47</v>
      </c>
      <c r="C4207" t="s">
        <v>48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493"/>
        <v>24</v>
      </c>
      <c r="J4207" s="3">
        <f t="shared" si="494"/>
        <v>20</v>
      </c>
      <c r="K4207" s="3">
        <f t="shared" si="495"/>
        <v>4</v>
      </c>
      <c r="L4207" s="3" t="str">
        <f t="shared" si="492"/>
        <v>OPORTUNO</v>
      </c>
      <c r="M4207">
        <v>22</v>
      </c>
      <c r="N4207">
        <v>100</v>
      </c>
      <c r="O4207">
        <v>32.764505119453922</v>
      </c>
    </row>
    <row r="4208" spans="1:15" customFormat="1" hidden="1" x14ac:dyDescent="0.25">
      <c r="A4208" s="11">
        <v>46135</v>
      </c>
      <c r="B4208" t="s">
        <v>31</v>
      </c>
      <c r="C4208" t="s">
        <v>32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 t="shared" si="492"/>
        <v>OPORTUNO</v>
      </c>
      <c r="M4208">
        <v>18</v>
      </c>
      <c r="N4208">
        <v>98.66</v>
      </c>
      <c r="O4208">
        <v>35.416666666666671</v>
      </c>
    </row>
    <row r="4209" spans="1:16" hidden="1" x14ac:dyDescent="0.25">
      <c r="A4209" s="11">
        <v>46135</v>
      </c>
      <c r="B4209" t="s">
        <v>59</v>
      </c>
      <c r="C4209" t="s">
        <v>23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16</v>
      </c>
      <c r="K4209" s="3">
        <f>I4209-J4209</f>
        <v>11</v>
      </c>
      <c r="L4209" s="3" t="str">
        <f t="shared" si="492"/>
        <v>MUITO BOM</v>
      </c>
      <c r="M4209">
        <v>21</v>
      </c>
      <c r="N4209">
        <v>99.32</v>
      </c>
      <c r="O4209">
        <v>30.648330058939099</v>
      </c>
      <c r="P4209"/>
    </row>
    <row r="4210" spans="1:16" hidden="1" x14ac:dyDescent="0.25">
      <c r="A4210" s="11">
        <v>46135</v>
      </c>
      <c r="B4210" t="s">
        <v>33</v>
      </c>
      <c r="C4210" t="s">
        <v>32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25</v>
      </c>
      <c r="K4210" s="3">
        <f>I4210-J4210</f>
        <v>-6</v>
      </c>
      <c r="L4210" s="3" t="str">
        <f t="shared" si="492"/>
        <v>CRÍTICO</v>
      </c>
      <c r="M4210">
        <v>19</v>
      </c>
      <c r="N4210">
        <v>100</v>
      </c>
      <c r="O4210">
        <v>27.803738317757009</v>
      </c>
      <c r="P4210"/>
    </row>
    <row r="4211" spans="1:16" hidden="1" x14ac:dyDescent="0.25">
      <c r="A4211" s="11">
        <v>46135</v>
      </c>
      <c r="B4211" t="s">
        <v>15</v>
      </c>
      <c r="C4211" t="s">
        <v>16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 t="shared" si="492"/>
        <v>MUITO BOM</v>
      </c>
      <c r="M4211">
        <v>30</v>
      </c>
      <c r="N4211">
        <v>96.74</v>
      </c>
      <c r="O4211">
        <v>28.67647058823529</v>
      </c>
      <c r="P4211"/>
    </row>
    <row r="4212" spans="1:16" hidden="1" x14ac:dyDescent="0.25">
      <c r="A4212" s="11">
        <v>46135</v>
      </c>
      <c r="B4212" t="s">
        <v>49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492"/>
        <v>OPORTUNO</v>
      </c>
      <c r="M4212">
        <v>0</v>
      </c>
      <c r="N4212">
        <v>98.82</v>
      </c>
      <c r="O4212">
        <v>30.741410488245929</v>
      </c>
      <c r="P4212"/>
    </row>
    <row r="4213" spans="1:16" hidden="1" x14ac:dyDescent="0.25">
      <c r="A4213" s="11">
        <v>46135</v>
      </c>
      <c r="B4213" t="s">
        <v>50</v>
      </c>
      <c r="C4213" t="s">
        <v>48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 t="shared" si="492"/>
        <v>OPORTUNO</v>
      </c>
      <c r="M4213">
        <v>0</v>
      </c>
      <c r="N4213">
        <v>98.2</v>
      </c>
      <c r="O4213">
        <v>27.170868347338931</v>
      </c>
      <c r="P4213"/>
    </row>
    <row r="4214" spans="1:16" hidden="1" x14ac:dyDescent="0.25">
      <c r="A4214" s="11">
        <v>46135</v>
      </c>
      <c r="B4214" t="s">
        <v>17</v>
      </c>
      <c r="C4214" t="s">
        <v>16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 t="shared" si="492"/>
        <v>OPORTUNO</v>
      </c>
      <c r="M4214">
        <v>6</v>
      </c>
      <c r="N4214">
        <v>100</v>
      </c>
      <c r="O4214">
        <v>23.134328358208951</v>
      </c>
      <c r="P4214"/>
    </row>
    <row r="4215" spans="1:16" hidden="1" x14ac:dyDescent="0.25">
      <c r="A4215" s="11">
        <v>46135</v>
      </c>
      <c r="B4215" t="s">
        <v>60</v>
      </c>
      <c r="C4215" t="s">
        <v>23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-3</v>
      </c>
      <c r="L4215" s="3" t="str">
        <f t="shared" si="492"/>
        <v>ATENÇÃO</v>
      </c>
      <c r="M4215">
        <v>13</v>
      </c>
      <c r="N4215">
        <v>96.3</v>
      </c>
      <c r="O4215">
        <v>32.219570405727922</v>
      </c>
      <c r="P4215"/>
    </row>
    <row r="4216" spans="1:16" hidden="1" x14ac:dyDescent="0.25">
      <c r="A4216" s="11">
        <v>46135</v>
      </c>
      <c r="B4216" t="s">
        <v>34</v>
      </c>
      <c r="C4216" t="s">
        <v>32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25</v>
      </c>
      <c r="K4216" s="3">
        <f>I4216-J4216</f>
        <v>-4</v>
      </c>
      <c r="L4216" s="3" t="str">
        <f t="shared" si="492"/>
        <v>ATENÇÃO</v>
      </c>
      <c r="M4216">
        <v>17</v>
      </c>
      <c r="N4216">
        <v>93.75</v>
      </c>
      <c r="O4216">
        <v>26.819923371647509</v>
      </c>
      <c r="P4216"/>
    </row>
    <row r="4217" spans="1:16" hidden="1" x14ac:dyDescent="0.25">
      <c r="A4217" s="11">
        <v>46135</v>
      </c>
      <c r="B4217" t="s">
        <v>51</v>
      </c>
      <c r="C4217" t="s">
        <v>48</v>
      </c>
      <c r="D4217">
        <v>28</v>
      </c>
      <c r="E4217">
        <v>23</v>
      </c>
      <c r="F4217">
        <v>18.420000000000002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 t="shared" si="492"/>
        <v>OPORTUNO</v>
      </c>
      <c r="M4217">
        <v>22</v>
      </c>
      <c r="N4217">
        <v>97.86</v>
      </c>
      <c r="O4217">
        <v>31.018518518518519</v>
      </c>
      <c r="P4217"/>
    </row>
    <row r="4218" spans="1:16" hidden="1" x14ac:dyDescent="0.25">
      <c r="A4218" s="11">
        <v>46135</v>
      </c>
      <c r="B4218" t="s">
        <v>61</v>
      </c>
      <c r="C4218" t="s">
        <v>23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16</v>
      </c>
      <c r="K4218" s="3">
        <f>I4218-J4218</f>
        <v>2</v>
      </c>
      <c r="L4218" s="3" t="str">
        <f t="shared" si="492"/>
        <v>OPORTUNO</v>
      </c>
      <c r="M4218">
        <v>15</v>
      </c>
      <c r="N4218">
        <v>100</v>
      </c>
      <c r="O4218">
        <v>36.594202898550733</v>
      </c>
      <c r="P4218"/>
    </row>
    <row r="4219" spans="1:16" hidden="1" x14ac:dyDescent="0.25">
      <c r="A4219" s="11">
        <v>46135</v>
      </c>
      <c r="B4219" t="s">
        <v>35</v>
      </c>
      <c r="C4219" t="s">
        <v>32</v>
      </c>
      <c r="D4219">
        <v>16</v>
      </c>
      <c r="E4219">
        <v>15</v>
      </c>
      <c r="F4219">
        <v>22.2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 t="shared" si="492"/>
        <v>OPORTUNO</v>
      </c>
      <c r="M4219">
        <v>16</v>
      </c>
      <c r="N4219">
        <v>100</v>
      </c>
      <c r="O4219">
        <v>38.653846153846153</v>
      </c>
      <c r="P4219"/>
    </row>
    <row r="4220" spans="1:16" hidden="1" x14ac:dyDescent="0.25">
      <c r="A4220" s="11">
        <v>46135</v>
      </c>
      <c r="B4220" t="s">
        <v>18</v>
      </c>
      <c r="C4220" t="s">
        <v>16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ref="I4220:I4226" si="496">E4220+G4220+H4220</f>
        <v>9</v>
      </c>
      <c r="J4220" s="3">
        <f t="shared" ref="J4220:J4226" si="497"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 t="shared" ref="K4220:K4226" si="498">I4220-J4220</f>
        <v>2</v>
      </c>
      <c r="L4220" s="3" t="str">
        <f t="shared" si="492"/>
        <v>OPORTUNO</v>
      </c>
      <c r="M4220">
        <v>8</v>
      </c>
      <c r="N4220">
        <v>100</v>
      </c>
      <c r="O4220">
        <v>27.368421052631579</v>
      </c>
      <c r="P4220"/>
    </row>
    <row r="4221" spans="1:16" hidden="1" x14ac:dyDescent="0.25">
      <c r="A4221" s="11">
        <v>46135</v>
      </c>
      <c r="B4221" t="s">
        <v>52</v>
      </c>
      <c r="C4221" t="s">
        <v>48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496"/>
        <v>22</v>
      </c>
      <c r="J4221" s="3">
        <f t="shared" si="497"/>
        <v>20</v>
      </c>
      <c r="K4221" s="3">
        <f t="shared" si="498"/>
        <v>2</v>
      </c>
      <c r="L4221" s="3" t="str">
        <f t="shared" ref="L4221:L4252" si="499">IF(K4221&lt;-5,"CRÍTICO",IF(K4221&lt;0,"ATENÇÃO",IF(K4221&lt;=5,"OPORTUNO","MUITO BOM")))</f>
        <v>OPORTUNO</v>
      </c>
      <c r="M4221">
        <v>24</v>
      </c>
      <c r="N4221">
        <v>97.83</v>
      </c>
      <c r="O4221">
        <v>28.35164835164835</v>
      </c>
      <c r="P4221"/>
    </row>
    <row r="4222" spans="1:16" hidden="1" x14ac:dyDescent="0.25">
      <c r="A4222" s="11">
        <v>46135</v>
      </c>
      <c r="B4222" t="s">
        <v>36</v>
      </c>
      <c r="C4222" t="s">
        <v>32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496"/>
        <v>25</v>
      </c>
      <c r="J4222" s="3">
        <f t="shared" si="497"/>
        <v>25</v>
      </c>
      <c r="K4222" s="3">
        <f t="shared" si="498"/>
        <v>0</v>
      </c>
      <c r="L4222" s="3" t="str">
        <f t="shared" si="499"/>
        <v>OPORTUNO</v>
      </c>
      <c r="M4222">
        <v>25</v>
      </c>
      <c r="N4222">
        <v>99.26</v>
      </c>
      <c r="O4222">
        <v>29.766536964980549</v>
      </c>
      <c r="P4222"/>
    </row>
    <row r="4223" spans="1:16" hidden="1" x14ac:dyDescent="0.25">
      <c r="A4223" s="11">
        <v>46135</v>
      </c>
      <c r="B4223" t="s">
        <v>53</v>
      </c>
      <c r="C4223" t="s">
        <v>48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496"/>
        <v>32</v>
      </c>
      <c r="J4223" s="3">
        <f t="shared" si="497"/>
        <v>20</v>
      </c>
      <c r="K4223" s="3">
        <f t="shared" si="498"/>
        <v>12</v>
      </c>
      <c r="L4223" s="3" t="str">
        <f t="shared" si="499"/>
        <v>MUITO BOM</v>
      </c>
      <c r="M4223">
        <v>24</v>
      </c>
      <c r="N4223">
        <v>99.19</v>
      </c>
      <c r="O4223">
        <v>29.462365591397852</v>
      </c>
      <c r="P4223"/>
    </row>
    <row r="4224" spans="1:16" hidden="1" x14ac:dyDescent="0.25">
      <c r="A4224" s="11">
        <v>46142</v>
      </c>
      <c r="B4224" t="s">
        <v>53</v>
      </c>
      <c r="C4224" t="s">
        <v>48</v>
      </c>
      <c r="D4224" s="3">
        <v>42</v>
      </c>
      <c r="E4224" s="3">
        <v>42</v>
      </c>
      <c r="F4224" s="3">
        <v>16.41</v>
      </c>
      <c r="G4224" s="3">
        <v>0</v>
      </c>
      <c r="H4224" s="3">
        <v>0</v>
      </c>
      <c r="I4224" s="3">
        <f t="shared" si="496"/>
        <v>42</v>
      </c>
      <c r="J4224" s="3">
        <f t="shared" si="497"/>
        <v>26</v>
      </c>
      <c r="K4224" s="3">
        <f t="shared" si="498"/>
        <v>16</v>
      </c>
      <c r="L4224" s="3" t="str">
        <f t="shared" si="499"/>
        <v>MUITO BOM</v>
      </c>
      <c r="M4224" s="3">
        <v>35</v>
      </c>
      <c r="N4224" s="3">
        <v>99.19</v>
      </c>
      <c r="O4224" s="3">
        <v>29.462365591397852</v>
      </c>
    </row>
    <row r="4225" spans="1:15" customFormat="1" hidden="1" x14ac:dyDescent="0.25">
      <c r="A4225" s="11">
        <v>46135</v>
      </c>
      <c r="B4225" t="s">
        <v>54</v>
      </c>
      <c r="C4225" t="s">
        <v>48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496"/>
        <v>18</v>
      </c>
      <c r="J4225" s="3">
        <f t="shared" si="497"/>
        <v>20</v>
      </c>
      <c r="K4225" s="3">
        <f t="shared" si="498"/>
        <v>-2</v>
      </c>
      <c r="L4225" s="3" t="str">
        <f t="shared" si="499"/>
        <v>ATENÇÃO</v>
      </c>
      <c r="M4225">
        <v>16</v>
      </c>
      <c r="N4225">
        <v>100</v>
      </c>
      <c r="O4225">
        <v>28.921568627450981</v>
      </c>
    </row>
    <row r="4226" spans="1:15" customFormat="1" hidden="1" x14ac:dyDescent="0.25">
      <c r="A4226" s="11">
        <v>46135</v>
      </c>
      <c r="B4226" t="s">
        <v>37</v>
      </c>
      <c r="C4226" t="s">
        <v>32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496"/>
        <v>28</v>
      </c>
      <c r="J4226" s="3">
        <f t="shared" si="497"/>
        <v>25</v>
      </c>
      <c r="K4226" s="3">
        <f t="shared" si="498"/>
        <v>3</v>
      </c>
      <c r="L4226" s="3" t="str">
        <f t="shared" si="499"/>
        <v>OPORTUNO</v>
      </c>
      <c r="M4226">
        <v>31</v>
      </c>
      <c r="N4226">
        <v>99.57</v>
      </c>
      <c r="O4226">
        <v>30.635838150289018</v>
      </c>
    </row>
    <row r="4227" spans="1:15" customFormat="1" hidden="1" x14ac:dyDescent="0.25">
      <c r="A4227" s="11">
        <v>46135</v>
      </c>
      <c r="B4227" t="s">
        <v>38</v>
      </c>
      <c r="C4227" t="s">
        <v>32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 t="shared" si="499"/>
        <v>OPORTUNO</v>
      </c>
      <c r="M4227">
        <v>0</v>
      </c>
      <c r="N4227">
        <v>95.65</v>
      </c>
      <c r="O4227">
        <v>32.432432432432442</v>
      </c>
    </row>
    <row r="4228" spans="1:15" customFormat="1" hidden="1" x14ac:dyDescent="0.25">
      <c r="A4228" s="11">
        <v>46135</v>
      </c>
      <c r="B4228" t="s">
        <v>55</v>
      </c>
      <c r="C4228" t="s">
        <v>48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20</v>
      </c>
      <c r="K4228" s="3">
        <f>I4228-J4228</f>
        <v>3</v>
      </c>
      <c r="L4228" s="3" t="str">
        <f t="shared" si="499"/>
        <v>OPORTUNO</v>
      </c>
      <c r="M4228">
        <v>20</v>
      </c>
      <c r="N4228">
        <v>98.81</v>
      </c>
      <c r="O4228">
        <v>26.256983240223459</v>
      </c>
    </row>
    <row r="4229" spans="1:15" customFormat="1" hidden="1" x14ac:dyDescent="0.25">
      <c r="A4229" s="11">
        <v>46135</v>
      </c>
      <c r="B4229" t="s">
        <v>39</v>
      </c>
      <c r="C4229" t="s">
        <v>32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 t="shared" si="499"/>
        <v>OPORTUNO</v>
      </c>
      <c r="M4229">
        <v>0</v>
      </c>
      <c r="N4229">
        <v>0</v>
      </c>
      <c r="O4229">
        <v>0</v>
      </c>
    </row>
    <row r="4230" spans="1:15" customFormat="1" hidden="1" x14ac:dyDescent="0.25">
      <c r="A4230" s="11">
        <v>46135</v>
      </c>
      <c r="B4230" t="s">
        <v>25</v>
      </c>
      <c r="C4230" t="s">
        <v>26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14</v>
      </c>
      <c r="K4230" s="3">
        <f>I4230-J4230</f>
        <v>-7</v>
      </c>
      <c r="L4230" s="3" t="str">
        <f t="shared" si="499"/>
        <v>CRÍTICO</v>
      </c>
      <c r="M4230">
        <v>7</v>
      </c>
      <c r="N4230">
        <v>97.17</v>
      </c>
      <c r="O4230">
        <v>28.81844380403458</v>
      </c>
    </row>
    <row r="4231" spans="1:15" customFormat="1" hidden="1" x14ac:dyDescent="0.25">
      <c r="A4231" s="11">
        <v>46135</v>
      </c>
      <c r="B4231" t="s">
        <v>40</v>
      </c>
      <c r="C4231" t="s">
        <v>32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 t="shared" si="499"/>
        <v>OPORTUNO</v>
      </c>
      <c r="M4231">
        <v>30</v>
      </c>
      <c r="N4231">
        <v>96.81</v>
      </c>
      <c r="O4231">
        <v>48.018648018648022</v>
      </c>
    </row>
    <row r="4232" spans="1:15" customFormat="1" hidden="1" x14ac:dyDescent="0.25">
      <c r="A4232" s="11">
        <v>46135</v>
      </c>
      <c r="B4232" t="s">
        <v>27</v>
      </c>
      <c r="C4232" t="s">
        <v>26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14</v>
      </c>
      <c r="K4232" s="3">
        <f>I4232-J4232</f>
        <v>4</v>
      </c>
      <c r="L4232" s="3" t="str">
        <f t="shared" si="499"/>
        <v>OPORTUNO</v>
      </c>
      <c r="M4232">
        <v>18</v>
      </c>
      <c r="N4232">
        <v>98.15</v>
      </c>
      <c r="O4232">
        <v>27.1551724137931</v>
      </c>
    </row>
    <row r="4233" spans="1:15" customFormat="1" hidden="1" x14ac:dyDescent="0.25">
      <c r="A4233" s="11">
        <v>46135</v>
      </c>
      <c r="B4233" t="s">
        <v>41</v>
      </c>
      <c r="C4233" t="s">
        <v>32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25</v>
      </c>
      <c r="K4233" s="3">
        <f>I4233-J4233</f>
        <v>-3</v>
      </c>
      <c r="L4233" s="3" t="str">
        <f t="shared" si="499"/>
        <v>ATENÇÃO</v>
      </c>
      <c r="M4233">
        <v>20</v>
      </c>
      <c r="N4233">
        <v>99.15</v>
      </c>
      <c r="O4233">
        <v>27.586206896551719</v>
      </c>
    </row>
    <row r="4234" spans="1:15" customFormat="1" hidden="1" x14ac:dyDescent="0.25">
      <c r="A4234" s="11">
        <v>46135</v>
      </c>
      <c r="B4234" t="s">
        <v>56</v>
      </c>
      <c r="C4234" t="s">
        <v>48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20</v>
      </c>
      <c r="K4234" s="3">
        <f>I4234-J4234</f>
        <v>1</v>
      </c>
      <c r="L4234" s="3" t="str">
        <f t="shared" si="499"/>
        <v>OPORTUNO</v>
      </c>
      <c r="M4234">
        <v>17</v>
      </c>
      <c r="N4234">
        <v>99.17</v>
      </c>
      <c r="O4234">
        <v>29.75206611570248</v>
      </c>
    </row>
    <row r="4235" spans="1:15" customFormat="1" hidden="1" x14ac:dyDescent="0.25">
      <c r="A4235" s="11">
        <v>46135</v>
      </c>
      <c r="B4235" t="s">
        <v>57</v>
      </c>
      <c r="C4235" t="s">
        <v>48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499"/>
        <v>OPORTUNO</v>
      </c>
      <c r="M4235">
        <v>0</v>
      </c>
      <c r="N4235">
        <v>98.73</v>
      </c>
      <c r="O4235">
        <v>28.961748633879779</v>
      </c>
    </row>
    <row r="4236" spans="1:15" customFormat="1" hidden="1" x14ac:dyDescent="0.25">
      <c r="A4236" s="11">
        <v>46135</v>
      </c>
      <c r="B4236" t="s">
        <v>42</v>
      </c>
      <c r="C4236" t="s">
        <v>32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 t="shared" si="499"/>
        <v>OPORTUNO</v>
      </c>
      <c r="M4236">
        <v>0</v>
      </c>
      <c r="N4236">
        <v>88.68</v>
      </c>
      <c r="O4236">
        <v>22.03389830508474</v>
      </c>
    </row>
    <row r="4237" spans="1:15" customFormat="1" hidden="1" x14ac:dyDescent="0.25">
      <c r="A4237" s="11">
        <v>46135</v>
      </c>
      <c r="B4237" t="s">
        <v>62</v>
      </c>
      <c r="C4237" t="s">
        <v>23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ref="I4237:I4242" si="500">E4237+G4237+H4237</f>
        <v>20</v>
      </c>
      <c r="J4237" s="3">
        <f t="shared" ref="J4237:J4242" si="501"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16</v>
      </c>
      <c r="K4237" s="3">
        <f t="shared" ref="K4237:K4242" si="502">I4237-J4237</f>
        <v>4</v>
      </c>
      <c r="L4237" s="3" t="str">
        <f t="shared" si="499"/>
        <v>OPORTUNO</v>
      </c>
      <c r="M4237">
        <v>22</v>
      </c>
      <c r="N4237">
        <v>97.37</v>
      </c>
      <c r="O4237">
        <v>25.76530612244898</v>
      </c>
    </row>
    <row r="4238" spans="1:15" customFormat="1" hidden="1" x14ac:dyDescent="0.25">
      <c r="A4238" s="11">
        <v>46135</v>
      </c>
      <c r="B4238" t="s">
        <v>19</v>
      </c>
      <c r="C4238" t="s">
        <v>16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500"/>
        <v>16</v>
      </c>
      <c r="J4238" s="3">
        <f t="shared" si="501"/>
        <v>7</v>
      </c>
      <c r="K4238" s="3">
        <f t="shared" si="502"/>
        <v>9</v>
      </c>
      <c r="L4238" s="3" t="str">
        <f t="shared" si="499"/>
        <v>MUITO BOM</v>
      </c>
      <c r="M4238">
        <v>0</v>
      </c>
      <c r="N4238">
        <v>100</v>
      </c>
      <c r="O4238">
        <v>25</v>
      </c>
    </row>
    <row r="4239" spans="1:15" customFormat="1" hidden="1" x14ac:dyDescent="0.25">
      <c r="A4239" s="11">
        <v>46135</v>
      </c>
      <c r="B4239" t="s">
        <v>43</v>
      </c>
      <c r="C4239" t="s">
        <v>32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500"/>
        <v>17</v>
      </c>
      <c r="J4239" s="3">
        <f t="shared" si="501"/>
        <v>25</v>
      </c>
      <c r="K4239" s="3">
        <f t="shared" si="502"/>
        <v>-8</v>
      </c>
      <c r="L4239" s="3" t="str">
        <f t="shared" si="499"/>
        <v>CRÍTICO</v>
      </c>
      <c r="M4239">
        <v>26</v>
      </c>
      <c r="N4239">
        <v>100</v>
      </c>
      <c r="O4239">
        <v>23.9870340356564</v>
      </c>
    </row>
    <row r="4240" spans="1:15" customFormat="1" hidden="1" x14ac:dyDescent="0.25">
      <c r="A4240" s="11">
        <v>46135</v>
      </c>
      <c r="B4240" t="s">
        <v>44</v>
      </c>
      <c r="C4240" t="s">
        <v>32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500"/>
        <v>23</v>
      </c>
      <c r="J4240" s="3">
        <f t="shared" si="501"/>
        <v>25</v>
      </c>
      <c r="K4240" s="3">
        <f t="shared" si="502"/>
        <v>-2</v>
      </c>
      <c r="L4240" s="3" t="str">
        <f t="shared" si="499"/>
        <v>ATENÇÃO</v>
      </c>
      <c r="M4240">
        <v>20</v>
      </c>
      <c r="N4240">
        <v>95.49</v>
      </c>
      <c r="O4240">
        <v>28.370221327967808</v>
      </c>
    </row>
    <row r="4241" spans="1:15" customFormat="1" hidden="1" x14ac:dyDescent="0.25">
      <c r="A4241" s="11">
        <v>46135</v>
      </c>
      <c r="B4241" t="s">
        <v>20</v>
      </c>
      <c r="C4241" t="s">
        <v>16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500"/>
        <v>12</v>
      </c>
      <c r="J4241" s="3">
        <f t="shared" si="501"/>
        <v>7</v>
      </c>
      <c r="K4241" s="3">
        <f t="shared" si="502"/>
        <v>5</v>
      </c>
      <c r="L4241" s="3" t="str">
        <f t="shared" si="499"/>
        <v>OPORTUNO</v>
      </c>
      <c r="M4241">
        <v>7</v>
      </c>
      <c r="N4241">
        <v>100</v>
      </c>
      <c r="O4241">
        <v>23.77622377622378</v>
      </c>
    </row>
    <row r="4242" spans="1:15" customFormat="1" hidden="1" x14ac:dyDescent="0.25">
      <c r="A4242" s="11">
        <v>46135</v>
      </c>
      <c r="B4242" t="s">
        <v>28</v>
      </c>
      <c r="C4242" t="s">
        <v>26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500"/>
        <v>19</v>
      </c>
      <c r="J4242" s="3">
        <f t="shared" si="501"/>
        <v>14</v>
      </c>
      <c r="K4242" s="3">
        <f t="shared" si="502"/>
        <v>5</v>
      </c>
      <c r="L4242" s="3" t="str">
        <f t="shared" si="499"/>
        <v>OPORTUNO</v>
      </c>
      <c r="M4242">
        <v>16</v>
      </c>
      <c r="N4242">
        <v>96.15</v>
      </c>
      <c r="O4242">
        <v>24.045801526717561</v>
      </c>
    </row>
    <row r="4243" spans="1:15" customFormat="1" hidden="1" x14ac:dyDescent="0.25">
      <c r="A4243" s="11">
        <v>46135</v>
      </c>
      <c r="B4243" t="s">
        <v>58</v>
      </c>
      <c r="C4243" t="s">
        <v>48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499"/>
        <v>OPORTUNO</v>
      </c>
      <c r="M4243">
        <v>0</v>
      </c>
      <c r="N4243">
        <v>99.02</v>
      </c>
      <c r="O4243">
        <v>34.797297297297298</v>
      </c>
    </row>
    <row r="4244" spans="1:15" customFormat="1" hidden="1" x14ac:dyDescent="0.25">
      <c r="A4244" s="11">
        <v>46135</v>
      </c>
      <c r="B4244" t="s">
        <v>29</v>
      </c>
      <c r="C4244" t="s">
        <v>26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 t="shared" si="499"/>
        <v>OPORTUNO</v>
      </c>
      <c r="M4244">
        <v>0</v>
      </c>
      <c r="N4244">
        <v>98.84</v>
      </c>
      <c r="O4244">
        <v>31.868131868131869</v>
      </c>
    </row>
    <row r="4245" spans="1:15" customFormat="1" hidden="1" x14ac:dyDescent="0.25">
      <c r="A4245" s="11">
        <v>46135</v>
      </c>
      <c r="B4245" t="s">
        <v>30</v>
      </c>
      <c r="C4245" t="s">
        <v>26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ref="I4245:I4251" si="503">E4245+G4245+H4245</f>
        <v>11</v>
      </c>
      <c r="J4245" s="3">
        <f t="shared" ref="J4245:J4251" si="504"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14</v>
      </c>
      <c r="K4245" s="3">
        <f t="shared" ref="K4245:K4251" si="505">I4245-J4245</f>
        <v>-3</v>
      </c>
      <c r="L4245" s="3" t="str">
        <f t="shared" si="499"/>
        <v>ATENÇÃO</v>
      </c>
      <c r="M4245">
        <v>10</v>
      </c>
      <c r="N4245">
        <v>100</v>
      </c>
      <c r="O4245">
        <v>34.666666666666671</v>
      </c>
    </row>
    <row r="4246" spans="1:15" customFormat="1" hidden="1" x14ac:dyDescent="0.25">
      <c r="A4246" s="11">
        <v>46135</v>
      </c>
      <c r="B4246" t="s">
        <v>21</v>
      </c>
      <c r="C4246" t="s">
        <v>16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503"/>
        <v>5</v>
      </c>
      <c r="J4246" s="3">
        <f t="shared" si="504"/>
        <v>7</v>
      </c>
      <c r="K4246" s="3">
        <f t="shared" si="505"/>
        <v>-2</v>
      </c>
      <c r="L4246" s="3" t="str">
        <f t="shared" si="499"/>
        <v>ATENÇÃO</v>
      </c>
      <c r="M4246">
        <v>4</v>
      </c>
      <c r="N4246">
        <v>94.12</v>
      </c>
      <c r="O4246">
        <v>32.799999999999997</v>
      </c>
    </row>
    <row r="4247" spans="1:15" customFormat="1" hidden="1" x14ac:dyDescent="0.25">
      <c r="A4247" s="11">
        <v>46135</v>
      </c>
      <c r="B4247" t="s">
        <v>63</v>
      </c>
      <c r="C4247" t="s">
        <v>23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503"/>
        <v>27</v>
      </c>
      <c r="J4247" s="3">
        <f t="shared" si="504"/>
        <v>16</v>
      </c>
      <c r="K4247" s="3">
        <f t="shared" si="505"/>
        <v>11</v>
      </c>
      <c r="L4247" s="3" t="str">
        <f t="shared" si="499"/>
        <v>MUITO BOM</v>
      </c>
      <c r="M4247">
        <v>23</v>
      </c>
      <c r="N4247">
        <v>98.32</v>
      </c>
      <c r="O4247">
        <v>26.858513189448441</v>
      </c>
    </row>
    <row r="4248" spans="1:15" customFormat="1" hidden="1" x14ac:dyDescent="0.25">
      <c r="A4248" s="11">
        <v>46135</v>
      </c>
      <c r="B4248" t="s">
        <v>45</v>
      </c>
      <c r="C4248" t="s">
        <v>32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503"/>
        <v>30</v>
      </c>
      <c r="J4248" s="3">
        <f t="shared" si="504"/>
        <v>25</v>
      </c>
      <c r="K4248" s="3">
        <f t="shared" si="505"/>
        <v>5</v>
      </c>
      <c r="L4248" s="3" t="str">
        <f t="shared" si="499"/>
        <v>OPORTUNO</v>
      </c>
      <c r="M4248">
        <v>20</v>
      </c>
      <c r="N4248">
        <v>100</v>
      </c>
      <c r="O4248">
        <v>31.135531135531139</v>
      </c>
    </row>
    <row r="4249" spans="1:15" customFormat="1" hidden="1" x14ac:dyDescent="0.25">
      <c r="A4249" s="11">
        <v>46135</v>
      </c>
      <c r="B4249" t="s">
        <v>64</v>
      </c>
      <c r="C4249" t="s">
        <v>23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503"/>
        <v>17</v>
      </c>
      <c r="J4249" s="3">
        <f t="shared" si="504"/>
        <v>16</v>
      </c>
      <c r="K4249" s="3">
        <f t="shared" si="505"/>
        <v>1</v>
      </c>
      <c r="L4249" s="3" t="str">
        <f t="shared" si="499"/>
        <v>OPORTUNO</v>
      </c>
      <c r="M4249">
        <v>19</v>
      </c>
      <c r="N4249">
        <v>100</v>
      </c>
      <c r="O4249">
        <v>26.36986301369863</v>
      </c>
    </row>
    <row r="4250" spans="1:15" customFormat="1" hidden="1" x14ac:dyDescent="0.25">
      <c r="A4250" s="11">
        <v>46135</v>
      </c>
      <c r="B4250" t="s">
        <v>46</v>
      </c>
      <c r="C4250" t="s">
        <v>32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503"/>
        <v>23</v>
      </c>
      <c r="J4250" s="3">
        <f t="shared" si="504"/>
        <v>25</v>
      </c>
      <c r="K4250" s="3">
        <f t="shared" si="505"/>
        <v>-2</v>
      </c>
      <c r="L4250" s="3" t="str">
        <f t="shared" si="499"/>
        <v>ATENÇÃO</v>
      </c>
      <c r="M4250">
        <v>21</v>
      </c>
      <c r="N4250">
        <v>99.21</v>
      </c>
      <c r="O4250">
        <v>25.188916876574311</v>
      </c>
    </row>
    <row r="4251" spans="1:15" customFormat="1" hidden="1" x14ac:dyDescent="0.25">
      <c r="A4251" s="11">
        <v>46136</v>
      </c>
      <c r="B4251" t="s">
        <v>47</v>
      </c>
      <c r="C4251" t="s">
        <v>48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si="503"/>
        <v>28</v>
      </c>
      <c r="J4251" s="3">
        <f t="shared" si="504"/>
        <v>18</v>
      </c>
      <c r="K4251" s="3">
        <f t="shared" si="505"/>
        <v>10</v>
      </c>
      <c r="L4251" s="3" t="str">
        <f t="shared" si="499"/>
        <v>MUITO BOM</v>
      </c>
      <c r="M4251">
        <v>24</v>
      </c>
      <c r="N4251">
        <v>100</v>
      </c>
      <c r="O4251">
        <v>32.764505119453922</v>
      </c>
    </row>
    <row r="4252" spans="1:15" customFormat="1" hidden="1" x14ac:dyDescent="0.25">
      <c r="A4252" s="11">
        <v>46136</v>
      </c>
      <c r="B4252" t="s">
        <v>31</v>
      </c>
      <c r="C4252" t="s">
        <v>32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 t="shared" si="499"/>
        <v>OPORTUNO</v>
      </c>
      <c r="M4252">
        <v>14</v>
      </c>
      <c r="N4252">
        <v>98.66</v>
      </c>
      <c r="O4252">
        <v>35.416666666666671</v>
      </c>
    </row>
    <row r="4253" spans="1:15" customFormat="1" hidden="1" x14ac:dyDescent="0.25">
      <c r="A4253" s="11">
        <v>46136</v>
      </c>
      <c r="B4253" t="s">
        <v>59</v>
      </c>
      <c r="C4253" t="s">
        <v>23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15</v>
      </c>
      <c r="K4253" s="3">
        <f>I4253-J4253</f>
        <v>8</v>
      </c>
      <c r="L4253" s="3" t="str">
        <f t="shared" ref="L4253:L4284" si="506">IF(K4253&lt;-5,"CRÍTICO",IF(K4253&lt;0,"ATENÇÃO",IF(K4253&lt;=5,"OPORTUNO","MUITO BOM")))</f>
        <v>MUITO BOM</v>
      </c>
      <c r="M4253">
        <v>24</v>
      </c>
      <c r="N4253">
        <v>99.32</v>
      </c>
      <c r="O4253">
        <v>30.648330058939099</v>
      </c>
    </row>
    <row r="4254" spans="1:15" customFormat="1" hidden="1" x14ac:dyDescent="0.25">
      <c r="A4254" s="11">
        <v>46136</v>
      </c>
      <c r="B4254" t="s">
        <v>33</v>
      </c>
      <c r="C4254" t="s">
        <v>32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23</v>
      </c>
      <c r="K4254" s="3">
        <f>I4254-J4254</f>
        <v>-1</v>
      </c>
      <c r="L4254" s="3" t="str">
        <f t="shared" si="506"/>
        <v>ATENÇÃO</v>
      </c>
      <c r="M4254">
        <v>21</v>
      </c>
      <c r="N4254">
        <v>100</v>
      </c>
      <c r="O4254">
        <v>27.803738317757009</v>
      </c>
    </row>
    <row r="4255" spans="1:15" customFormat="1" hidden="1" x14ac:dyDescent="0.25">
      <c r="A4255" s="11">
        <v>46136</v>
      </c>
      <c r="B4255" t="s">
        <v>15</v>
      </c>
      <c r="C4255" t="s">
        <v>16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 t="shared" si="506"/>
        <v>MUITO BOM</v>
      </c>
      <c r="M4255">
        <v>29</v>
      </c>
      <c r="N4255">
        <v>96.74</v>
      </c>
      <c r="O4255">
        <v>28.67647058823529</v>
      </c>
    </row>
    <row r="4256" spans="1:15" customFormat="1" hidden="1" x14ac:dyDescent="0.25">
      <c r="A4256" s="11">
        <v>46136</v>
      </c>
      <c r="B4256" t="s">
        <v>49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506"/>
        <v>OPORTUNO</v>
      </c>
      <c r="M4256">
        <v>0</v>
      </c>
      <c r="N4256">
        <v>98.82</v>
      </c>
      <c r="O4256">
        <v>30.741410488245929</v>
      </c>
    </row>
    <row r="4257" spans="1:16" hidden="1" x14ac:dyDescent="0.25">
      <c r="A4257" s="11">
        <v>46136</v>
      </c>
      <c r="B4257" t="s">
        <v>50</v>
      </c>
      <c r="C4257" t="s">
        <v>48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 t="shared" si="506"/>
        <v>OPORTUNO</v>
      </c>
      <c r="M4257">
        <v>2</v>
      </c>
      <c r="N4257">
        <v>98.2</v>
      </c>
      <c r="O4257">
        <v>27.170868347338931</v>
      </c>
      <c r="P4257"/>
    </row>
    <row r="4258" spans="1:16" hidden="1" x14ac:dyDescent="0.25">
      <c r="A4258" s="11">
        <v>46136</v>
      </c>
      <c r="B4258" t="s">
        <v>17</v>
      </c>
      <c r="C4258" t="s">
        <v>16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 t="shared" si="506"/>
        <v>OPORTUNO</v>
      </c>
      <c r="M4258">
        <v>7</v>
      </c>
      <c r="N4258">
        <v>100</v>
      </c>
      <c r="O4258">
        <v>23.134328358208951</v>
      </c>
      <c r="P4258"/>
    </row>
    <row r="4259" spans="1:16" hidden="1" x14ac:dyDescent="0.25">
      <c r="A4259" s="11">
        <v>46136</v>
      </c>
      <c r="B4259" t="s">
        <v>60</v>
      </c>
      <c r="C4259" t="s">
        <v>23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-3</v>
      </c>
      <c r="L4259" s="3" t="str">
        <f t="shared" si="506"/>
        <v>ATENÇÃO</v>
      </c>
      <c r="M4259">
        <v>14</v>
      </c>
      <c r="N4259">
        <v>96.3</v>
      </c>
      <c r="O4259">
        <v>32.219570405727922</v>
      </c>
      <c r="P4259"/>
    </row>
    <row r="4260" spans="1:16" hidden="1" x14ac:dyDescent="0.25">
      <c r="A4260" s="11">
        <v>46136</v>
      </c>
      <c r="B4260" t="s">
        <v>34</v>
      </c>
      <c r="C4260" t="s">
        <v>32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23</v>
      </c>
      <c r="K4260" s="3">
        <f>I4260-J4260</f>
        <v>0</v>
      </c>
      <c r="L4260" s="3" t="str">
        <f t="shared" si="506"/>
        <v>OPORTUNO</v>
      </c>
      <c r="M4260">
        <v>23</v>
      </c>
      <c r="N4260">
        <v>93.75</v>
      </c>
      <c r="O4260">
        <v>26.819923371647509</v>
      </c>
      <c r="P4260"/>
    </row>
    <row r="4261" spans="1:16" hidden="1" x14ac:dyDescent="0.25">
      <c r="A4261" s="11">
        <v>46136</v>
      </c>
      <c r="B4261" t="s">
        <v>51</v>
      </c>
      <c r="C4261" t="s">
        <v>48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 t="shared" si="506"/>
        <v>OPORTUNO</v>
      </c>
      <c r="M4261">
        <v>0</v>
      </c>
      <c r="N4261">
        <v>97.86</v>
      </c>
      <c r="O4261">
        <v>31.018518518518519</v>
      </c>
      <c r="P4261"/>
    </row>
    <row r="4262" spans="1:16" hidden="1" x14ac:dyDescent="0.25">
      <c r="A4262" s="11">
        <v>46136</v>
      </c>
      <c r="B4262" t="s">
        <v>61</v>
      </c>
      <c r="C4262" t="s">
        <v>23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15</v>
      </c>
      <c r="K4262" s="3">
        <f>I4262-J4262</f>
        <v>8</v>
      </c>
      <c r="L4262" s="3" t="str">
        <f t="shared" si="506"/>
        <v>MUITO BOM</v>
      </c>
      <c r="M4262">
        <v>10</v>
      </c>
      <c r="N4262">
        <v>100</v>
      </c>
      <c r="O4262">
        <v>36.594202898550733</v>
      </c>
      <c r="P4262"/>
    </row>
    <row r="4263" spans="1:16" hidden="1" x14ac:dyDescent="0.25">
      <c r="A4263" s="11">
        <v>46136</v>
      </c>
      <c r="B4263" t="s">
        <v>35</v>
      </c>
      <c r="C4263" t="s">
        <v>32</v>
      </c>
      <c r="D4263">
        <v>22</v>
      </c>
      <c r="E4263">
        <v>22</v>
      </c>
      <c r="F4263">
        <v>22.04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 t="shared" si="506"/>
        <v>OPORTUNO</v>
      </c>
      <c r="M4263">
        <v>23</v>
      </c>
      <c r="N4263">
        <v>100</v>
      </c>
      <c r="O4263">
        <v>38.653846153846153</v>
      </c>
      <c r="P4263"/>
    </row>
    <row r="4264" spans="1:16" hidden="1" x14ac:dyDescent="0.25">
      <c r="A4264" s="11">
        <v>46136</v>
      </c>
      <c r="B4264" t="s">
        <v>18</v>
      </c>
      <c r="C4264" t="s">
        <v>16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ref="I4264:I4270" si="507">E4264+G4264+H4264</f>
        <v>8</v>
      </c>
      <c r="J4264" s="3">
        <f t="shared" ref="J4264:J4270" si="508"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 t="shared" ref="K4264:K4270" si="509">I4264-J4264</f>
        <v>2</v>
      </c>
      <c r="L4264" s="3" t="str">
        <f t="shared" si="506"/>
        <v>OPORTUNO</v>
      </c>
      <c r="M4264">
        <v>5</v>
      </c>
      <c r="N4264">
        <v>100</v>
      </c>
      <c r="O4264">
        <v>27.368421052631579</v>
      </c>
      <c r="P4264"/>
    </row>
    <row r="4265" spans="1:16" hidden="1" x14ac:dyDescent="0.25">
      <c r="A4265" s="11">
        <v>46136</v>
      </c>
      <c r="B4265" t="s">
        <v>52</v>
      </c>
      <c r="C4265" t="s">
        <v>48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507"/>
        <v>23</v>
      </c>
      <c r="J4265" s="3">
        <f t="shared" si="508"/>
        <v>18</v>
      </c>
      <c r="K4265" s="3">
        <f t="shared" si="509"/>
        <v>5</v>
      </c>
      <c r="L4265" s="3" t="str">
        <f t="shared" si="506"/>
        <v>OPORTUNO</v>
      </c>
      <c r="M4265">
        <v>19</v>
      </c>
      <c r="N4265">
        <v>97.83</v>
      </c>
      <c r="O4265">
        <v>28.35164835164835</v>
      </c>
      <c r="P4265"/>
    </row>
    <row r="4266" spans="1:16" hidden="1" x14ac:dyDescent="0.25">
      <c r="A4266" s="11">
        <v>46136</v>
      </c>
      <c r="B4266" t="s">
        <v>36</v>
      </c>
      <c r="C4266" t="s">
        <v>32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507"/>
        <v>23</v>
      </c>
      <c r="J4266" s="3">
        <f t="shared" si="508"/>
        <v>23</v>
      </c>
      <c r="K4266" s="3">
        <f t="shared" si="509"/>
        <v>0</v>
      </c>
      <c r="L4266" s="3" t="str">
        <f t="shared" si="506"/>
        <v>OPORTUNO</v>
      </c>
      <c r="M4266">
        <v>22</v>
      </c>
      <c r="N4266">
        <v>99.26</v>
      </c>
      <c r="O4266">
        <v>29.766536964980549</v>
      </c>
      <c r="P4266"/>
    </row>
    <row r="4267" spans="1:16" hidden="1" x14ac:dyDescent="0.25">
      <c r="A4267" s="11">
        <v>46136</v>
      </c>
      <c r="B4267" t="s">
        <v>53</v>
      </c>
      <c r="C4267" t="s">
        <v>48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507"/>
        <v>25</v>
      </c>
      <c r="J4267" s="3">
        <f t="shared" si="508"/>
        <v>18</v>
      </c>
      <c r="K4267" s="3">
        <f t="shared" si="509"/>
        <v>7</v>
      </c>
      <c r="L4267" s="3" t="str">
        <f t="shared" si="506"/>
        <v>MUITO BOM</v>
      </c>
      <c r="M4267">
        <v>24</v>
      </c>
      <c r="N4267">
        <v>99.19</v>
      </c>
      <c r="O4267">
        <v>29.462365591397852</v>
      </c>
      <c r="P4267"/>
    </row>
    <row r="4268" spans="1:16" hidden="1" x14ac:dyDescent="0.25">
      <c r="A4268" s="5">
        <v>46146</v>
      </c>
      <c r="B4268" s="6" t="s">
        <v>53</v>
      </c>
      <c r="C4268" s="3" t="s">
        <v>48</v>
      </c>
      <c r="D4268" s="3">
        <v>36</v>
      </c>
      <c r="E4268" s="3">
        <v>33</v>
      </c>
      <c r="F4268" s="3">
        <v>18.37</v>
      </c>
      <c r="G4268" s="3">
        <v>0</v>
      </c>
      <c r="H4268" s="3">
        <v>0</v>
      </c>
      <c r="I4268" s="3">
        <f t="shared" si="507"/>
        <v>33</v>
      </c>
      <c r="J4268" s="3">
        <f t="shared" si="508"/>
        <v>28</v>
      </c>
      <c r="K4268" s="3">
        <f t="shared" si="509"/>
        <v>5</v>
      </c>
      <c r="L4268" s="3" t="str">
        <f>IF(K4268&lt;-5,"CRÍTICO",IF(K4268&lt;0,"ATENÇÃO",IF(K4268&lt;=5,"BOM","EXCELENTE")))</f>
        <v>BOM</v>
      </c>
      <c r="M4268" s="3">
        <v>29</v>
      </c>
      <c r="N4268" s="3">
        <v>100</v>
      </c>
      <c r="O4268" s="3">
        <v>17.241379310344829</v>
      </c>
    </row>
    <row r="4269" spans="1:16" hidden="1" x14ac:dyDescent="0.25">
      <c r="A4269" s="11">
        <v>46136</v>
      </c>
      <c r="B4269" t="s">
        <v>54</v>
      </c>
      <c r="C4269" t="s">
        <v>48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507"/>
        <v>19</v>
      </c>
      <c r="J4269" s="3">
        <f t="shared" si="508"/>
        <v>18</v>
      </c>
      <c r="K4269" s="3">
        <f t="shared" si="509"/>
        <v>1</v>
      </c>
      <c r="L4269" s="3" t="str">
        <f t="shared" ref="L4269:L4311" si="510">IF(K4269&lt;-5,"CRÍTICO",IF(K4269&lt;0,"ATENÇÃO",IF(K4269&lt;=5,"OPORTUNO","MUITO BOM")))</f>
        <v>OPORTUNO</v>
      </c>
      <c r="M4269">
        <v>19</v>
      </c>
      <c r="N4269">
        <v>100</v>
      </c>
      <c r="O4269">
        <v>28.921568627450981</v>
      </c>
      <c r="P4269"/>
    </row>
    <row r="4270" spans="1:16" hidden="1" x14ac:dyDescent="0.25">
      <c r="A4270" s="11">
        <v>46136</v>
      </c>
      <c r="B4270" t="s">
        <v>37</v>
      </c>
      <c r="C4270" t="s">
        <v>32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507"/>
        <v>35</v>
      </c>
      <c r="J4270" s="3">
        <f t="shared" si="508"/>
        <v>23</v>
      </c>
      <c r="K4270" s="3">
        <f t="shared" si="509"/>
        <v>12</v>
      </c>
      <c r="L4270" s="3" t="str">
        <f t="shared" si="510"/>
        <v>MUITO BOM</v>
      </c>
      <c r="M4270">
        <v>28</v>
      </c>
      <c r="N4270">
        <v>99.57</v>
      </c>
      <c r="O4270">
        <v>30.635838150289018</v>
      </c>
      <c r="P4270"/>
    </row>
    <row r="4271" spans="1:16" hidden="1" x14ac:dyDescent="0.25">
      <c r="A4271" s="11">
        <v>46136</v>
      </c>
      <c r="B4271" t="s">
        <v>38</v>
      </c>
      <c r="C4271" t="s">
        <v>32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 t="shared" si="510"/>
        <v>OPORTUNO</v>
      </c>
      <c r="M4271">
        <v>0</v>
      </c>
      <c r="N4271">
        <v>95.65</v>
      </c>
      <c r="O4271">
        <v>32.432432432432442</v>
      </c>
      <c r="P4271"/>
    </row>
    <row r="4272" spans="1:16" hidden="1" x14ac:dyDescent="0.25">
      <c r="A4272" s="11">
        <v>46136</v>
      </c>
      <c r="B4272" t="s">
        <v>55</v>
      </c>
      <c r="C4272" t="s">
        <v>48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 t="shared" si="510"/>
        <v>ATENÇÃO</v>
      </c>
      <c r="M4272">
        <v>14</v>
      </c>
      <c r="N4272">
        <v>98.81</v>
      </c>
      <c r="O4272">
        <v>26.256983240223459</v>
      </c>
      <c r="P4272"/>
    </row>
    <row r="4273" spans="1:15" customFormat="1" hidden="1" x14ac:dyDescent="0.25">
      <c r="A4273" s="11">
        <v>46136</v>
      </c>
      <c r="B4273" t="s">
        <v>39</v>
      </c>
      <c r="C4273" t="s">
        <v>32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 t="shared" si="510"/>
        <v>OPORTUNO</v>
      </c>
      <c r="M4273">
        <v>0</v>
      </c>
      <c r="N4273">
        <v>0</v>
      </c>
      <c r="O4273">
        <v>0</v>
      </c>
    </row>
    <row r="4274" spans="1:15" customFormat="1" hidden="1" x14ac:dyDescent="0.25">
      <c r="A4274" s="11">
        <v>46136</v>
      </c>
      <c r="B4274" t="s">
        <v>25</v>
      </c>
      <c r="C4274" t="s">
        <v>26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 t="shared" si="510"/>
        <v>OPORTUNO</v>
      </c>
      <c r="M4274">
        <v>14</v>
      </c>
      <c r="N4274">
        <v>97.17</v>
      </c>
      <c r="O4274">
        <v>28.81844380403458</v>
      </c>
    </row>
    <row r="4275" spans="1:15" customFormat="1" hidden="1" x14ac:dyDescent="0.25">
      <c r="A4275" s="11">
        <v>46136</v>
      </c>
      <c r="B4275" t="s">
        <v>40</v>
      </c>
      <c r="C4275" t="s">
        <v>32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 t="shared" si="510"/>
        <v>OPORTUNO</v>
      </c>
      <c r="M4275">
        <v>28</v>
      </c>
      <c r="N4275">
        <v>96.81</v>
      </c>
      <c r="O4275">
        <v>48.018648018648022</v>
      </c>
    </row>
    <row r="4276" spans="1:15" customFormat="1" hidden="1" x14ac:dyDescent="0.25">
      <c r="A4276" s="11">
        <v>46136</v>
      </c>
      <c r="B4276" t="s">
        <v>27</v>
      </c>
      <c r="C4276" t="s">
        <v>26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 t="shared" si="510"/>
        <v>ATENÇÃO</v>
      </c>
      <c r="M4276">
        <v>11</v>
      </c>
      <c r="N4276">
        <v>98.15</v>
      </c>
      <c r="O4276">
        <v>27.1551724137931</v>
      </c>
    </row>
    <row r="4277" spans="1:15" customFormat="1" hidden="1" x14ac:dyDescent="0.25">
      <c r="A4277" s="11">
        <v>46136</v>
      </c>
      <c r="B4277" t="s">
        <v>41</v>
      </c>
      <c r="C4277" t="s">
        <v>32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23</v>
      </c>
      <c r="K4277" s="3">
        <f>I4277-J4277</f>
        <v>-4</v>
      </c>
      <c r="L4277" s="3" t="str">
        <f t="shared" si="510"/>
        <v>ATENÇÃO</v>
      </c>
      <c r="M4277">
        <v>19</v>
      </c>
      <c r="N4277">
        <v>99.15</v>
      </c>
      <c r="O4277">
        <v>27.586206896551719</v>
      </c>
    </row>
    <row r="4278" spans="1:15" customFormat="1" hidden="1" x14ac:dyDescent="0.25">
      <c r="A4278" s="11">
        <v>46136</v>
      </c>
      <c r="B4278" t="s">
        <v>56</v>
      </c>
      <c r="C4278" t="s">
        <v>48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 t="shared" si="510"/>
        <v>OPORTUNO</v>
      </c>
      <c r="M4278">
        <v>9</v>
      </c>
      <c r="N4278">
        <v>99.17</v>
      </c>
      <c r="O4278">
        <v>29.75206611570248</v>
      </c>
    </row>
    <row r="4279" spans="1:15" customFormat="1" hidden="1" x14ac:dyDescent="0.25">
      <c r="A4279" s="11">
        <v>46136</v>
      </c>
      <c r="B4279" t="s">
        <v>57</v>
      </c>
      <c r="C4279" t="s">
        <v>48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510"/>
        <v>OPORTUNO</v>
      </c>
      <c r="M4279">
        <v>0</v>
      </c>
      <c r="N4279">
        <v>98.73</v>
      </c>
      <c r="O4279">
        <v>28.961748633879779</v>
      </c>
    </row>
    <row r="4280" spans="1:15" customFormat="1" hidden="1" x14ac:dyDescent="0.25">
      <c r="A4280" s="11">
        <v>46136</v>
      </c>
      <c r="B4280" t="s">
        <v>42</v>
      </c>
      <c r="C4280" t="s">
        <v>32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 t="shared" si="510"/>
        <v>OPORTUNO</v>
      </c>
      <c r="M4280">
        <v>0</v>
      </c>
      <c r="N4280">
        <v>88.68</v>
      </c>
      <c r="O4280">
        <v>22.03389830508474</v>
      </c>
    </row>
    <row r="4281" spans="1:15" customFormat="1" hidden="1" x14ac:dyDescent="0.25">
      <c r="A4281" s="11">
        <v>46136</v>
      </c>
      <c r="B4281" t="s">
        <v>62</v>
      </c>
      <c r="C4281" t="s">
        <v>23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ref="I4281:I4295" si="511">E4281+G4281+H4281</f>
        <v>12</v>
      </c>
      <c r="J4281" s="3">
        <f t="shared" ref="J4281:J4295" si="512"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15</v>
      </c>
      <c r="K4281" s="3">
        <f t="shared" ref="K4281:K4295" si="513">I4281-J4281</f>
        <v>-3</v>
      </c>
      <c r="L4281" s="3" t="str">
        <f t="shared" si="510"/>
        <v>ATENÇÃO</v>
      </c>
      <c r="M4281">
        <v>14</v>
      </c>
      <c r="N4281">
        <v>97.37</v>
      </c>
      <c r="O4281">
        <v>25.76530612244898</v>
      </c>
    </row>
    <row r="4282" spans="1:15" customFormat="1" hidden="1" x14ac:dyDescent="0.25">
      <c r="A4282" s="11">
        <v>46136</v>
      </c>
      <c r="B4282" t="s">
        <v>19</v>
      </c>
      <c r="C4282" t="s">
        <v>16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511"/>
        <v>16</v>
      </c>
      <c r="J4282" s="3">
        <f t="shared" si="512"/>
        <v>6</v>
      </c>
      <c r="K4282" s="3">
        <f t="shared" si="513"/>
        <v>10</v>
      </c>
      <c r="L4282" s="3" t="str">
        <f t="shared" si="510"/>
        <v>MUITO BOM</v>
      </c>
      <c r="M4282">
        <v>5</v>
      </c>
      <c r="N4282">
        <v>100</v>
      </c>
      <c r="O4282">
        <v>25</v>
      </c>
    </row>
    <row r="4283" spans="1:15" customFormat="1" hidden="1" x14ac:dyDescent="0.25">
      <c r="A4283" s="11">
        <v>46136</v>
      </c>
      <c r="B4283" t="s">
        <v>43</v>
      </c>
      <c r="C4283" t="s">
        <v>32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511"/>
        <v>12</v>
      </c>
      <c r="J4283" s="3">
        <f t="shared" si="512"/>
        <v>23</v>
      </c>
      <c r="K4283" s="3">
        <f t="shared" si="513"/>
        <v>-11</v>
      </c>
      <c r="L4283" s="3" t="str">
        <f t="shared" si="510"/>
        <v>CRÍTICO</v>
      </c>
      <c r="M4283">
        <v>10</v>
      </c>
      <c r="N4283">
        <v>100</v>
      </c>
      <c r="O4283">
        <v>23.9870340356564</v>
      </c>
    </row>
    <row r="4284" spans="1:15" customFormat="1" hidden="1" x14ac:dyDescent="0.25">
      <c r="A4284" s="11">
        <v>46136</v>
      </c>
      <c r="B4284" t="s">
        <v>44</v>
      </c>
      <c r="C4284" t="s">
        <v>32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511"/>
        <v>28</v>
      </c>
      <c r="J4284" s="3">
        <f t="shared" si="512"/>
        <v>23</v>
      </c>
      <c r="K4284" s="3">
        <f t="shared" si="513"/>
        <v>5</v>
      </c>
      <c r="L4284" s="3" t="str">
        <f t="shared" si="510"/>
        <v>OPORTUNO</v>
      </c>
      <c r="M4284">
        <v>20</v>
      </c>
      <c r="N4284">
        <v>95.49</v>
      </c>
      <c r="O4284">
        <v>28.370221327967808</v>
      </c>
    </row>
    <row r="4285" spans="1:15" customFormat="1" hidden="1" x14ac:dyDescent="0.25">
      <c r="A4285" s="11">
        <v>46136</v>
      </c>
      <c r="B4285" t="s">
        <v>20</v>
      </c>
      <c r="C4285" t="s">
        <v>16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511"/>
        <v>3</v>
      </c>
      <c r="J4285" s="3">
        <f t="shared" si="512"/>
        <v>6</v>
      </c>
      <c r="K4285" s="3">
        <f t="shared" si="513"/>
        <v>-3</v>
      </c>
      <c r="L4285" s="3" t="str">
        <f t="shared" si="510"/>
        <v>ATENÇÃO</v>
      </c>
      <c r="M4285">
        <v>3</v>
      </c>
      <c r="N4285">
        <v>100</v>
      </c>
      <c r="O4285">
        <v>23.77622377622378</v>
      </c>
    </row>
    <row r="4286" spans="1:15" customFormat="1" hidden="1" x14ac:dyDescent="0.25">
      <c r="A4286" s="11">
        <v>46136</v>
      </c>
      <c r="B4286" t="s">
        <v>28</v>
      </c>
      <c r="C4286" t="s">
        <v>26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511"/>
        <v>13</v>
      </c>
      <c r="J4286" s="3">
        <f t="shared" si="512"/>
        <v>13</v>
      </c>
      <c r="K4286" s="3">
        <f t="shared" si="513"/>
        <v>0</v>
      </c>
      <c r="L4286" s="3" t="str">
        <f t="shared" si="510"/>
        <v>OPORTUNO</v>
      </c>
      <c r="M4286">
        <v>12</v>
      </c>
      <c r="N4286">
        <v>96.15</v>
      </c>
      <c r="O4286">
        <v>24.045801526717561</v>
      </c>
    </row>
    <row r="4287" spans="1:15" customFormat="1" hidden="1" x14ac:dyDescent="0.25">
      <c r="A4287" s="11">
        <v>46136</v>
      </c>
      <c r="B4287" t="s">
        <v>58</v>
      </c>
      <c r="C4287" t="s">
        <v>48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511"/>
        <v>20</v>
      </c>
      <c r="J4287" s="3">
        <f t="shared" si="512"/>
        <v>18</v>
      </c>
      <c r="K4287" s="3">
        <f t="shared" si="513"/>
        <v>2</v>
      </c>
      <c r="L4287" s="3" t="str">
        <f t="shared" si="510"/>
        <v>OPORTUNO</v>
      </c>
      <c r="M4287">
        <v>17</v>
      </c>
      <c r="N4287">
        <v>99.02</v>
      </c>
      <c r="O4287">
        <v>34.797297297297298</v>
      </c>
    </row>
    <row r="4288" spans="1:15" customFormat="1" hidden="1" x14ac:dyDescent="0.25">
      <c r="A4288" s="11">
        <v>46136</v>
      </c>
      <c r="B4288" t="s">
        <v>29</v>
      </c>
      <c r="C4288" t="s">
        <v>26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511"/>
        <v>17</v>
      </c>
      <c r="J4288" s="3">
        <f t="shared" si="512"/>
        <v>13</v>
      </c>
      <c r="K4288" s="3">
        <f t="shared" si="513"/>
        <v>4</v>
      </c>
      <c r="L4288" s="3" t="str">
        <f t="shared" si="510"/>
        <v>OPORTUNO</v>
      </c>
      <c r="M4288">
        <v>14</v>
      </c>
      <c r="N4288">
        <v>98.84</v>
      </c>
      <c r="O4288">
        <v>31.868131868131869</v>
      </c>
    </row>
    <row r="4289" spans="1:15" customFormat="1" hidden="1" x14ac:dyDescent="0.25">
      <c r="A4289" s="11">
        <v>46136</v>
      </c>
      <c r="B4289" t="s">
        <v>30</v>
      </c>
      <c r="C4289" t="s">
        <v>26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511"/>
        <v>23</v>
      </c>
      <c r="J4289" s="3">
        <f t="shared" si="512"/>
        <v>13</v>
      </c>
      <c r="K4289" s="3">
        <f t="shared" si="513"/>
        <v>10</v>
      </c>
      <c r="L4289" s="3" t="str">
        <f t="shared" si="510"/>
        <v>MUITO BOM</v>
      </c>
      <c r="M4289">
        <v>18</v>
      </c>
      <c r="N4289">
        <v>100</v>
      </c>
      <c r="O4289">
        <v>34.666666666666671</v>
      </c>
    </row>
    <row r="4290" spans="1:15" customFormat="1" hidden="1" x14ac:dyDescent="0.25">
      <c r="A4290" s="11">
        <v>46136</v>
      </c>
      <c r="B4290" t="s">
        <v>21</v>
      </c>
      <c r="C4290" t="s">
        <v>16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511"/>
        <v>9</v>
      </c>
      <c r="J4290" s="3">
        <f t="shared" si="512"/>
        <v>6</v>
      </c>
      <c r="K4290" s="3">
        <f t="shared" si="513"/>
        <v>3</v>
      </c>
      <c r="L4290" s="3" t="str">
        <f t="shared" si="510"/>
        <v>OPORTUNO</v>
      </c>
      <c r="M4290">
        <v>4</v>
      </c>
      <c r="N4290">
        <v>94.12</v>
      </c>
      <c r="O4290">
        <v>32.799999999999997</v>
      </c>
    </row>
    <row r="4291" spans="1:15" customFormat="1" hidden="1" x14ac:dyDescent="0.25">
      <c r="A4291" s="11">
        <v>46136</v>
      </c>
      <c r="B4291" t="s">
        <v>63</v>
      </c>
      <c r="C4291" t="s">
        <v>23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511"/>
        <v>17</v>
      </c>
      <c r="J4291" s="3">
        <f t="shared" si="512"/>
        <v>15</v>
      </c>
      <c r="K4291" s="3">
        <f t="shared" si="513"/>
        <v>2</v>
      </c>
      <c r="L4291" s="3" t="str">
        <f t="shared" si="510"/>
        <v>OPORTUNO</v>
      </c>
      <c r="M4291">
        <v>12</v>
      </c>
      <c r="N4291">
        <v>98.32</v>
      </c>
      <c r="O4291">
        <v>26.858513189448441</v>
      </c>
    </row>
    <row r="4292" spans="1:15" customFormat="1" hidden="1" x14ac:dyDescent="0.25">
      <c r="A4292" s="11">
        <v>46136</v>
      </c>
      <c r="B4292" t="s">
        <v>45</v>
      </c>
      <c r="C4292" t="s">
        <v>32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511"/>
        <v>25</v>
      </c>
      <c r="J4292" s="3">
        <f t="shared" si="512"/>
        <v>23</v>
      </c>
      <c r="K4292" s="3">
        <f t="shared" si="513"/>
        <v>2</v>
      </c>
      <c r="L4292" s="3" t="str">
        <f t="shared" si="510"/>
        <v>OPORTUNO</v>
      </c>
      <c r="M4292">
        <v>18</v>
      </c>
      <c r="N4292">
        <v>100</v>
      </c>
      <c r="O4292">
        <v>31.135531135531139</v>
      </c>
    </row>
    <row r="4293" spans="1:15" customFormat="1" hidden="1" x14ac:dyDescent="0.25">
      <c r="A4293" s="11">
        <v>46136</v>
      </c>
      <c r="B4293" t="s">
        <v>64</v>
      </c>
      <c r="C4293" t="s">
        <v>23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511"/>
        <v>16</v>
      </c>
      <c r="J4293" s="3">
        <f t="shared" si="512"/>
        <v>15</v>
      </c>
      <c r="K4293" s="3">
        <f t="shared" si="513"/>
        <v>1</v>
      </c>
      <c r="L4293" s="3" t="str">
        <f t="shared" si="510"/>
        <v>OPORTUNO</v>
      </c>
      <c r="M4293">
        <v>13</v>
      </c>
      <c r="N4293">
        <v>100</v>
      </c>
      <c r="O4293">
        <v>26.36986301369863</v>
      </c>
    </row>
    <row r="4294" spans="1:15" customFormat="1" hidden="1" x14ac:dyDescent="0.25">
      <c r="A4294" s="11">
        <v>46136</v>
      </c>
      <c r="B4294" t="s">
        <v>46</v>
      </c>
      <c r="C4294" t="s">
        <v>32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511"/>
        <v>18</v>
      </c>
      <c r="J4294" s="3">
        <f t="shared" si="512"/>
        <v>23</v>
      </c>
      <c r="K4294" s="3">
        <f t="shared" si="513"/>
        <v>-5</v>
      </c>
      <c r="L4294" s="3" t="str">
        <f t="shared" si="510"/>
        <v>ATENÇÃO</v>
      </c>
      <c r="M4294">
        <v>11</v>
      </c>
      <c r="N4294">
        <v>99.21</v>
      </c>
      <c r="O4294">
        <v>25.188916876574311</v>
      </c>
    </row>
    <row r="4295" spans="1:15" customFormat="1" hidden="1" x14ac:dyDescent="0.25">
      <c r="A4295" s="11">
        <v>46139</v>
      </c>
      <c r="B4295" t="s">
        <v>47</v>
      </c>
      <c r="C4295" t="s">
        <v>48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511"/>
        <v>11</v>
      </c>
      <c r="J4295" s="3">
        <f t="shared" si="512"/>
        <v>12</v>
      </c>
      <c r="K4295" s="3">
        <f t="shared" si="513"/>
        <v>-1</v>
      </c>
      <c r="L4295" s="3" t="str">
        <f t="shared" si="510"/>
        <v>ATENÇÃO</v>
      </c>
      <c r="M4295">
        <v>9</v>
      </c>
      <c r="N4295">
        <v>100</v>
      </c>
      <c r="O4295">
        <v>32.764505119453922</v>
      </c>
    </row>
    <row r="4296" spans="1:15" customFormat="1" hidden="1" x14ac:dyDescent="0.25">
      <c r="A4296" s="11">
        <v>46139</v>
      </c>
      <c r="B4296" t="s">
        <v>31</v>
      </c>
      <c r="C4296" t="s">
        <v>32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 t="shared" si="510"/>
        <v>OPORTUNO</v>
      </c>
      <c r="M4296">
        <v>15</v>
      </c>
      <c r="N4296">
        <v>98.66</v>
      </c>
      <c r="O4296">
        <v>35.416666666666671</v>
      </c>
    </row>
    <row r="4297" spans="1:15" customFormat="1" hidden="1" x14ac:dyDescent="0.25">
      <c r="A4297" s="11">
        <v>46139</v>
      </c>
      <c r="B4297" t="s">
        <v>59</v>
      </c>
      <c r="C4297" t="s">
        <v>23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ref="I4297:I4304" si="514">E4297+G4297+H4297</f>
        <v>9</v>
      </c>
      <c r="J4297" s="3">
        <f t="shared" ref="J4297:J4304" si="515"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 t="shared" ref="K4297:K4304" si="516">I4297-J4297</f>
        <v>0</v>
      </c>
      <c r="L4297" s="3" t="str">
        <f t="shared" si="510"/>
        <v>OPORTUNO</v>
      </c>
      <c r="M4297">
        <v>12</v>
      </c>
      <c r="N4297">
        <v>99.32</v>
      </c>
      <c r="O4297">
        <v>30.648330058939099</v>
      </c>
    </row>
    <row r="4298" spans="1:15" customFormat="1" hidden="1" x14ac:dyDescent="0.25">
      <c r="A4298" s="11">
        <v>46139</v>
      </c>
      <c r="B4298" t="s">
        <v>33</v>
      </c>
      <c r="C4298" t="s">
        <v>32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514"/>
        <v>10</v>
      </c>
      <c r="J4298" s="3">
        <f t="shared" si="515"/>
        <v>14</v>
      </c>
      <c r="K4298" s="3">
        <f t="shared" si="516"/>
        <v>-4</v>
      </c>
      <c r="L4298" s="3" t="str">
        <f t="shared" si="510"/>
        <v>ATENÇÃO</v>
      </c>
      <c r="M4298">
        <v>10</v>
      </c>
      <c r="N4298">
        <v>100</v>
      </c>
      <c r="O4298">
        <v>27.803738317757009</v>
      </c>
    </row>
    <row r="4299" spans="1:15" customFormat="1" hidden="1" x14ac:dyDescent="0.25">
      <c r="A4299" s="11">
        <v>46139</v>
      </c>
      <c r="B4299" t="s">
        <v>15</v>
      </c>
      <c r="C4299" t="s">
        <v>16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514"/>
        <v>14</v>
      </c>
      <c r="J4299" s="3">
        <f t="shared" si="515"/>
        <v>4</v>
      </c>
      <c r="K4299" s="3">
        <f t="shared" si="516"/>
        <v>10</v>
      </c>
      <c r="L4299" s="3" t="str">
        <f t="shared" si="510"/>
        <v>MUITO BOM</v>
      </c>
      <c r="M4299">
        <v>14</v>
      </c>
      <c r="N4299">
        <v>96.74</v>
      </c>
      <c r="O4299">
        <v>28.67647058823529</v>
      </c>
    </row>
    <row r="4300" spans="1:15" customFormat="1" hidden="1" x14ac:dyDescent="0.25">
      <c r="A4300" s="11">
        <v>46139</v>
      </c>
      <c r="B4300" t="s">
        <v>49</v>
      </c>
      <c r="C4300" t="s">
        <v>48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514"/>
        <v>13</v>
      </c>
      <c r="J4300" s="3">
        <f t="shared" si="515"/>
        <v>12</v>
      </c>
      <c r="K4300" s="3">
        <f t="shared" si="516"/>
        <v>1</v>
      </c>
      <c r="L4300" s="3" t="str">
        <f t="shared" si="510"/>
        <v>OPORTUNO</v>
      </c>
      <c r="M4300">
        <v>11</v>
      </c>
      <c r="N4300">
        <v>98.82</v>
      </c>
      <c r="O4300">
        <v>30.741410488245929</v>
      </c>
    </row>
    <row r="4301" spans="1:15" customFormat="1" hidden="1" x14ac:dyDescent="0.25">
      <c r="A4301" s="11">
        <v>46139</v>
      </c>
      <c r="B4301" t="s">
        <v>50</v>
      </c>
      <c r="C4301" t="s">
        <v>48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514"/>
        <v>12</v>
      </c>
      <c r="J4301" s="3">
        <f t="shared" si="515"/>
        <v>12</v>
      </c>
      <c r="K4301" s="3">
        <f t="shared" si="516"/>
        <v>0</v>
      </c>
      <c r="L4301" s="3" t="str">
        <f t="shared" si="510"/>
        <v>OPORTUNO</v>
      </c>
      <c r="M4301">
        <v>11</v>
      </c>
      <c r="N4301">
        <v>98.2</v>
      </c>
      <c r="O4301">
        <v>27.170868347338931</v>
      </c>
    </row>
    <row r="4302" spans="1:15" customFormat="1" hidden="1" x14ac:dyDescent="0.25">
      <c r="A4302" s="11">
        <v>46139</v>
      </c>
      <c r="B4302" t="s">
        <v>17</v>
      </c>
      <c r="C4302" t="s">
        <v>16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514"/>
        <v>8</v>
      </c>
      <c r="J4302" s="3">
        <f t="shared" si="515"/>
        <v>4</v>
      </c>
      <c r="K4302" s="3">
        <f t="shared" si="516"/>
        <v>4</v>
      </c>
      <c r="L4302" s="3" t="str">
        <f t="shared" si="510"/>
        <v>OPORTUNO</v>
      </c>
      <c r="M4302">
        <v>7</v>
      </c>
      <c r="N4302">
        <v>100</v>
      </c>
      <c r="O4302">
        <v>23.134328358208951</v>
      </c>
    </row>
    <row r="4303" spans="1:15" customFormat="1" hidden="1" x14ac:dyDescent="0.25">
      <c r="A4303" s="11">
        <v>46139</v>
      </c>
      <c r="B4303" t="s">
        <v>60</v>
      </c>
      <c r="C4303" t="s">
        <v>23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514"/>
        <v>3</v>
      </c>
      <c r="J4303" s="3">
        <f t="shared" si="515"/>
        <v>9</v>
      </c>
      <c r="K4303" s="3">
        <f t="shared" si="516"/>
        <v>-6</v>
      </c>
      <c r="L4303" s="3" t="str">
        <f t="shared" si="510"/>
        <v>CRÍTICO</v>
      </c>
      <c r="M4303">
        <v>4</v>
      </c>
      <c r="N4303">
        <v>96.3</v>
      </c>
      <c r="O4303">
        <v>32.219570405727922</v>
      </c>
    </row>
    <row r="4304" spans="1:15" customFormat="1" hidden="1" x14ac:dyDescent="0.25">
      <c r="A4304" s="11">
        <v>46139</v>
      </c>
      <c r="B4304" t="s">
        <v>34</v>
      </c>
      <c r="C4304" t="s">
        <v>32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514"/>
        <v>14</v>
      </c>
      <c r="J4304" s="3">
        <f t="shared" si="515"/>
        <v>14</v>
      </c>
      <c r="K4304" s="3">
        <f t="shared" si="516"/>
        <v>0</v>
      </c>
      <c r="L4304" s="3" t="str">
        <f t="shared" si="510"/>
        <v>OPORTUNO</v>
      </c>
      <c r="M4304">
        <v>13</v>
      </c>
      <c r="N4304">
        <v>93.75</v>
      </c>
      <c r="O4304">
        <v>26.819923371647509</v>
      </c>
    </row>
    <row r="4305" spans="1:16" hidden="1" x14ac:dyDescent="0.25">
      <c r="A4305" s="11">
        <v>46139</v>
      </c>
      <c r="B4305" t="s">
        <v>51</v>
      </c>
      <c r="C4305" t="s">
        <v>48</v>
      </c>
      <c r="D4305">
        <v>15</v>
      </c>
      <c r="E4305">
        <v>13</v>
      </c>
      <c r="F4305">
        <v>12.32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 t="shared" si="510"/>
        <v>OPORTUNO</v>
      </c>
      <c r="M4305">
        <v>10</v>
      </c>
      <c r="N4305">
        <v>97.86</v>
      </c>
      <c r="O4305">
        <v>31.018518518518519</v>
      </c>
      <c r="P4305"/>
    </row>
    <row r="4306" spans="1:16" hidden="1" x14ac:dyDescent="0.25">
      <c r="A4306" s="11">
        <v>46139</v>
      </c>
      <c r="B4306" t="s">
        <v>61</v>
      </c>
      <c r="C4306" t="s">
        <v>23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 t="shared" si="510"/>
        <v>OPORTUNO</v>
      </c>
      <c r="M4306">
        <v>8</v>
      </c>
      <c r="N4306">
        <v>100</v>
      </c>
      <c r="O4306">
        <v>36.594202898550733</v>
      </c>
      <c r="P4306"/>
    </row>
    <row r="4307" spans="1:16" hidden="1" x14ac:dyDescent="0.25">
      <c r="A4307" s="11">
        <v>46139</v>
      </c>
      <c r="B4307" t="s">
        <v>35</v>
      </c>
      <c r="C4307" t="s">
        <v>32</v>
      </c>
      <c r="D4307">
        <v>13</v>
      </c>
      <c r="E4307">
        <v>13</v>
      </c>
      <c r="F4307">
        <v>21.51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 t="shared" si="510"/>
        <v>OPORTUNO</v>
      </c>
      <c r="M4307">
        <v>14</v>
      </c>
      <c r="N4307">
        <v>100</v>
      </c>
      <c r="O4307">
        <v>38.653846153846153</v>
      </c>
      <c r="P4307"/>
    </row>
    <row r="4308" spans="1:16" hidden="1" x14ac:dyDescent="0.25">
      <c r="A4308" s="11">
        <v>46139</v>
      </c>
      <c r="B4308" t="s">
        <v>18</v>
      </c>
      <c r="C4308" t="s">
        <v>16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>E4308+G4308+H4308</f>
        <v>9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>I4308-J4308</f>
        <v>5</v>
      </c>
      <c r="L4308" s="3" t="str">
        <f t="shared" si="510"/>
        <v>OPORTUNO</v>
      </c>
      <c r="M4308">
        <v>8</v>
      </c>
      <c r="N4308">
        <v>100</v>
      </c>
      <c r="O4308">
        <v>27.368421052631579</v>
      </c>
      <c r="P4308"/>
    </row>
    <row r="4309" spans="1:16" hidden="1" x14ac:dyDescent="0.25">
      <c r="A4309" s="11">
        <v>46139</v>
      </c>
      <c r="B4309" t="s">
        <v>52</v>
      </c>
      <c r="C4309" t="s">
        <v>48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>E4309+G4309+H4309</f>
        <v>16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12</v>
      </c>
      <c r="K4309" s="3">
        <f>I4309-J4309</f>
        <v>4</v>
      </c>
      <c r="L4309" s="3" t="str">
        <f t="shared" si="510"/>
        <v>OPORTUNO</v>
      </c>
      <c r="M4309">
        <v>12</v>
      </c>
      <c r="N4309">
        <v>97.83</v>
      </c>
      <c r="O4309">
        <v>28.35164835164835</v>
      </c>
      <c r="P4309"/>
    </row>
    <row r="4310" spans="1:16" hidden="1" x14ac:dyDescent="0.25">
      <c r="A4310" s="11">
        <v>46139</v>
      </c>
      <c r="B4310" t="s">
        <v>36</v>
      </c>
      <c r="C4310" t="s">
        <v>32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>E4310+G4310+H4310</f>
        <v>15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14</v>
      </c>
      <c r="K4310" s="3">
        <f>I4310-J4310</f>
        <v>1</v>
      </c>
      <c r="L4310" s="3" t="str">
        <f t="shared" si="510"/>
        <v>OPORTUNO</v>
      </c>
      <c r="M4310">
        <v>15</v>
      </c>
      <c r="N4310">
        <v>99.26</v>
      </c>
      <c r="O4310">
        <v>29.766536964980549</v>
      </c>
      <c r="P4310"/>
    </row>
    <row r="4311" spans="1:16" hidden="1" x14ac:dyDescent="0.25">
      <c r="A4311" s="11">
        <v>46139</v>
      </c>
      <c r="B4311" t="s">
        <v>53</v>
      </c>
      <c r="C4311" t="s">
        <v>48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>E4311+G4311+H4311</f>
        <v>14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12</v>
      </c>
      <c r="K4311" s="3">
        <f>I4311-J4311</f>
        <v>2</v>
      </c>
      <c r="L4311" s="3" t="str">
        <f t="shared" si="510"/>
        <v>OPORTUNO</v>
      </c>
      <c r="M4311">
        <v>14</v>
      </c>
      <c r="N4311">
        <v>99.19</v>
      </c>
      <c r="O4311">
        <v>29.462365591397852</v>
      </c>
      <c r="P4311"/>
    </row>
    <row r="4312" spans="1:16" hidden="1" x14ac:dyDescent="0.25">
      <c r="A4312" s="5">
        <v>46147</v>
      </c>
      <c r="B4312" s="6" t="s">
        <v>53</v>
      </c>
      <c r="C4312" s="3" t="s">
        <v>48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v>0</v>
      </c>
      <c r="J4312" s="3">
        <v>0</v>
      </c>
      <c r="K4312" s="3">
        <v>0</v>
      </c>
      <c r="L4312" s="3" t="str">
        <f>IF(K4312&lt;-5,"CRÍTICO",IF(K4312&lt;0,"ATENÇÃO",IF(K4312&lt;=5,"BOM","EXCELENTE")))</f>
        <v>BOM</v>
      </c>
      <c r="M4312" s="3">
        <v>0</v>
      </c>
      <c r="N4312" s="3">
        <v>100</v>
      </c>
      <c r="O4312" s="3">
        <v>17.241379310344829</v>
      </c>
    </row>
    <row r="4313" spans="1:16" hidden="1" x14ac:dyDescent="0.25">
      <c r="A4313" s="11">
        <v>46139</v>
      </c>
      <c r="B4313" t="s">
        <v>54</v>
      </c>
      <c r="C4313" t="s">
        <v>48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>E4313+G4313+H4313</f>
        <v>11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-1</v>
      </c>
      <c r="L4313" s="3" t="str">
        <f t="shared" ref="L4313:L4338" si="517">IF(K4313&lt;-5,"CRÍTICO",IF(K4313&lt;0,"ATENÇÃO",IF(K4313&lt;=5,"OPORTUNO","MUITO BOM")))</f>
        <v>ATENÇÃO</v>
      </c>
      <c r="M4313">
        <v>8</v>
      </c>
      <c r="N4313">
        <v>100</v>
      </c>
      <c r="O4313">
        <v>28.921568627450981</v>
      </c>
      <c r="P4313"/>
    </row>
    <row r="4314" spans="1:16" hidden="1" x14ac:dyDescent="0.25">
      <c r="A4314" s="11">
        <v>46139</v>
      </c>
      <c r="B4314" t="s">
        <v>37</v>
      </c>
      <c r="C4314" t="s">
        <v>32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>E4314+G4314+H4314</f>
        <v>19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5</v>
      </c>
      <c r="L4314" s="3" t="str">
        <f t="shared" si="517"/>
        <v>OPORTUNO</v>
      </c>
      <c r="M4314">
        <v>16</v>
      </c>
      <c r="N4314">
        <v>99.57</v>
      </c>
      <c r="O4314">
        <v>30.635838150289018</v>
      </c>
      <c r="P4314"/>
    </row>
    <row r="4315" spans="1:16" hidden="1" x14ac:dyDescent="0.25">
      <c r="A4315" s="11">
        <v>46139</v>
      </c>
      <c r="B4315" t="s">
        <v>38</v>
      </c>
      <c r="C4315" t="s">
        <v>32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>I4315-J4315</f>
        <v>-1</v>
      </c>
      <c r="L4315" s="3" t="str">
        <f t="shared" si="517"/>
        <v>ATENÇÃO</v>
      </c>
      <c r="M4315">
        <v>10</v>
      </c>
      <c r="N4315">
        <v>95.65</v>
      </c>
      <c r="O4315">
        <v>32.432432432432442</v>
      </c>
      <c r="P4315"/>
    </row>
    <row r="4316" spans="1:16" hidden="1" x14ac:dyDescent="0.25">
      <c r="A4316" s="11">
        <v>46139</v>
      </c>
      <c r="B4316" t="s">
        <v>55</v>
      </c>
      <c r="C4316" t="s">
        <v>48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>E4316+G4316+H4316</f>
        <v>13</v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>12</v>
      </c>
      <c r="K4316" s="3">
        <f>I4316-J4316</f>
        <v>1</v>
      </c>
      <c r="L4316" s="3" t="str">
        <f t="shared" si="517"/>
        <v>OPORTUNO</v>
      </c>
      <c r="M4316">
        <v>12</v>
      </c>
      <c r="N4316">
        <v>98.81</v>
      </c>
      <c r="O4316">
        <v>26.256983240223459</v>
      </c>
      <c r="P4316"/>
    </row>
    <row r="4317" spans="1:16" hidden="1" x14ac:dyDescent="0.25">
      <c r="A4317" s="11">
        <v>46139</v>
      </c>
      <c r="B4317" t="s">
        <v>39</v>
      </c>
      <c r="C4317" t="s">
        <v>32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 t="shared" si="517"/>
        <v>OPORTUNO</v>
      </c>
      <c r="M4317">
        <v>0</v>
      </c>
      <c r="N4317">
        <v>0</v>
      </c>
      <c r="O4317">
        <v>0</v>
      </c>
      <c r="P4317"/>
    </row>
    <row r="4318" spans="1:16" hidden="1" x14ac:dyDescent="0.25">
      <c r="A4318" s="11">
        <v>46139</v>
      </c>
      <c r="B4318" t="s">
        <v>25</v>
      </c>
      <c r="C4318" t="s">
        <v>26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 t="shared" si="517"/>
        <v>ATENÇÃO</v>
      </c>
      <c r="M4318">
        <v>6</v>
      </c>
      <c r="N4318">
        <v>97.17</v>
      </c>
      <c r="O4318">
        <v>28.81844380403458</v>
      </c>
      <c r="P4318"/>
    </row>
    <row r="4319" spans="1:16" hidden="1" x14ac:dyDescent="0.25">
      <c r="A4319" s="11">
        <v>46139</v>
      </c>
      <c r="B4319" t="s">
        <v>40</v>
      </c>
      <c r="C4319" t="s">
        <v>32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 t="shared" si="517"/>
        <v>OPORTUNO</v>
      </c>
      <c r="M4319">
        <v>29</v>
      </c>
      <c r="N4319">
        <v>96.81</v>
      </c>
      <c r="O4319">
        <v>48.018648018648022</v>
      </c>
      <c r="P4319"/>
    </row>
    <row r="4320" spans="1:16" hidden="1" x14ac:dyDescent="0.25">
      <c r="A4320" s="11">
        <v>46139</v>
      </c>
      <c r="B4320" t="s">
        <v>27</v>
      </c>
      <c r="C4320" t="s">
        <v>26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 t="shared" si="517"/>
        <v>OPORTUNO</v>
      </c>
      <c r="M4320">
        <v>10</v>
      </c>
      <c r="N4320">
        <v>98.15</v>
      </c>
      <c r="O4320">
        <v>27.1551724137931</v>
      </c>
      <c r="P4320"/>
    </row>
    <row r="4321" spans="1:15" customFormat="1" hidden="1" x14ac:dyDescent="0.25">
      <c r="A4321" s="11">
        <v>46139</v>
      </c>
      <c r="B4321" t="s">
        <v>41</v>
      </c>
      <c r="C4321" t="s">
        <v>32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 t="shared" si="517"/>
        <v>ATENÇÃO</v>
      </c>
      <c r="M4321">
        <v>14</v>
      </c>
      <c r="N4321">
        <v>99.15</v>
      </c>
      <c r="O4321">
        <v>27.586206896551719</v>
      </c>
    </row>
    <row r="4322" spans="1:15" customFormat="1" hidden="1" x14ac:dyDescent="0.25">
      <c r="A4322" s="11">
        <v>46139</v>
      </c>
      <c r="B4322" t="s">
        <v>56</v>
      </c>
      <c r="C4322" t="s">
        <v>48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12</v>
      </c>
      <c r="K4322" s="3">
        <f>I4322-J4322</f>
        <v>-10</v>
      </c>
      <c r="L4322" s="3" t="str">
        <f t="shared" si="517"/>
        <v>CRÍTICO</v>
      </c>
      <c r="M4322">
        <v>8</v>
      </c>
      <c r="N4322">
        <v>99.17</v>
      </c>
      <c r="O4322">
        <v>29.75206611570248</v>
      </c>
    </row>
    <row r="4323" spans="1:15" customFormat="1" hidden="1" x14ac:dyDescent="0.25">
      <c r="A4323" s="11">
        <v>46139</v>
      </c>
      <c r="B4323" t="s">
        <v>57</v>
      </c>
      <c r="C4323" t="s">
        <v>48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517"/>
        <v>OPORTUNO</v>
      </c>
      <c r="M4323">
        <v>0</v>
      </c>
      <c r="N4323">
        <v>98.73</v>
      </c>
      <c r="O4323">
        <v>28.961748633879779</v>
      </c>
    </row>
    <row r="4324" spans="1:15" customFormat="1" hidden="1" x14ac:dyDescent="0.25">
      <c r="A4324" s="11">
        <v>46139</v>
      </c>
      <c r="B4324" t="s">
        <v>42</v>
      </c>
      <c r="C4324" t="s">
        <v>32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 t="shared" si="517"/>
        <v>OPORTUNO</v>
      </c>
      <c r="M4324">
        <v>0</v>
      </c>
      <c r="N4324">
        <v>88.68</v>
      </c>
      <c r="O4324">
        <v>22.03389830508474</v>
      </c>
    </row>
    <row r="4325" spans="1:15" customFormat="1" hidden="1" x14ac:dyDescent="0.25">
      <c r="A4325" s="11">
        <v>46139</v>
      </c>
      <c r="B4325" t="s">
        <v>62</v>
      </c>
      <c r="C4325" t="s">
        <v>23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 t="shared" si="517"/>
        <v>OPORTUNO</v>
      </c>
      <c r="M4325">
        <v>8</v>
      </c>
      <c r="N4325">
        <v>97.37</v>
      </c>
      <c r="O4325">
        <v>25.76530612244898</v>
      </c>
    </row>
    <row r="4326" spans="1:15" customFormat="1" hidden="1" x14ac:dyDescent="0.25">
      <c r="A4326" s="11">
        <v>46139</v>
      </c>
      <c r="B4326" t="s">
        <v>19</v>
      </c>
      <c r="C4326" t="s">
        <v>16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 t="shared" si="517"/>
        <v>OPORTUNO</v>
      </c>
      <c r="M4326">
        <v>0</v>
      </c>
      <c r="N4326">
        <v>100</v>
      </c>
      <c r="O4326">
        <v>25</v>
      </c>
    </row>
    <row r="4327" spans="1:15" customFormat="1" hidden="1" x14ac:dyDescent="0.25">
      <c r="A4327" s="11">
        <v>46139</v>
      </c>
      <c r="B4327" t="s">
        <v>43</v>
      </c>
      <c r="C4327" t="s">
        <v>32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517"/>
        <v>OPORTUNO</v>
      </c>
      <c r="M4327">
        <v>40</v>
      </c>
      <c r="N4327">
        <v>100</v>
      </c>
      <c r="O4327">
        <v>23.9870340356564</v>
      </c>
    </row>
    <row r="4328" spans="1:15" customFormat="1" hidden="1" x14ac:dyDescent="0.25">
      <c r="A4328" s="11">
        <v>46139</v>
      </c>
      <c r="B4328" t="s">
        <v>44</v>
      </c>
      <c r="C4328" t="s">
        <v>32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 t="shared" si="517"/>
        <v>OPORTUNO</v>
      </c>
      <c r="M4328">
        <v>14</v>
      </c>
      <c r="N4328">
        <v>95.49</v>
      </c>
      <c r="O4328">
        <v>28.370221327967808</v>
      </c>
    </row>
    <row r="4329" spans="1:15" customFormat="1" hidden="1" x14ac:dyDescent="0.25">
      <c r="A4329" s="11">
        <v>46139</v>
      </c>
      <c r="B4329" t="s">
        <v>20</v>
      </c>
      <c r="C4329" t="s">
        <v>16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 t="shared" si="517"/>
        <v>OPORTUNO</v>
      </c>
      <c r="M4329">
        <v>5</v>
      </c>
      <c r="N4329">
        <v>100</v>
      </c>
      <c r="O4329">
        <v>23.77622377622378</v>
      </c>
    </row>
    <row r="4330" spans="1:15" customFormat="1" hidden="1" x14ac:dyDescent="0.25">
      <c r="A4330" s="11">
        <v>46139</v>
      </c>
      <c r="B4330" t="s">
        <v>28</v>
      </c>
      <c r="C4330" t="s">
        <v>26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 t="shared" si="517"/>
        <v>OPORTUNO</v>
      </c>
      <c r="M4330">
        <v>0</v>
      </c>
      <c r="N4330">
        <v>96.15</v>
      </c>
      <c r="O4330">
        <v>24.045801526717561</v>
      </c>
    </row>
    <row r="4331" spans="1:15" customFormat="1" hidden="1" x14ac:dyDescent="0.25">
      <c r="A4331" s="11">
        <v>46139</v>
      </c>
      <c r="B4331" t="s">
        <v>58</v>
      </c>
      <c r="C4331" t="s">
        <v>48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ref="I4331:I4338" si="518">E4331+G4331+H4331</f>
        <v>8</v>
      </c>
      <c r="J4331" s="3">
        <f t="shared" ref="J4331:J4338" si="519"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12</v>
      </c>
      <c r="K4331" s="3">
        <f t="shared" ref="K4331:K4338" si="520">I4331-J4331</f>
        <v>-4</v>
      </c>
      <c r="L4331" s="3" t="str">
        <f t="shared" si="517"/>
        <v>ATENÇÃO</v>
      </c>
      <c r="M4331">
        <v>7</v>
      </c>
      <c r="N4331">
        <v>99.02</v>
      </c>
      <c r="O4331">
        <v>34.797297297297298</v>
      </c>
    </row>
    <row r="4332" spans="1:15" customFormat="1" hidden="1" x14ac:dyDescent="0.25">
      <c r="A4332" s="11">
        <v>46139</v>
      </c>
      <c r="B4332" t="s">
        <v>29</v>
      </c>
      <c r="C4332" t="s">
        <v>26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518"/>
        <v>8</v>
      </c>
      <c r="J4332" s="3">
        <f t="shared" si="519"/>
        <v>8</v>
      </c>
      <c r="K4332" s="3">
        <f t="shared" si="520"/>
        <v>0</v>
      </c>
      <c r="L4332" s="3" t="str">
        <f t="shared" si="517"/>
        <v>OPORTUNO</v>
      </c>
      <c r="M4332">
        <v>7</v>
      </c>
      <c r="N4332">
        <v>98.84</v>
      </c>
      <c r="O4332">
        <v>31.868131868131869</v>
      </c>
    </row>
    <row r="4333" spans="1:15" customFormat="1" hidden="1" x14ac:dyDescent="0.25">
      <c r="A4333" s="11">
        <v>46139</v>
      </c>
      <c r="B4333" t="s">
        <v>30</v>
      </c>
      <c r="C4333" t="s">
        <v>26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518"/>
        <v>10</v>
      </c>
      <c r="J4333" s="3">
        <f t="shared" si="519"/>
        <v>8</v>
      </c>
      <c r="K4333" s="3">
        <f t="shared" si="520"/>
        <v>2</v>
      </c>
      <c r="L4333" s="3" t="str">
        <f t="shared" si="517"/>
        <v>OPORTUNO</v>
      </c>
      <c r="M4333">
        <v>8</v>
      </c>
      <c r="N4333">
        <v>100</v>
      </c>
      <c r="O4333">
        <v>34.666666666666671</v>
      </c>
    </row>
    <row r="4334" spans="1:15" customFormat="1" hidden="1" x14ac:dyDescent="0.25">
      <c r="A4334" s="11">
        <v>46139</v>
      </c>
      <c r="B4334" t="s">
        <v>21</v>
      </c>
      <c r="C4334" t="s">
        <v>16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518"/>
        <v>4</v>
      </c>
      <c r="J4334" s="3">
        <f t="shared" si="519"/>
        <v>4</v>
      </c>
      <c r="K4334" s="3">
        <f t="shared" si="520"/>
        <v>0</v>
      </c>
      <c r="L4334" s="3" t="str">
        <f t="shared" si="517"/>
        <v>OPORTUNO</v>
      </c>
      <c r="M4334">
        <v>4</v>
      </c>
      <c r="N4334">
        <v>94.12</v>
      </c>
      <c r="O4334">
        <v>32.799999999999997</v>
      </c>
    </row>
    <row r="4335" spans="1:15" customFormat="1" hidden="1" x14ac:dyDescent="0.25">
      <c r="A4335" s="11">
        <v>46139</v>
      </c>
      <c r="B4335" t="s">
        <v>63</v>
      </c>
      <c r="C4335" t="s">
        <v>23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518"/>
        <v>14</v>
      </c>
      <c r="J4335" s="3">
        <f t="shared" si="519"/>
        <v>9</v>
      </c>
      <c r="K4335" s="3">
        <f t="shared" si="520"/>
        <v>5</v>
      </c>
      <c r="L4335" s="3" t="str">
        <f t="shared" si="517"/>
        <v>OPORTUNO</v>
      </c>
      <c r="M4335">
        <v>11</v>
      </c>
      <c r="N4335">
        <v>98.32</v>
      </c>
      <c r="O4335">
        <v>26.858513189448441</v>
      </c>
    </row>
    <row r="4336" spans="1:15" customFormat="1" hidden="1" x14ac:dyDescent="0.25">
      <c r="A4336" s="11">
        <v>46139</v>
      </c>
      <c r="B4336" t="s">
        <v>45</v>
      </c>
      <c r="C4336" t="s">
        <v>32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518"/>
        <v>16</v>
      </c>
      <c r="J4336" s="3">
        <f t="shared" si="519"/>
        <v>14</v>
      </c>
      <c r="K4336" s="3">
        <f t="shared" si="520"/>
        <v>2</v>
      </c>
      <c r="L4336" s="3" t="str">
        <f t="shared" si="517"/>
        <v>OPORTUNO</v>
      </c>
      <c r="M4336">
        <v>17</v>
      </c>
      <c r="N4336">
        <v>100</v>
      </c>
      <c r="O4336">
        <v>31.135531135531139</v>
      </c>
    </row>
    <row r="4337" spans="1:16" hidden="1" x14ac:dyDescent="0.25">
      <c r="A4337" s="11">
        <v>46139</v>
      </c>
      <c r="B4337" t="s">
        <v>64</v>
      </c>
      <c r="C4337" t="s">
        <v>23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518"/>
        <v>10</v>
      </c>
      <c r="J4337" s="3">
        <f t="shared" si="519"/>
        <v>9</v>
      </c>
      <c r="K4337" s="3">
        <f t="shared" si="520"/>
        <v>1</v>
      </c>
      <c r="L4337" s="3" t="str">
        <f t="shared" si="517"/>
        <v>OPORTUNO</v>
      </c>
      <c r="M4337">
        <v>9</v>
      </c>
      <c r="N4337">
        <v>100</v>
      </c>
      <c r="O4337">
        <v>26.36986301369863</v>
      </c>
      <c r="P4337"/>
    </row>
    <row r="4338" spans="1:16" hidden="1" x14ac:dyDescent="0.25">
      <c r="A4338" s="11">
        <v>46139</v>
      </c>
      <c r="B4338" t="s">
        <v>46</v>
      </c>
      <c r="C4338" t="s">
        <v>32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518"/>
        <v>15</v>
      </c>
      <c r="J4338" s="3">
        <f t="shared" si="519"/>
        <v>14</v>
      </c>
      <c r="K4338" s="3">
        <f t="shared" si="520"/>
        <v>1</v>
      </c>
      <c r="L4338" s="3" t="str">
        <f t="shared" si="517"/>
        <v>OPORTUNO</v>
      </c>
      <c r="M4338">
        <v>14</v>
      </c>
      <c r="N4338">
        <v>99.21</v>
      </c>
      <c r="O4338">
        <v>25.188916876574311</v>
      </c>
      <c r="P4338"/>
    </row>
    <row r="4339" spans="1:16" hidden="1" x14ac:dyDescent="0.25">
      <c r="A4339" s="5">
        <v>46148</v>
      </c>
      <c r="B4339" s="6" t="s">
        <v>53</v>
      </c>
      <c r="C4339" s="3" t="s">
        <v>48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L4339" s="3" t="str">
        <f>IF(K4339&lt;-5,"CRÍTICO",IF(K4339&lt;0,"ATENÇÃO",IF(K4339&lt;=5,"BOM","EXCELENTE")))</f>
        <v>BOM</v>
      </c>
      <c r="M4339" s="3">
        <v>0</v>
      </c>
      <c r="N4339" s="3">
        <v>100</v>
      </c>
      <c r="O4339" s="3">
        <v>17.241379310344829</v>
      </c>
    </row>
    <row r="4340" spans="1:16" hidden="1" x14ac:dyDescent="0.25">
      <c r="A4340" s="11">
        <v>46168</v>
      </c>
      <c r="B4340" t="s">
        <v>53</v>
      </c>
      <c r="C4340" t="s">
        <v>48</v>
      </c>
      <c r="D4340" s="3">
        <v>0</v>
      </c>
      <c r="E4340" s="3">
        <v>0</v>
      </c>
      <c r="F4340" s="3">
        <v>0</v>
      </c>
      <c r="G4340" s="3">
        <v>0</v>
      </c>
      <c r="H4340" s="3">
        <v>0</v>
      </c>
      <c r="I4340" s="3">
        <v>0</v>
      </c>
      <c r="J4340" s="3">
        <v>0</v>
      </c>
      <c r="K4340" s="3">
        <v>0</v>
      </c>
      <c r="M4340" s="3">
        <v>0</v>
      </c>
      <c r="N4340" s="3">
        <v>100</v>
      </c>
      <c r="O4340" s="3">
        <v>17.241379310344829</v>
      </c>
    </row>
    <row r="4341" spans="1:16" hidden="1" x14ac:dyDescent="0.25">
      <c r="A4341" s="11">
        <v>46140</v>
      </c>
      <c r="B4341" t="s">
        <v>54</v>
      </c>
      <c r="C4341" t="s">
        <v>48</v>
      </c>
      <c r="D4341" s="3">
        <v>37</v>
      </c>
      <c r="E4341" s="3">
        <v>36</v>
      </c>
      <c r="F4341" s="3">
        <v>15.51</v>
      </c>
      <c r="G4341" s="3">
        <v>0</v>
      </c>
      <c r="H4341" s="3">
        <v>0</v>
      </c>
      <c r="I4341" s="3">
        <f t="shared" ref="I4341:I4346" si="521">E4341+G4341+H4341</f>
        <v>36</v>
      </c>
      <c r="J4341" s="3">
        <f t="shared" ref="J4341:J4346" si="522"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27</v>
      </c>
      <c r="K4341" s="3">
        <f t="shared" ref="K4341:K4346" si="523">I4341-J4341</f>
        <v>9</v>
      </c>
      <c r="L4341" s="3" t="str">
        <f>IF(K4341&lt;-5,"CRÍTICO",IF(K4341&lt;0,"ATENÇÃO",IF(K4341&lt;=5,"OPORTUNO","MUITO BOM")))</f>
        <v>MUITO BOM</v>
      </c>
      <c r="M4341" s="3">
        <v>25</v>
      </c>
      <c r="N4341" s="3">
        <v>100</v>
      </c>
      <c r="O4341" s="3">
        <v>28.921568627450981</v>
      </c>
    </row>
    <row r="4342" spans="1:16" hidden="1" x14ac:dyDescent="0.25">
      <c r="A4342" s="11">
        <v>46141</v>
      </c>
      <c r="B4342" t="s">
        <v>54</v>
      </c>
      <c r="C4342" t="s">
        <v>48</v>
      </c>
      <c r="D4342" s="3">
        <v>29</v>
      </c>
      <c r="E4342" s="3">
        <v>26</v>
      </c>
      <c r="F4342" s="3">
        <v>18.329999999999998</v>
      </c>
      <c r="G4342" s="3">
        <v>0</v>
      </c>
      <c r="H4342" s="3">
        <v>0</v>
      </c>
      <c r="I4342" s="3">
        <f t="shared" si="521"/>
        <v>26</v>
      </c>
      <c r="J4342" s="3">
        <f t="shared" si="522"/>
        <v>28</v>
      </c>
      <c r="K4342" s="3">
        <f t="shared" si="523"/>
        <v>-2</v>
      </c>
      <c r="L4342" s="3" t="str">
        <f>IF(K4342&lt;-5,"CRÍTICO",IF(K4342&lt;0,"ATENÇÃO",IF(K4342&lt;=5,"OPORTUNO","MUITO BOM")))</f>
        <v>ATENÇÃO</v>
      </c>
      <c r="M4342" s="3">
        <v>27</v>
      </c>
      <c r="N4342" s="3">
        <v>100</v>
      </c>
      <c r="O4342" s="3">
        <v>28.921568627450981</v>
      </c>
    </row>
    <row r="4343" spans="1:16" hidden="1" x14ac:dyDescent="0.25">
      <c r="A4343" s="11">
        <v>46142</v>
      </c>
      <c r="B4343" t="s">
        <v>54</v>
      </c>
      <c r="C4343" t="s">
        <v>48</v>
      </c>
      <c r="D4343" s="3">
        <v>25</v>
      </c>
      <c r="E4343" s="3">
        <v>25</v>
      </c>
      <c r="F4343" s="3">
        <v>18.5</v>
      </c>
      <c r="G4343" s="3">
        <v>0</v>
      </c>
      <c r="H4343" s="3">
        <v>0</v>
      </c>
      <c r="I4343" s="3">
        <f t="shared" si="521"/>
        <v>25</v>
      </c>
      <c r="J4343" s="3">
        <f t="shared" si="522"/>
        <v>26</v>
      </c>
      <c r="K4343" s="3">
        <f t="shared" si="523"/>
        <v>-1</v>
      </c>
      <c r="L4343" s="3" t="str">
        <f>IF(K4343&lt;-5,"CRÍTICO",IF(K4343&lt;0,"ATENÇÃO",IF(K4343&lt;=5,"OPORTUNO","MUITO BOM")))</f>
        <v>ATENÇÃO</v>
      </c>
      <c r="M4343" s="3">
        <v>26</v>
      </c>
      <c r="N4343" s="3">
        <v>100</v>
      </c>
      <c r="O4343" s="3">
        <v>28.921568627450981</v>
      </c>
    </row>
    <row r="4344" spans="1:16" hidden="1" x14ac:dyDescent="0.25">
      <c r="A4344" s="5">
        <v>46146</v>
      </c>
      <c r="B4344" s="6" t="s">
        <v>54</v>
      </c>
      <c r="C4344" s="9" t="s">
        <v>48</v>
      </c>
      <c r="D4344" s="3">
        <v>36</v>
      </c>
      <c r="E4344" s="3">
        <v>34</v>
      </c>
      <c r="F4344" s="3">
        <v>14.11</v>
      </c>
      <c r="G4344" s="3">
        <v>0</v>
      </c>
      <c r="H4344" s="3">
        <v>0</v>
      </c>
      <c r="I4344" s="3">
        <f t="shared" si="521"/>
        <v>34</v>
      </c>
      <c r="J4344" s="3">
        <f t="shared" si="522"/>
        <v>28</v>
      </c>
      <c r="K4344" s="3">
        <f t="shared" si="523"/>
        <v>6</v>
      </c>
      <c r="L4344" s="3" t="str">
        <f>IF(K4344&lt;-5,"CRÍTICO",IF(K4344&lt;0,"ATENÇÃO",IF(K4344&lt;=5,"BOM","EXCELENTE")))</f>
        <v>EXCELENTE</v>
      </c>
      <c r="M4344" s="3">
        <v>33</v>
      </c>
      <c r="N4344" s="3">
        <v>98.98</v>
      </c>
      <c r="O4344" s="3">
        <v>19.35483870967742</v>
      </c>
    </row>
    <row r="4345" spans="1:16" hidden="1" x14ac:dyDescent="0.25">
      <c r="A4345" s="5">
        <v>46147</v>
      </c>
      <c r="B4345" s="6" t="s">
        <v>54</v>
      </c>
      <c r="C4345" s="9" t="s">
        <v>48</v>
      </c>
      <c r="D4345" s="3">
        <v>26</v>
      </c>
      <c r="E4345" s="3">
        <v>26</v>
      </c>
      <c r="F4345" s="3">
        <v>20.010000000000002</v>
      </c>
      <c r="G4345" s="3">
        <v>1</v>
      </c>
      <c r="H4345" s="3">
        <v>0</v>
      </c>
      <c r="I4345" s="3">
        <f t="shared" si="521"/>
        <v>27</v>
      </c>
      <c r="J4345" s="3">
        <f t="shared" si="522"/>
        <v>28</v>
      </c>
      <c r="K4345" s="3">
        <f t="shared" si="523"/>
        <v>-1</v>
      </c>
      <c r="L4345" s="3" t="str">
        <f>IF(K4345&lt;-5,"CRÍTICO",IF(K4345&lt;0,"ATENÇÃO",IF(K4345&lt;=5,"BOM","EXCELENTE")))</f>
        <v>ATENÇÃO</v>
      </c>
      <c r="M4345" s="3">
        <v>31</v>
      </c>
      <c r="N4345" s="3">
        <v>98.98</v>
      </c>
      <c r="O4345" s="3">
        <v>19.35483870967742</v>
      </c>
    </row>
    <row r="4346" spans="1:16" hidden="1" x14ac:dyDescent="0.25">
      <c r="A4346" s="5">
        <v>46148</v>
      </c>
      <c r="B4346" s="6" t="s">
        <v>54</v>
      </c>
      <c r="C4346" s="9" t="s">
        <v>48</v>
      </c>
      <c r="D4346" s="3">
        <v>33</v>
      </c>
      <c r="E4346" s="3">
        <v>32</v>
      </c>
      <c r="F4346" s="3">
        <v>20.010000000000002</v>
      </c>
      <c r="G4346" s="3">
        <v>9</v>
      </c>
      <c r="H4346" s="3">
        <v>0</v>
      </c>
      <c r="I4346" s="3">
        <f t="shared" si="521"/>
        <v>41</v>
      </c>
      <c r="J4346" s="3">
        <f t="shared" si="522"/>
        <v>28</v>
      </c>
      <c r="K4346" s="3">
        <f t="shared" si="523"/>
        <v>13</v>
      </c>
      <c r="L4346" s="3" t="str">
        <f>IF(K4346&lt;-5,"CRÍTICO",IF(K4346&lt;0,"ATENÇÃO",IF(K4346&lt;=5,"BOM","EXCELENTE")))</f>
        <v>EXCELENTE</v>
      </c>
      <c r="M4346" s="3">
        <v>30</v>
      </c>
      <c r="N4346" s="3">
        <v>98.98</v>
      </c>
      <c r="O4346" s="3">
        <v>19.35483870967742</v>
      </c>
    </row>
    <row r="4347" spans="1:16" hidden="1" x14ac:dyDescent="0.25">
      <c r="A4347" s="11">
        <v>46168</v>
      </c>
      <c r="B4347" t="s">
        <v>54</v>
      </c>
      <c r="C4347" t="s">
        <v>48</v>
      </c>
      <c r="D4347" s="3">
        <v>24</v>
      </c>
      <c r="E4347" s="3">
        <v>23</v>
      </c>
      <c r="F4347" s="3">
        <v>15.03</v>
      </c>
      <c r="G4347" s="3">
        <v>1</v>
      </c>
      <c r="M4347" s="3">
        <v>20</v>
      </c>
      <c r="N4347" s="3">
        <v>98.98</v>
      </c>
      <c r="O4347" s="3">
        <v>21.236559139784951</v>
      </c>
    </row>
    <row r="4348" spans="1:16" hidden="1" x14ac:dyDescent="0.25">
      <c r="A4348" s="11">
        <v>46140</v>
      </c>
      <c r="B4348" t="s">
        <v>55</v>
      </c>
      <c r="C4348" t="s">
        <v>48</v>
      </c>
      <c r="D4348" s="3">
        <v>29</v>
      </c>
      <c r="E4348" s="3">
        <v>25</v>
      </c>
      <c r="F4348" s="3">
        <v>17.3</v>
      </c>
      <c r="G4348" s="3">
        <v>0</v>
      </c>
      <c r="H4348" s="3">
        <v>0</v>
      </c>
      <c r="I4348" s="3">
        <f t="shared" ref="I4348:I4353" si="524">E4348+G4348+H4348</f>
        <v>25</v>
      </c>
      <c r="J4348" s="3">
        <f t="shared" ref="J4348:J4353" si="525"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27</v>
      </c>
      <c r="K4348" s="3">
        <f t="shared" ref="K4348:K4353" si="526">I4348-J4348</f>
        <v>-2</v>
      </c>
      <c r="L4348" s="3" t="str">
        <f>IF(K4348&lt;-5,"CRÍTICO",IF(K4348&lt;0,"ATENÇÃO",IF(K4348&lt;=5,"OPORTUNO","MUITO BOM")))</f>
        <v>ATENÇÃO</v>
      </c>
      <c r="M4348" s="3">
        <v>22</v>
      </c>
      <c r="N4348" s="3">
        <v>98.81</v>
      </c>
      <c r="O4348" s="3">
        <v>26.256983240223459</v>
      </c>
    </row>
    <row r="4349" spans="1:16" hidden="1" x14ac:dyDescent="0.25">
      <c r="A4349" s="11">
        <v>46141</v>
      </c>
      <c r="B4349" t="s">
        <v>55</v>
      </c>
      <c r="C4349" t="s">
        <v>48</v>
      </c>
      <c r="D4349" s="3">
        <v>39</v>
      </c>
      <c r="E4349" s="3">
        <v>28</v>
      </c>
      <c r="F4349" s="3">
        <v>10.24</v>
      </c>
      <c r="G4349" s="3">
        <v>0</v>
      </c>
      <c r="H4349" s="3">
        <v>0</v>
      </c>
      <c r="I4349" s="3">
        <f t="shared" si="524"/>
        <v>28</v>
      </c>
      <c r="J4349" s="3">
        <f t="shared" si="525"/>
        <v>28</v>
      </c>
      <c r="K4349" s="3">
        <f t="shared" si="526"/>
        <v>0</v>
      </c>
      <c r="L4349" s="3" t="str">
        <f>IF(K4349&lt;-5,"CRÍTICO",IF(K4349&lt;0,"ATENÇÃO",IF(K4349&lt;=5,"OPORTUNO","MUITO BOM")))</f>
        <v>OPORTUNO</v>
      </c>
      <c r="M4349" s="3">
        <v>30</v>
      </c>
      <c r="N4349" s="3">
        <v>98.81</v>
      </c>
      <c r="O4349" s="3">
        <v>26.256983240223459</v>
      </c>
    </row>
    <row r="4350" spans="1:16" hidden="1" x14ac:dyDescent="0.25">
      <c r="A4350" s="11">
        <v>46142</v>
      </c>
      <c r="B4350" t="s">
        <v>55</v>
      </c>
      <c r="C4350" t="s">
        <v>48</v>
      </c>
      <c r="D4350" s="3">
        <v>21</v>
      </c>
      <c r="E4350" s="3">
        <v>16</v>
      </c>
      <c r="F4350" s="3">
        <v>11.48</v>
      </c>
      <c r="G4350" s="3">
        <v>0</v>
      </c>
      <c r="H4350" s="3">
        <v>0</v>
      </c>
      <c r="I4350" s="3">
        <f t="shared" si="524"/>
        <v>16</v>
      </c>
      <c r="J4350" s="3">
        <f t="shared" si="525"/>
        <v>26</v>
      </c>
      <c r="K4350" s="3">
        <f t="shared" si="526"/>
        <v>-10</v>
      </c>
      <c r="L4350" s="3" t="str">
        <f>IF(K4350&lt;-5,"CRÍTICO",IF(K4350&lt;0,"ATENÇÃO",IF(K4350&lt;=5,"OPORTUNO","MUITO BOM")))</f>
        <v>CRÍTICO</v>
      </c>
      <c r="M4350" s="3">
        <v>13</v>
      </c>
      <c r="N4350" s="3">
        <v>98.81</v>
      </c>
      <c r="O4350" s="3">
        <v>26.256983240223459</v>
      </c>
    </row>
    <row r="4351" spans="1:16" hidden="1" x14ac:dyDescent="0.25">
      <c r="A4351" s="5">
        <v>46146</v>
      </c>
      <c r="B4351" s="6" t="s">
        <v>55</v>
      </c>
      <c r="C4351" s="3" t="s">
        <v>48</v>
      </c>
      <c r="D4351" s="3">
        <v>32</v>
      </c>
      <c r="E4351" s="3">
        <v>28</v>
      </c>
      <c r="F4351" s="3">
        <v>14.15</v>
      </c>
      <c r="G4351" s="3">
        <v>4</v>
      </c>
      <c r="H4351" s="3">
        <v>0</v>
      </c>
      <c r="I4351" s="3">
        <f t="shared" si="524"/>
        <v>32</v>
      </c>
      <c r="J4351" s="3">
        <f t="shared" si="525"/>
        <v>28</v>
      </c>
      <c r="K4351" s="3">
        <f t="shared" si="526"/>
        <v>4</v>
      </c>
      <c r="L4351" s="3" t="str">
        <f>IF(K4351&lt;-5,"CRÍTICO",IF(K4351&lt;0,"ATENÇÃO",IF(K4351&lt;=5,"BOM","EXCELENTE")))</f>
        <v>BOM</v>
      </c>
      <c r="M4351" s="3">
        <v>31</v>
      </c>
      <c r="N4351" s="3">
        <v>98.94</v>
      </c>
      <c r="O4351" s="3">
        <v>21.270718232044199</v>
      </c>
    </row>
    <row r="4352" spans="1:16" hidden="1" x14ac:dyDescent="0.25">
      <c r="A4352" s="5">
        <v>46147</v>
      </c>
      <c r="B4352" s="6" t="s">
        <v>55</v>
      </c>
      <c r="C4352" s="3" t="s">
        <v>48</v>
      </c>
      <c r="D4352" s="3">
        <v>39</v>
      </c>
      <c r="E4352" s="3">
        <v>30</v>
      </c>
      <c r="F4352" s="3">
        <v>14.13</v>
      </c>
      <c r="G4352" s="3">
        <v>0</v>
      </c>
      <c r="H4352" s="3">
        <v>0</v>
      </c>
      <c r="I4352" s="3">
        <f t="shared" si="524"/>
        <v>30</v>
      </c>
      <c r="J4352" s="3">
        <f t="shared" si="525"/>
        <v>28</v>
      </c>
      <c r="K4352" s="3">
        <f t="shared" si="526"/>
        <v>2</v>
      </c>
      <c r="L4352" s="3" t="str">
        <f>IF(K4352&lt;-5,"CRÍTICO",IF(K4352&lt;0,"ATENÇÃO",IF(K4352&lt;=5,"BOM","EXCELENTE")))</f>
        <v>BOM</v>
      </c>
      <c r="M4352" s="3">
        <v>30</v>
      </c>
      <c r="N4352" s="3">
        <v>98.94</v>
      </c>
      <c r="O4352" s="3">
        <v>21.270718232044199</v>
      </c>
    </row>
    <row r="4353" spans="1:15" hidden="1" x14ac:dyDescent="0.25">
      <c r="A4353" s="5">
        <v>46148</v>
      </c>
      <c r="B4353" s="6" t="s">
        <v>55</v>
      </c>
      <c r="C4353" s="3" t="s">
        <v>48</v>
      </c>
      <c r="D4353" s="3">
        <v>29</v>
      </c>
      <c r="E4353" s="3">
        <v>28</v>
      </c>
      <c r="F4353" s="3">
        <v>10.28</v>
      </c>
      <c r="G4353" s="3">
        <v>7</v>
      </c>
      <c r="H4353" s="3">
        <v>0</v>
      </c>
      <c r="I4353" s="3">
        <f t="shared" si="524"/>
        <v>35</v>
      </c>
      <c r="J4353" s="3">
        <f t="shared" si="525"/>
        <v>28</v>
      </c>
      <c r="K4353" s="3">
        <f t="shared" si="526"/>
        <v>7</v>
      </c>
      <c r="L4353" s="3" t="str">
        <f>IF(K4353&lt;-5,"CRÍTICO",IF(K4353&lt;0,"ATENÇÃO",IF(K4353&lt;=5,"BOM","EXCELENTE")))</f>
        <v>EXCELENTE</v>
      </c>
      <c r="M4353" s="3">
        <v>34</v>
      </c>
      <c r="N4353" s="3">
        <v>98.94</v>
      </c>
      <c r="O4353" s="3">
        <v>21.270718232044199</v>
      </c>
    </row>
    <row r="4354" spans="1:15" hidden="1" x14ac:dyDescent="0.25">
      <c r="A4354" s="11">
        <v>46168</v>
      </c>
      <c r="B4354" t="s">
        <v>55</v>
      </c>
      <c r="C4354" t="s">
        <v>48</v>
      </c>
      <c r="D4354" s="3">
        <v>34</v>
      </c>
      <c r="E4354" s="3">
        <v>20</v>
      </c>
      <c r="F4354" s="3">
        <v>7.25</v>
      </c>
      <c r="G4354" s="3">
        <v>0</v>
      </c>
      <c r="M4354" s="3">
        <v>21</v>
      </c>
      <c r="N4354" s="3">
        <v>98.94</v>
      </c>
      <c r="O4354" s="3">
        <v>22.928176795580111</v>
      </c>
    </row>
    <row r="4355" spans="1:15" hidden="1" x14ac:dyDescent="0.25">
      <c r="A4355" s="11">
        <v>46140</v>
      </c>
      <c r="B4355" t="s">
        <v>56</v>
      </c>
      <c r="C4355" t="s">
        <v>48</v>
      </c>
      <c r="D4355" s="3">
        <v>20</v>
      </c>
      <c r="E4355" s="3">
        <v>19</v>
      </c>
      <c r="F4355" s="3">
        <v>21.45</v>
      </c>
      <c r="G4355" s="3">
        <v>0</v>
      </c>
      <c r="H4355" s="3">
        <v>0</v>
      </c>
      <c r="I4355" s="3">
        <f t="shared" ref="I4355:I4360" si="527">E4355+G4355+H4355</f>
        <v>19</v>
      </c>
      <c r="J4355" s="3">
        <f t="shared" ref="J4355:J4360" si="528"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27</v>
      </c>
      <c r="K4355" s="3">
        <f t="shared" ref="K4355:K4360" si="529">I4355-J4355</f>
        <v>-8</v>
      </c>
      <c r="L4355" s="3" t="str">
        <f>IF(K4355&lt;-5,"CRÍTICO",IF(K4355&lt;0,"ATENÇÃO",IF(K4355&lt;=5,"OPORTUNO","MUITO BOM")))</f>
        <v>CRÍTICO</v>
      </c>
      <c r="M4355" s="3">
        <v>4</v>
      </c>
      <c r="N4355" s="3">
        <v>99.17</v>
      </c>
      <c r="O4355" s="3">
        <v>29.75206611570248</v>
      </c>
    </row>
    <row r="4356" spans="1:15" hidden="1" x14ac:dyDescent="0.25">
      <c r="A4356" s="11">
        <v>46141</v>
      </c>
      <c r="B4356" t="s">
        <v>56</v>
      </c>
      <c r="C4356" t="s">
        <v>48</v>
      </c>
      <c r="D4356" s="3">
        <v>37</v>
      </c>
      <c r="E4356" s="3">
        <v>35</v>
      </c>
      <c r="F4356" s="3">
        <v>15.55</v>
      </c>
      <c r="G4356" s="3">
        <v>0</v>
      </c>
      <c r="H4356" s="3">
        <v>0</v>
      </c>
      <c r="I4356" s="3">
        <f t="shared" si="527"/>
        <v>35</v>
      </c>
      <c r="J4356" s="3">
        <f t="shared" si="528"/>
        <v>28</v>
      </c>
      <c r="K4356" s="3">
        <f t="shared" si="529"/>
        <v>7</v>
      </c>
      <c r="L4356" s="3" t="str">
        <f>IF(K4356&lt;-5,"CRÍTICO",IF(K4356&lt;0,"ATENÇÃO",IF(K4356&lt;=5,"OPORTUNO","MUITO BOM")))</f>
        <v>MUITO BOM</v>
      </c>
      <c r="M4356" s="3">
        <v>18</v>
      </c>
      <c r="N4356" s="3">
        <v>99.17</v>
      </c>
      <c r="O4356" s="3">
        <v>29.75206611570248</v>
      </c>
    </row>
    <row r="4357" spans="1:15" hidden="1" x14ac:dyDescent="0.25">
      <c r="A4357" s="11">
        <v>46142</v>
      </c>
      <c r="B4357" t="s">
        <v>56</v>
      </c>
      <c r="C4357" t="s">
        <v>48</v>
      </c>
      <c r="D4357" s="3">
        <v>18</v>
      </c>
      <c r="E4357" s="3">
        <v>17</v>
      </c>
      <c r="F4357" s="3">
        <v>21.44</v>
      </c>
      <c r="G4357" s="3">
        <v>0</v>
      </c>
      <c r="H4357" s="3">
        <v>0</v>
      </c>
      <c r="I4357" s="3">
        <f t="shared" si="527"/>
        <v>17</v>
      </c>
      <c r="J4357" s="3">
        <f t="shared" si="528"/>
        <v>26</v>
      </c>
      <c r="K4357" s="3">
        <f t="shared" si="529"/>
        <v>-9</v>
      </c>
      <c r="L4357" s="3" t="str">
        <f>IF(K4357&lt;-5,"CRÍTICO",IF(K4357&lt;0,"ATENÇÃO",IF(K4357&lt;=5,"OPORTUNO","MUITO BOM")))</f>
        <v>CRÍTICO</v>
      </c>
      <c r="M4357" s="3">
        <v>1</v>
      </c>
      <c r="N4357" s="3">
        <v>99.17</v>
      </c>
      <c r="O4357" s="3">
        <v>29.75206611570248</v>
      </c>
    </row>
    <row r="4358" spans="1:15" hidden="1" x14ac:dyDescent="0.25">
      <c r="A4358" s="5">
        <v>46146</v>
      </c>
      <c r="B4358" s="6" t="s">
        <v>56</v>
      </c>
      <c r="C4358" s="3" t="s">
        <v>48</v>
      </c>
      <c r="D4358" s="3">
        <v>29</v>
      </c>
      <c r="E4358" s="3">
        <v>26</v>
      </c>
      <c r="F4358" s="3">
        <v>15.47</v>
      </c>
      <c r="G4358" s="3">
        <v>0</v>
      </c>
      <c r="H4358" s="3">
        <v>0</v>
      </c>
      <c r="I4358" s="3">
        <f t="shared" si="527"/>
        <v>26</v>
      </c>
      <c r="J4358" s="3">
        <f t="shared" si="528"/>
        <v>28</v>
      </c>
      <c r="K4358" s="3">
        <f t="shared" si="529"/>
        <v>-2</v>
      </c>
      <c r="L4358" s="3" t="str">
        <f>IF(K4358&lt;-5,"CRÍTICO",IF(K4358&lt;0,"ATENÇÃO",IF(K4358&lt;=5,"BOM","EXCELENTE")))</f>
        <v>ATENÇÃO</v>
      </c>
      <c r="M4358" s="3">
        <v>15</v>
      </c>
      <c r="N4358" s="3">
        <v>99</v>
      </c>
      <c r="O4358" s="3">
        <v>22.010869565217391</v>
      </c>
    </row>
    <row r="4359" spans="1:15" hidden="1" x14ac:dyDescent="0.25">
      <c r="A4359" s="5">
        <v>46147</v>
      </c>
      <c r="B4359" s="6" t="s">
        <v>56</v>
      </c>
      <c r="C4359" s="3" t="s">
        <v>48</v>
      </c>
      <c r="D4359" s="3">
        <v>18</v>
      </c>
      <c r="E4359" s="3">
        <v>18</v>
      </c>
      <c r="F4359" s="3">
        <v>18.28</v>
      </c>
      <c r="G4359" s="3">
        <v>4</v>
      </c>
      <c r="H4359" s="3">
        <v>0</v>
      </c>
      <c r="I4359" s="3">
        <f t="shared" si="527"/>
        <v>22</v>
      </c>
      <c r="J4359" s="3">
        <f t="shared" si="528"/>
        <v>28</v>
      </c>
      <c r="K4359" s="3">
        <f t="shared" si="529"/>
        <v>-6</v>
      </c>
      <c r="L4359" s="3" t="str">
        <f>IF(K4359&lt;-5,"CRÍTICO",IF(K4359&lt;0,"ATENÇÃO",IF(K4359&lt;=5,"BOM","EXCELENTE")))</f>
        <v>CRÍTICO</v>
      </c>
      <c r="M4359" s="3">
        <v>25</v>
      </c>
      <c r="N4359" s="3">
        <v>99</v>
      </c>
      <c r="O4359" s="3">
        <v>22.010869565217391</v>
      </c>
    </row>
    <row r="4360" spans="1:15" hidden="1" x14ac:dyDescent="0.25">
      <c r="A4360" s="5">
        <v>46148</v>
      </c>
      <c r="B4360" s="6" t="s">
        <v>56</v>
      </c>
      <c r="C4360" s="3" t="s">
        <v>48</v>
      </c>
      <c r="D4360" s="3">
        <v>38</v>
      </c>
      <c r="E4360" s="3">
        <v>36</v>
      </c>
      <c r="F4360" s="3">
        <v>15.35</v>
      </c>
      <c r="G4360" s="3">
        <v>2</v>
      </c>
      <c r="H4360" s="3">
        <v>0</v>
      </c>
      <c r="I4360" s="3">
        <f t="shared" si="527"/>
        <v>38</v>
      </c>
      <c r="J4360" s="3">
        <f t="shared" si="528"/>
        <v>28</v>
      </c>
      <c r="K4360" s="3">
        <f t="shared" si="529"/>
        <v>10</v>
      </c>
      <c r="L4360" s="3" t="str">
        <f>IF(K4360&lt;-5,"CRÍTICO",IF(K4360&lt;0,"ATENÇÃO",IF(K4360&lt;=5,"BOM","EXCELENTE")))</f>
        <v>EXCELENTE</v>
      </c>
      <c r="M4360" s="3">
        <v>16</v>
      </c>
      <c r="N4360" s="3">
        <v>99</v>
      </c>
      <c r="O4360" s="3">
        <v>22.010869565217391</v>
      </c>
    </row>
    <row r="4361" spans="1:15" hidden="1" x14ac:dyDescent="0.25">
      <c r="A4361" s="11">
        <v>46168</v>
      </c>
      <c r="B4361" t="s">
        <v>56</v>
      </c>
      <c r="C4361" t="s">
        <v>48</v>
      </c>
      <c r="D4361" s="3">
        <v>21</v>
      </c>
      <c r="E4361" s="3">
        <v>20</v>
      </c>
      <c r="F4361" s="3">
        <v>20.39</v>
      </c>
      <c r="G4361" s="3">
        <v>0</v>
      </c>
      <c r="M4361" s="3">
        <v>17</v>
      </c>
      <c r="N4361" s="3">
        <v>99</v>
      </c>
      <c r="O4361" s="3">
        <v>24.52316076294278</v>
      </c>
    </row>
    <row r="4362" spans="1:15" hidden="1" x14ac:dyDescent="0.25">
      <c r="A4362" s="11">
        <v>46140</v>
      </c>
      <c r="B4362" t="s">
        <v>57</v>
      </c>
      <c r="C4362" t="s">
        <v>48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v>0</v>
      </c>
      <c r="J4362" s="3">
        <v>0</v>
      </c>
      <c r="K4362" s="3"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98.73</v>
      </c>
      <c r="O4362" s="3">
        <v>28.961748633879779</v>
      </c>
    </row>
    <row r="4363" spans="1:15" hidden="1" x14ac:dyDescent="0.25">
      <c r="A4363" s="11">
        <v>46141</v>
      </c>
      <c r="B4363" t="s">
        <v>57</v>
      </c>
      <c r="C4363" t="s">
        <v>48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 s="3">
        <v>0</v>
      </c>
      <c r="N4363" s="3">
        <v>98.73</v>
      </c>
      <c r="O4363" s="3">
        <v>28.961748633879779</v>
      </c>
    </row>
    <row r="4364" spans="1:15" hidden="1" x14ac:dyDescent="0.25">
      <c r="A4364" s="11">
        <v>46142</v>
      </c>
      <c r="B4364" t="s">
        <v>57</v>
      </c>
      <c r="C4364" t="s">
        <v>48</v>
      </c>
      <c r="D4364" s="3">
        <v>0</v>
      </c>
      <c r="E4364" s="3">
        <v>0</v>
      </c>
      <c r="F4364" s="3">
        <v>0</v>
      </c>
      <c r="G4364" s="3">
        <v>0</v>
      </c>
      <c r="H4364" s="3">
        <v>0</v>
      </c>
      <c r="I4364" s="3">
        <v>0</v>
      </c>
      <c r="J4364" s="3">
        <v>0</v>
      </c>
      <c r="K4364" s="3">
        <v>0</v>
      </c>
      <c r="L4364" s="3" t="str">
        <f>IF(K4364&lt;-5,"CRÍTICO",IF(K4364&lt;0,"ATENÇÃO",IF(K4364&lt;=5,"OPORTUNO","MUITO BOM")))</f>
        <v>OPORTUNO</v>
      </c>
      <c r="M4364" s="3">
        <v>0</v>
      </c>
      <c r="N4364" s="3">
        <v>98.73</v>
      </c>
      <c r="O4364" s="3">
        <v>28.961748633879779</v>
      </c>
    </row>
    <row r="4365" spans="1:15" hidden="1" x14ac:dyDescent="0.25">
      <c r="A4365" s="5">
        <v>46146</v>
      </c>
      <c r="B4365" s="6" t="s">
        <v>57</v>
      </c>
      <c r="C4365" s="3" t="s">
        <v>48</v>
      </c>
      <c r="D4365" s="3">
        <v>41</v>
      </c>
      <c r="E4365" s="3">
        <v>40</v>
      </c>
      <c r="F4365" s="3">
        <v>15.1</v>
      </c>
      <c r="G4365" s="3">
        <v>0</v>
      </c>
      <c r="H4365" s="3">
        <v>0</v>
      </c>
      <c r="I4365" s="3">
        <v>0</v>
      </c>
      <c r="J4365" s="3">
        <v>0</v>
      </c>
      <c r="K4365" s="3">
        <v>0</v>
      </c>
      <c r="L4365" s="3" t="str">
        <f>IF(K4365&lt;-5,"CRÍTICO",IF(K4365&lt;0,"ATENÇÃO",IF(K4365&lt;=5,"BOM","EXCELENTE")))</f>
        <v>BOM</v>
      </c>
      <c r="M4365" s="3">
        <v>31</v>
      </c>
      <c r="N4365" s="3">
        <v>100</v>
      </c>
      <c r="O4365" s="3">
        <v>25</v>
      </c>
    </row>
    <row r="4366" spans="1:15" hidden="1" x14ac:dyDescent="0.25">
      <c r="A4366" s="5">
        <v>46147</v>
      </c>
      <c r="B4366" s="6" t="s">
        <v>57</v>
      </c>
      <c r="C4366" s="3" t="s">
        <v>48</v>
      </c>
      <c r="D4366" s="3">
        <v>37</v>
      </c>
      <c r="E4366" s="3">
        <v>35</v>
      </c>
      <c r="F4366" s="3">
        <v>15.27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>IF(K4366&lt;-5,"CRÍTICO",IF(K4366&lt;0,"ATENÇÃO",IF(K4366&lt;=5,"BOM","EXCELENTE")))</f>
        <v>BOM</v>
      </c>
      <c r="M4366" s="3">
        <v>37</v>
      </c>
      <c r="N4366" s="3">
        <v>100</v>
      </c>
      <c r="O4366" s="3">
        <v>25</v>
      </c>
    </row>
    <row r="4367" spans="1:15" hidden="1" x14ac:dyDescent="0.25">
      <c r="A4367" s="5">
        <v>46148</v>
      </c>
      <c r="B4367" s="6" t="s">
        <v>57</v>
      </c>
      <c r="C4367" s="3" t="s">
        <v>48</v>
      </c>
      <c r="D4367" s="3">
        <v>34</v>
      </c>
      <c r="E4367" s="3">
        <v>31</v>
      </c>
      <c r="F4367" s="3">
        <v>16.420000000000002</v>
      </c>
      <c r="G4367" s="3">
        <v>0</v>
      </c>
      <c r="H4367" s="3">
        <v>0</v>
      </c>
      <c r="I4367" s="3">
        <v>0</v>
      </c>
      <c r="J4367" s="3">
        <v>0</v>
      </c>
      <c r="K4367" s="3">
        <v>0</v>
      </c>
      <c r="L4367" s="3" t="str">
        <f>IF(K4367&lt;-5,"CRÍTICO",IF(K4367&lt;0,"ATENÇÃO",IF(K4367&lt;=5,"BOM","EXCELENTE")))</f>
        <v>BOM</v>
      </c>
      <c r="M4367" s="3">
        <v>28</v>
      </c>
      <c r="N4367" s="3">
        <v>100</v>
      </c>
      <c r="O4367" s="3">
        <v>25</v>
      </c>
    </row>
    <row r="4368" spans="1:15" hidden="1" x14ac:dyDescent="0.25">
      <c r="A4368" s="11">
        <v>46168</v>
      </c>
      <c r="B4368" t="s">
        <v>57</v>
      </c>
      <c r="C4368" t="s">
        <v>48</v>
      </c>
      <c r="D4368" s="3">
        <v>18</v>
      </c>
      <c r="E4368" s="3">
        <v>17</v>
      </c>
      <c r="F4368" s="3">
        <v>22.25</v>
      </c>
      <c r="G4368" s="3">
        <v>0</v>
      </c>
      <c r="M4368" s="3">
        <v>15</v>
      </c>
      <c r="N4368" s="3">
        <v>100</v>
      </c>
      <c r="O4368" s="3">
        <v>26.4367816091954</v>
      </c>
    </row>
    <row r="4369" spans="1:15" hidden="1" x14ac:dyDescent="0.25">
      <c r="A4369" s="11">
        <v>46140</v>
      </c>
      <c r="B4369" t="s">
        <v>58</v>
      </c>
      <c r="C4369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99.02</v>
      </c>
      <c r="O4369" s="3">
        <v>34.797297297297298</v>
      </c>
    </row>
    <row r="4370" spans="1:15" hidden="1" x14ac:dyDescent="0.25">
      <c r="A4370" s="11">
        <v>46141</v>
      </c>
      <c r="B4370" t="s">
        <v>58</v>
      </c>
      <c r="C4370" t="s">
        <v>48</v>
      </c>
      <c r="D4370" s="3">
        <v>0</v>
      </c>
      <c r="E4370" s="3">
        <v>0</v>
      </c>
      <c r="F4370" s="3">
        <v>0</v>
      </c>
      <c r="G4370" s="3">
        <v>0</v>
      </c>
      <c r="H4370" s="3">
        <v>0</v>
      </c>
      <c r="I4370" s="3">
        <v>0</v>
      </c>
      <c r="J4370" s="3">
        <v>0</v>
      </c>
      <c r="K4370" s="3">
        <v>0</v>
      </c>
      <c r="L4370" s="3" t="str">
        <f>IF(K4370&lt;-5,"CRÍTICO",IF(K4370&lt;0,"ATENÇÃO",IF(K4370&lt;=5,"OPORTUNO","MUITO BOM")))</f>
        <v>OPORTUNO</v>
      </c>
      <c r="M4370" s="3">
        <v>0</v>
      </c>
      <c r="N4370" s="3">
        <v>99.02</v>
      </c>
      <c r="O4370" s="3">
        <v>34.797297297297298</v>
      </c>
    </row>
    <row r="4371" spans="1:15" hidden="1" x14ac:dyDescent="0.25">
      <c r="A4371" s="11">
        <v>46142</v>
      </c>
      <c r="B4371" t="s">
        <v>58</v>
      </c>
      <c r="C4371" t="s">
        <v>48</v>
      </c>
      <c r="D4371" s="3">
        <v>31</v>
      </c>
      <c r="E4371" s="3">
        <v>27</v>
      </c>
      <c r="F4371" s="3">
        <v>15.42</v>
      </c>
      <c r="G4371" s="3">
        <v>0</v>
      </c>
      <c r="H4371" s="3">
        <v>0</v>
      </c>
      <c r="I4371" s="3">
        <f>E4371+G4371+H4371</f>
        <v>27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26</v>
      </c>
      <c r="K4371" s="3">
        <f>I4371-J4371</f>
        <v>1</v>
      </c>
      <c r="L4371" s="3" t="str">
        <f>IF(K4371&lt;-5,"CRÍTICO",IF(K4371&lt;0,"ATENÇÃO",IF(K4371&lt;=5,"OPORTUNO","MUITO BOM")))</f>
        <v>OPORTUNO</v>
      </c>
      <c r="M4371" s="3">
        <v>24</v>
      </c>
      <c r="N4371" s="3">
        <v>99.02</v>
      </c>
      <c r="O4371" s="3">
        <v>34.797297297297298</v>
      </c>
    </row>
    <row r="4372" spans="1:15" hidden="1" x14ac:dyDescent="0.25">
      <c r="A4372" s="5">
        <v>46146</v>
      </c>
      <c r="B4372" s="6" t="s">
        <v>58</v>
      </c>
      <c r="C4372" s="3" t="s">
        <v>48</v>
      </c>
      <c r="D4372" s="3">
        <v>20</v>
      </c>
      <c r="E4372" s="3">
        <v>16</v>
      </c>
      <c r="F4372" s="3">
        <v>16.510000000000002</v>
      </c>
      <c r="G4372" s="3">
        <v>0</v>
      </c>
      <c r="H4372" s="3">
        <v>0</v>
      </c>
      <c r="I4372" s="3">
        <f>E4372+G4372+H4372</f>
        <v>16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28</v>
      </c>
      <c r="K4372" s="3">
        <f>I4372-J4372</f>
        <v>-12</v>
      </c>
      <c r="L4372" s="3" t="str">
        <f>IF(K4372&lt;-5,"CRÍTICO",IF(K4372&lt;0,"ATENÇÃO",IF(K4372&lt;=5,"BOM","EXCELENTE")))</f>
        <v>CRÍTICO</v>
      </c>
      <c r="M4372" s="3">
        <v>14</v>
      </c>
      <c r="N4372" s="3">
        <v>100</v>
      </c>
      <c r="O4372" s="3">
        <v>20.183486238532112</v>
      </c>
    </row>
    <row r="4373" spans="1:15" hidden="1" x14ac:dyDescent="0.25">
      <c r="A4373" s="5">
        <v>46147</v>
      </c>
      <c r="B4373" s="6" t="s">
        <v>58</v>
      </c>
      <c r="C4373" s="3" t="s">
        <v>48</v>
      </c>
      <c r="D4373" s="3">
        <v>27</v>
      </c>
      <c r="E4373" s="3">
        <v>25</v>
      </c>
      <c r="F4373" s="3">
        <v>17.39</v>
      </c>
      <c r="G4373" s="3">
        <v>0</v>
      </c>
      <c r="H4373" s="3">
        <v>0</v>
      </c>
      <c r="I4373" s="3">
        <f>E4373+G4373+H4373</f>
        <v>25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28</v>
      </c>
      <c r="K4373" s="3">
        <f>I4373-J4373</f>
        <v>-3</v>
      </c>
      <c r="L4373" s="3" t="str">
        <f>IF(K4373&lt;-5,"CRÍTICO",IF(K4373&lt;0,"ATENÇÃO",IF(K4373&lt;=5,"BOM","EXCELENTE")))</f>
        <v>ATENÇÃO</v>
      </c>
      <c r="M4373" s="3">
        <v>21</v>
      </c>
      <c r="N4373" s="3">
        <v>100</v>
      </c>
      <c r="O4373" s="3">
        <v>20.183486238532112</v>
      </c>
    </row>
    <row r="4374" spans="1:15" hidden="1" x14ac:dyDescent="0.25">
      <c r="A4374" s="5">
        <v>46148</v>
      </c>
      <c r="B4374" s="6" t="s">
        <v>58</v>
      </c>
      <c r="C4374" s="3" t="s">
        <v>48</v>
      </c>
      <c r="D4374" s="3">
        <v>35</v>
      </c>
      <c r="E4374" s="3">
        <v>33</v>
      </c>
      <c r="F4374" s="3">
        <v>15.19</v>
      </c>
      <c r="G4374" s="3">
        <v>0</v>
      </c>
      <c r="H4374" s="3">
        <v>0</v>
      </c>
      <c r="I4374" s="3">
        <f>E4374+G4374+H4374</f>
        <v>33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28</v>
      </c>
      <c r="K4374" s="3">
        <f>I4374-J4374</f>
        <v>5</v>
      </c>
      <c r="L4374" s="3" t="str">
        <f>IF(K4374&lt;-5,"CRÍTICO",IF(K4374&lt;0,"ATENÇÃO",IF(K4374&lt;=5,"BOM","EXCELENTE")))</f>
        <v>BOM</v>
      </c>
      <c r="M4374" s="3">
        <v>30</v>
      </c>
      <c r="N4374" s="3">
        <v>100</v>
      </c>
      <c r="O4374" s="3">
        <v>20.183486238532112</v>
      </c>
    </row>
    <row r="4375" spans="1:15" hidden="1" x14ac:dyDescent="0.25">
      <c r="A4375" s="11">
        <v>46168</v>
      </c>
      <c r="B4375" t="s">
        <v>58</v>
      </c>
      <c r="C4375" t="s">
        <v>48</v>
      </c>
      <c r="D4375" s="3">
        <v>0</v>
      </c>
      <c r="E4375" s="3">
        <v>0</v>
      </c>
      <c r="F4375" s="3">
        <v>0</v>
      </c>
      <c r="G4375" s="3">
        <v>0</v>
      </c>
      <c r="H4375" s="3">
        <v>0</v>
      </c>
      <c r="I4375" s="3">
        <v>0</v>
      </c>
      <c r="J4375" s="3">
        <v>0</v>
      </c>
      <c r="K4375" s="3">
        <v>0</v>
      </c>
      <c r="M4375" s="3">
        <v>0</v>
      </c>
      <c r="N4375" s="3">
        <v>100</v>
      </c>
      <c r="O4375" s="3">
        <v>21.100917431192659</v>
      </c>
    </row>
    <row r="4376" spans="1:15" hidden="1" x14ac:dyDescent="0.25">
      <c r="A4376" s="11">
        <v>46140</v>
      </c>
      <c r="B4376" t="s">
        <v>59</v>
      </c>
      <c r="C4376" t="s">
        <v>23</v>
      </c>
      <c r="D4376" s="3">
        <v>26</v>
      </c>
      <c r="E4376" s="3">
        <v>24</v>
      </c>
      <c r="F4376" s="3">
        <v>19.190000000000001</v>
      </c>
      <c r="G4376" s="3">
        <v>0</v>
      </c>
      <c r="H4376" s="3">
        <v>0</v>
      </c>
      <c r="I4376" s="3">
        <f t="shared" ref="I4376:I4381" si="530">E4376+G4376+H4376</f>
        <v>24</v>
      </c>
      <c r="J4376" s="3">
        <f t="shared" ref="J4376:J4381" si="531"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22</v>
      </c>
      <c r="K4376" s="3">
        <f t="shared" ref="K4376:K4381" si="532">I4376-J4376</f>
        <v>2</v>
      </c>
      <c r="L4376" s="3" t="str">
        <f>IF(K4376&lt;-5,"CRÍTICO",IF(K4376&lt;0,"ATENÇÃO",IF(K4376&lt;=5,"OPORTUNO","MUITO BOM")))</f>
        <v>OPORTUNO</v>
      </c>
      <c r="M4376" s="3">
        <v>22</v>
      </c>
      <c r="N4376" s="3">
        <v>99.32</v>
      </c>
      <c r="O4376" s="3">
        <v>30.648330058939099</v>
      </c>
    </row>
    <row r="4377" spans="1:15" hidden="1" x14ac:dyDescent="0.25">
      <c r="A4377" s="11">
        <v>46141</v>
      </c>
      <c r="B4377" t="s">
        <v>59</v>
      </c>
      <c r="C4377" t="s">
        <v>23</v>
      </c>
      <c r="D4377" s="3">
        <v>33</v>
      </c>
      <c r="E4377" s="3">
        <v>29</v>
      </c>
      <c r="F4377" s="3">
        <v>20.25</v>
      </c>
      <c r="G4377" s="3">
        <v>0</v>
      </c>
      <c r="H4377" s="3">
        <v>0</v>
      </c>
      <c r="I4377" s="3">
        <f t="shared" si="530"/>
        <v>29</v>
      </c>
      <c r="J4377" s="3">
        <f t="shared" si="531"/>
        <v>23</v>
      </c>
      <c r="K4377" s="3">
        <f t="shared" si="532"/>
        <v>6</v>
      </c>
      <c r="L4377" s="3" t="str">
        <f>IF(K4377&lt;-5,"CRÍTICO",IF(K4377&lt;0,"ATENÇÃO",IF(K4377&lt;=5,"OPORTUNO","MUITO BOM")))</f>
        <v>MUITO BOM</v>
      </c>
      <c r="M4377" s="3">
        <v>28</v>
      </c>
      <c r="N4377" s="3">
        <v>99.32</v>
      </c>
      <c r="O4377" s="3">
        <v>30.648330058939099</v>
      </c>
    </row>
    <row r="4378" spans="1:15" hidden="1" x14ac:dyDescent="0.25">
      <c r="A4378" s="11">
        <v>46142</v>
      </c>
      <c r="B4378" t="s">
        <v>59</v>
      </c>
      <c r="C4378" t="s">
        <v>23</v>
      </c>
      <c r="D4378" s="3">
        <v>26</v>
      </c>
      <c r="E4378" s="3">
        <v>24</v>
      </c>
      <c r="F4378" s="3">
        <v>18.239999999999998</v>
      </c>
      <c r="G4378" s="3">
        <v>0</v>
      </c>
      <c r="H4378" s="3">
        <v>0</v>
      </c>
      <c r="I4378" s="3">
        <f t="shared" si="530"/>
        <v>24</v>
      </c>
      <c r="J4378" s="3">
        <f t="shared" si="531"/>
        <v>21</v>
      </c>
      <c r="K4378" s="3">
        <f t="shared" si="532"/>
        <v>3</v>
      </c>
      <c r="L4378" s="3" t="str">
        <f>IF(K4378&lt;-5,"CRÍTICO",IF(K4378&lt;0,"ATENÇÃO",IF(K4378&lt;=5,"OPORTUNO","MUITO BOM")))</f>
        <v>OPORTUNO</v>
      </c>
      <c r="M4378" s="3">
        <v>26</v>
      </c>
      <c r="N4378" s="3">
        <v>99.32</v>
      </c>
      <c r="O4378" s="3">
        <v>30.648330058939099</v>
      </c>
    </row>
    <row r="4379" spans="1:15" hidden="1" x14ac:dyDescent="0.25">
      <c r="A4379" s="5">
        <v>46146</v>
      </c>
      <c r="B4379" s="6" t="s">
        <v>59</v>
      </c>
      <c r="C4379" s="3" t="s">
        <v>23</v>
      </c>
      <c r="D4379" s="3">
        <v>41</v>
      </c>
      <c r="E4379" s="3">
        <v>39</v>
      </c>
      <c r="F4379" s="3">
        <v>17.309999999999999</v>
      </c>
      <c r="G4379" s="3">
        <v>1</v>
      </c>
      <c r="H4379" s="3">
        <v>0</v>
      </c>
      <c r="I4379" s="3">
        <f t="shared" si="530"/>
        <v>40</v>
      </c>
      <c r="J4379" s="3">
        <f t="shared" si="531"/>
        <v>23</v>
      </c>
      <c r="K4379" s="3">
        <f t="shared" si="532"/>
        <v>17</v>
      </c>
      <c r="L4379" s="3" t="str">
        <f>IF(K4379&lt;-5,"CRÍTICO",IF(K4379&lt;0,"ATENÇÃO",IF(K4379&lt;=5,"BOM","EXCELENTE")))</f>
        <v>EXCELENTE</v>
      </c>
      <c r="M4379" s="3">
        <v>35</v>
      </c>
      <c r="N4379" s="3">
        <v>96.25</v>
      </c>
      <c r="O4379" s="3">
        <v>25.586353944562902</v>
      </c>
    </row>
    <row r="4380" spans="1:15" hidden="1" x14ac:dyDescent="0.25">
      <c r="A4380" s="5">
        <v>46147</v>
      </c>
      <c r="B4380" t="s">
        <v>59</v>
      </c>
      <c r="C4380" s="3" t="s">
        <v>23</v>
      </c>
      <c r="D4380" s="3">
        <v>30</v>
      </c>
      <c r="E4380" s="3">
        <v>30</v>
      </c>
      <c r="F4380" s="3">
        <v>17.010000000000002</v>
      </c>
      <c r="G4380" s="3">
        <v>7</v>
      </c>
      <c r="H4380" s="3">
        <v>0</v>
      </c>
      <c r="I4380" s="3">
        <f t="shared" si="530"/>
        <v>37</v>
      </c>
      <c r="J4380" s="3">
        <f t="shared" si="531"/>
        <v>23</v>
      </c>
      <c r="K4380" s="3">
        <f t="shared" si="532"/>
        <v>14</v>
      </c>
      <c r="L4380" s="3" t="str">
        <f>IF(K4380&lt;-5,"CRÍTICO",IF(K4380&lt;0,"ATENÇÃO",IF(K4380&lt;=5,"BOM","EXCELENTE")))</f>
        <v>EXCELENTE</v>
      </c>
      <c r="M4380" s="3">
        <v>36</v>
      </c>
      <c r="N4380" s="3">
        <v>96.25</v>
      </c>
      <c r="O4380" s="3">
        <v>25.586353944562902</v>
      </c>
    </row>
    <row r="4381" spans="1:15" hidden="1" x14ac:dyDescent="0.25">
      <c r="A4381" s="5">
        <v>46148</v>
      </c>
      <c r="B4381" s="6" t="s">
        <v>59</v>
      </c>
      <c r="C4381" s="3" t="s">
        <v>23</v>
      </c>
      <c r="D4381" s="3">
        <v>50</v>
      </c>
      <c r="E4381" s="3">
        <v>43</v>
      </c>
      <c r="F4381" s="3">
        <v>14.05</v>
      </c>
      <c r="G4381" s="3">
        <v>6</v>
      </c>
      <c r="H4381" s="3">
        <v>0</v>
      </c>
      <c r="I4381" s="3">
        <f t="shared" si="530"/>
        <v>49</v>
      </c>
      <c r="J4381" s="3">
        <f t="shared" si="531"/>
        <v>23</v>
      </c>
      <c r="K4381" s="3">
        <f t="shared" si="532"/>
        <v>26</v>
      </c>
      <c r="L4381" s="3" t="str">
        <f>IF(K4381&lt;-5,"CRÍTICO",IF(K4381&lt;0,"ATENÇÃO",IF(K4381&lt;=5,"BOM","EXCELENTE")))</f>
        <v>EXCELENTE</v>
      </c>
      <c r="M4381" s="3">
        <v>43</v>
      </c>
      <c r="N4381" s="3">
        <v>96.25</v>
      </c>
      <c r="O4381" s="3">
        <v>25.586353944562902</v>
      </c>
    </row>
    <row r="4382" spans="1:15" hidden="1" x14ac:dyDescent="0.25">
      <c r="A4382" s="11">
        <v>46168</v>
      </c>
      <c r="B4382" t="s">
        <v>59</v>
      </c>
      <c r="C4382" t="s">
        <v>23</v>
      </c>
      <c r="D4382" s="3">
        <v>24</v>
      </c>
      <c r="E4382" s="3">
        <v>22</v>
      </c>
      <c r="F4382" s="3">
        <v>18.55</v>
      </c>
      <c r="G4382" s="3">
        <v>1</v>
      </c>
      <c r="M4382" s="3">
        <v>21</v>
      </c>
      <c r="N4382" s="3">
        <v>96.25</v>
      </c>
      <c r="O4382" s="3">
        <v>27.292110874200429</v>
      </c>
    </row>
    <row r="4383" spans="1:15" hidden="1" x14ac:dyDescent="0.25">
      <c r="A4383" s="11">
        <v>46140</v>
      </c>
      <c r="B4383" t="s">
        <v>60</v>
      </c>
      <c r="C4383" t="s">
        <v>23</v>
      </c>
      <c r="D4383" s="3">
        <v>27</v>
      </c>
      <c r="E4383" s="3">
        <v>26</v>
      </c>
      <c r="F4383" s="3">
        <v>15.4</v>
      </c>
      <c r="G4383" s="3">
        <v>0</v>
      </c>
      <c r="H4383" s="3">
        <v>0</v>
      </c>
      <c r="I4383" s="3">
        <f t="shared" ref="I4383:I4388" si="533">E4383+G4383+H4383</f>
        <v>26</v>
      </c>
      <c r="J4383" s="3">
        <f t="shared" ref="J4383:J4388" si="534"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22</v>
      </c>
      <c r="K4383" s="3">
        <f t="shared" ref="K4383:K4388" si="535">I4383-J4383</f>
        <v>4</v>
      </c>
      <c r="L4383" s="3" t="str">
        <f>IF(K4383&lt;-5,"CRÍTICO",IF(K4383&lt;0,"ATENÇÃO",IF(K4383&lt;=5,"OPORTUNO","MUITO BOM")))</f>
        <v>OPORTUNO</v>
      </c>
      <c r="M4383" s="3">
        <v>25</v>
      </c>
      <c r="N4383" s="3">
        <v>96.3</v>
      </c>
      <c r="O4383" s="3">
        <v>32.219570405727922</v>
      </c>
    </row>
    <row r="4384" spans="1:15" hidden="1" x14ac:dyDescent="0.25">
      <c r="A4384" s="11">
        <v>46141</v>
      </c>
      <c r="B4384" t="s">
        <v>60</v>
      </c>
      <c r="C4384" t="s">
        <v>23</v>
      </c>
      <c r="D4384" s="3">
        <v>51</v>
      </c>
      <c r="E4384" s="3">
        <v>13</v>
      </c>
      <c r="F4384" s="3">
        <v>3.26</v>
      </c>
      <c r="G4384" s="3">
        <v>0</v>
      </c>
      <c r="H4384" s="3">
        <v>0</v>
      </c>
      <c r="I4384" s="3">
        <f t="shared" si="533"/>
        <v>13</v>
      </c>
      <c r="J4384" s="3">
        <f t="shared" si="534"/>
        <v>23</v>
      </c>
      <c r="K4384" s="3">
        <f t="shared" si="535"/>
        <v>-10</v>
      </c>
      <c r="L4384" s="3" t="str">
        <f>IF(K4384&lt;-5,"CRÍTICO",IF(K4384&lt;0,"ATENÇÃO",IF(K4384&lt;=5,"OPORTUNO","MUITO BOM")))</f>
        <v>CRÍTICO</v>
      </c>
      <c r="M4384" s="3">
        <v>19</v>
      </c>
      <c r="N4384" s="3">
        <v>96.3</v>
      </c>
      <c r="O4384" s="3">
        <v>32.219570405727922</v>
      </c>
    </row>
    <row r="4385" spans="1:15" hidden="1" x14ac:dyDescent="0.25">
      <c r="A4385" s="11">
        <v>46142</v>
      </c>
      <c r="B4385" t="s">
        <v>60</v>
      </c>
      <c r="C4385" t="s">
        <v>23</v>
      </c>
      <c r="D4385" s="3">
        <v>23</v>
      </c>
      <c r="E4385" s="3">
        <v>23</v>
      </c>
      <c r="F4385" s="3">
        <v>25.3</v>
      </c>
      <c r="G4385" s="3">
        <v>0</v>
      </c>
      <c r="H4385" s="3">
        <v>0</v>
      </c>
      <c r="I4385" s="3">
        <f t="shared" si="533"/>
        <v>23</v>
      </c>
      <c r="J4385" s="3">
        <f t="shared" si="534"/>
        <v>21</v>
      </c>
      <c r="K4385" s="3">
        <f t="shared" si="535"/>
        <v>2</v>
      </c>
      <c r="L4385" s="3" t="str">
        <f>IF(K4385&lt;-5,"CRÍTICO",IF(K4385&lt;0,"ATENÇÃO",IF(K4385&lt;=5,"OPORTUNO","MUITO BOM")))</f>
        <v>OPORTUNO</v>
      </c>
      <c r="M4385" s="3">
        <v>19</v>
      </c>
      <c r="N4385" s="3">
        <v>96.3</v>
      </c>
      <c r="O4385" s="3">
        <v>32.219570405727922</v>
      </c>
    </row>
    <row r="4386" spans="1:15" hidden="1" x14ac:dyDescent="0.25">
      <c r="A4386" s="5">
        <v>46146</v>
      </c>
      <c r="B4386" s="6" t="s">
        <v>60</v>
      </c>
      <c r="C4386" s="3" t="s">
        <v>23</v>
      </c>
      <c r="D4386" s="3">
        <v>32</v>
      </c>
      <c r="E4386" s="3">
        <v>26</v>
      </c>
      <c r="F4386" s="3">
        <v>15.13</v>
      </c>
      <c r="G4386" s="3">
        <v>6</v>
      </c>
      <c r="H4386" s="3">
        <v>0</v>
      </c>
      <c r="I4386" s="3">
        <f t="shared" si="533"/>
        <v>32</v>
      </c>
      <c r="J4386" s="3">
        <f t="shared" si="534"/>
        <v>23</v>
      </c>
      <c r="K4386" s="3">
        <f t="shared" si="535"/>
        <v>9</v>
      </c>
      <c r="L4386" s="3" t="str">
        <f>IF(K4386&lt;-5,"CRÍTICO",IF(K4386&lt;0,"ATENÇÃO",IF(K4386&lt;=5,"BOM","EXCELENTE")))</f>
        <v>EXCELENTE</v>
      </c>
      <c r="M4386" s="3">
        <v>29</v>
      </c>
      <c r="N4386" s="3">
        <v>97.48</v>
      </c>
      <c r="O4386" s="3">
        <v>22.99465240641711</v>
      </c>
    </row>
    <row r="4387" spans="1:15" hidden="1" x14ac:dyDescent="0.25">
      <c r="A4387" s="5">
        <v>46147</v>
      </c>
      <c r="B4387" s="6" t="s">
        <v>60</v>
      </c>
      <c r="C4387" s="3" t="s">
        <v>23</v>
      </c>
      <c r="D4387" s="3">
        <v>122</v>
      </c>
      <c r="E4387" s="3">
        <v>28</v>
      </c>
      <c r="F4387" s="3">
        <v>3.47</v>
      </c>
      <c r="G4387" s="3">
        <v>1</v>
      </c>
      <c r="H4387" s="3">
        <v>0</v>
      </c>
      <c r="I4387" s="3">
        <f t="shared" si="533"/>
        <v>29</v>
      </c>
      <c r="J4387" s="3">
        <f t="shared" si="534"/>
        <v>23</v>
      </c>
      <c r="K4387" s="3">
        <f t="shared" si="535"/>
        <v>6</v>
      </c>
      <c r="L4387" s="3" t="str">
        <f>IF(K4387&lt;-5,"CRÍTICO",IF(K4387&lt;0,"ATENÇÃO",IF(K4387&lt;=5,"BOM","EXCELENTE")))</f>
        <v>EXCELENTE</v>
      </c>
      <c r="M4387" s="3">
        <v>16</v>
      </c>
      <c r="N4387" s="3">
        <v>97.48</v>
      </c>
      <c r="O4387" s="3">
        <v>22.99465240641711</v>
      </c>
    </row>
    <row r="4388" spans="1:15" hidden="1" x14ac:dyDescent="0.25">
      <c r="A4388" s="5">
        <v>46148</v>
      </c>
      <c r="B4388" s="6" t="s">
        <v>60</v>
      </c>
      <c r="C4388" s="3" t="s">
        <v>23</v>
      </c>
      <c r="D4388" s="3">
        <v>24</v>
      </c>
      <c r="E4388" s="3">
        <v>23</v>
      </c>
      <c r="F4388" s="3">
        <v>17.07</v>
      </c>
      <c r="G4388" s="3">
        <v>9</v>
      </c>
      <c r="H4388" s="3">
        <v>0</v>
      </c>
      <c r="I4388" s="3">
        <f t="shared" si="533"/>
        <v>32</v>
      </c>
      <c r="J4388" s="3">
        <f t="shared" si="534"/>
        <v>23</v>
      </c>
      <c r="K4388" s="3">
        <f t="shared" si="535"/>
        <v>9</v>
      </c>
      <c r="L4388" s="3" t="str">
        <f>IF(K4388&lt;-5,"CRÍTICO",IF(K4388&lt;0,"ATENÇÃO",IF(K4388&lt;=5,"BOM","EXCELENTE")))</f>
        <v>EXCELENTE</v>
      </c>
      <c r="M4388" s="3">
        <v>30</v>
      </c>
      <c r="N4388" s="3">
        <v>97.48</v>
      </c>
      <c r="O4388" s="3">
        <v>22.99465240641711</v>
      </c>
    </row>
    <row r="4389" spans="1:15" hidden="1" x14ac:dyDescent="0.25">
      <c r="A4389" s="11">
        <v>46168</v>
      </c>
      <c r="B4389" t="s">
        <v>60</v>
      </c>
      <c r="C4389" t="s">
        <v>23</v>
      </c>
      <c r="D4389" s="3">
        <v>28</v>
      </c>
      <c r="E4389" s="3">
        <v>26</v>
      </c>
      <c r="F4389" s="3">
        <v>15.35</v>
      </c>
      <c r="G4389" s="3">
        <v>2</v>
      </c>
      <c r="M4389" s="3">
        <v>25</v>
      </c>
      <c r="N4389" s="3">
        <v>97.48</v>
      </c>
      <c r="O4389" s="3">
        <v>25.401069518716579</v>
      </c>
    </row>
    <row r="4390" spans="1:15" hidden="1" x14ac:dyDescent="0.25">
      <c r="A4390" s="11">
        <v>46140</v>
      </c>
      <c r="B4390" t="s">
        <v>61</v>
      </c>
      <c r="C4390" t="s">
        <v>23</v>
      </c>
      <c r="D4390" s="3">
        <v>17</v>
      </c>
      <c r="E4390" s="3">
        <v>17</v>
      </c>
      <c r="F4390" s="3">
        <v>17.23</v>
      </c>
      <c r="G4390" s="3">
        <v>0</v>
      </c>
      <c r="H4390" s="3">
        <v>0</v>
      </c>
      <c r="I4390" s="3">
        <f t="shared" ref="I4390:I4404" si="536">E4390+G4390+H4390</f>
        <v>17</v>
      </c>
      <c r="J4390" s="3">
        <f t="shared" ref="J4390:J4404" si="537"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 t="shared" ref="K4390:K4404" si="538">I4390-J4390</f>
        <v>-5</v>
      </c>
      <c r="L4390" s="3" t="str">
        <f>IF(K4390&lt;-5,"CRÍTICO",IF(K4390&lt;0,"ATENÇÃO",IF(K4390&lt;=5,"OPORTUNO","MUITO BOM")))</f>
        <v>ATENÇÃO</v>
      </c>
      <c r="M4390" s="3">
        <v>15</v>
      </c>
      <c r="N4390" s="3">
        <v>100</v>
      </c>
      <c r="O4390" s="3">
        <v>36.594202898550733</v>
      </c>
    </row>
    <row r="4391" spans="1:15" hidden="1" x14ac:dyDescent="0.25">
      <c r="A4391" s="11">
        <v>46141</v>
      </c>
      <c r="B4391" t="s">
        <v>61</v>
      </c>
      <c r="C4391" t="s">
        <v>23</v>
      </c>
      <c r="D4391" s="3">
        <v>29</v>
      </c>
      <c r="E4391" s="3">
        <v>28</v>
      </c>
      <c r="F4391" s="3">
        <v>18.510000000000002</v>
      </c>
      <c r="G4391" s="3">
        <v>0</v>
      </c>
      <c r="H4391" s="3">
        <v>0</v>
      </c>
      <c r="I4391" s="3">
        <f t="shared" si="536"/>
        <v>28</v>
      </c>
      <c r="J4391" s="3">
        <f t="shared" si="537"/>
        <v>23</v>
      </c>
      <c r="K4391" s="3">
        <f t="shared" si="538"/>
        <v>5</v>
      </c>
      <c r="L4391" s="3" t="str">
        <f>IF(K4391&lt;-5,"CRÍTICO",IF(K4391&lt;0,"ATENÇÃO",IF(K4391&lt;=5,"OPORTUNO","MUITO BOM")))</f>
        <v>OPORTUNO</v>
      </c>
      <c r="M4391" s="3">
        <v>22</v>
      </c>
      <c r="N4391" s="3">
        <v>100</v>
      </c>
      <c r="O4391" s="3">
        <v>36.594202898550733</v>
      </c>
    </row>
    <row r="4392" spans="1:15" hidden="1" x14ac:dyDescent="0.25">
      <c r="A4392" s="11">
        <v>46142</v>
      </c>
      <c r="B4392" t="s">
        <v>61</v>
      </c>
      <c r="C4392" t="s">
        <v>23</v>
      </c>
      <c r="D4392" s="3">
        <v>23</v>
      </c>
      <c r="E4392" s="3">
        <v>23</v>
      </c>
      <c r="F4392" s="3">
        <v>20.21</v>
      </c>
      <c r="G4392" s="3">
        <v>0</v>
      </c>
      <c r="H4392" s="3">
        <v>0</v>
      </c>
      <c r="I4392" s="3">
        <f t="shared" si="536"/>
        <v>23</v>
      </c>
      <c r="J4392" s="3">
        <f t="shared" si="537"/>
        <v>21</v>
      </c>
      <c r="K4392" s="3">
        <f t="shared" si="538"/>
        <v>2</v>
      </c>
      <c r="L4392" s="3" t="str">
        <f>IF(K4392&lt;-5,"CRÍTICO",IF(K4392&lt;0,"ATENÇÃO",IF(K4392&lt;=5,"OPORTUNO","MUITO BOM")))</f>
        <v>OPORTUNO</v>
      </c>
      <c r="M4392" s="3">
        <v>17</v>
      </c>
      <c r="N4392" s="3">
        <v>100</v>
      </c>
      <c r="O4392" s="3">
        <v>36.594202898550733</v>
      </c>
    </row>
    <row r="4393" spans="1:15" hidden="1" x14ac:dyDescent="0.25">
      <c r="A4393" s="5">
        <v>46146</v>
      </c>
      <c r="B4393" s="6" t="s">
        <v>61</v>
      </c>
      <c r="C4393" s="3" t="s">
        <v>23</v>
      </c>
      <c r="D4393" s="3">
        <v>28</v>
      </c>
      <c r="E4393" s="3">
        <v>27</v>
      </c>
      <c r="F4393" s="3">
        <v>17.14</v>
      </c>
      <c r="G4393" s="3">
        <v>0</v>
      </c>
      <c r="H4393" s="3">
        <v>0</v>
      </c>
      <c r="I4393" s="3">
        <f t="shared" si="536"/>
        <v>27</v>
      </c>
      <c r="J4393" s="3">
        <f t="shared" si="537"/>
        <v>23</v>
      </c>
      <c r="K4393" s="3">
        <f t="shared" si="538"/>
        <v>4</v>
      </c>
      <c r="L4393" s="3" t="str">
        <f t="shared" ref="L4393:L4424" si="539">IF(K4393&lt;-5,"CRÍTICO",IF(K4393&lt;0,"ATENÇÃO",IF(K4393&lt;=5,"BOM","EXCELENTE")))</f>
        <v>BOM</v>
      </c>
      <c r="M4393" s="3">
        <v>16</v>
      </c>
      <c r="N4393" s="3">
        <v>100</v>
      </c>
      <c r="O4393" s="3">
        <v>20.788530465949819</v>
      </c>
    </row>
    <row r="4394" spans="1:15" hidden="1" x14ac:dyDescent="0.25">
      <c r="A4394" s="5">
        <v>46149</v>
      </c>
      <c r="B4394" s="6" t="s">
        <v>59</v>
      </c>
      <c r="C4394" s="3" t="s">
        <v>23</v>
      </c>
      <c r="D4394" s="3">
        <v>31</v>
      </c>
      <c r="E4394" s="3">
        <v>28</v>
      </c>
      <c r="F4394" s="3">
        <v>15.11</v>
      </c>
      <c r="G4394" s="3">
        <v>10</v>
      </c>
      <c r="H4394" s="3">
        <v>0</v>
      </c>
      <c r="I4394" s="3">
        <f t="shared" si="536"/>
        <v>38</v>
      </c>
      <c r="J4394" s="3">
        <f t="shared" si="537"/>
        <v>22</v>
      </c>
      <c r="K4394" s="3">
        <f t="shared" si="538"/>
        <v>16</v>
      </c>
      <c r="L4394" s="3" t="str">
        <f t="shared" si="539"/>
        <v>EXCELENTE</v>
      </c>
      <c r="M4394" s="3">
        <v>36</v>
      </c>
      <c r="N4394" s="3">
        <v>96.25</v>
      </c>
      <c r="O4394" s="3">
        <v>25.586353944562902</v>
      </c>
    </row>
    <row r="4395" spans="1:15" hidden="1" x14ac:dyDescent="0.25">
      <c r="A4395" s="5">
        <v>46149</v>
      </c>
      <c r="B4395" s="6" t="s">
        <v>60</v>
      </c>
      <c r="C4395" s="3" t="s">
        <v>23</v>
      </c>
      <c r="D4395" s="3">
        <v>25</v>
      </c>
      <c r="E4395" s="3">
        <v>23</v>
      </c>
      <c r="F4395" s="3">
        <v>16.559999999999999</v>
      </c>
      <c r="G4395" s="3">
        <v>1</v>
      </c>
      <c r="H4395" s="3">
        <v>0</v>
      </c>
      <c r="I4395" s="3">
        <f t="shared" si="536"/>
        <v>24</v>
      </c>
      <c r="J4395" s="3">
        <f t="shared" si="537"/>
        <v>22</v>
      </c>
      <c r="K4395" s="3">
        <f t="shared" si="538"/>
        <v>2</v>
      </c>
      <c r="L4395" s="3" t="str">
        <f t="shared" si="539"/>
        <v>BOM</v>
      </c>
      <c r="M4395" s="3">
        <v>22</v>
      </c>
      <c r="N4395" s="3">
        <v>97.48</v>
      </c>
      <c r="O4395" s="3">
        <v>22.99465240641711</v>
      </c>
    </row>
    <row r="4396" spans="1:15" hidden="1" x14ac:dyDescent="0.25">
      <c r="A4396" s="5">
        <v>46149</v>
      </c>
      <c r="B4396" s="6" t="s">
        <v>61</v>
      </c>
      <c r="C4396" s="3" t="s">
        <v>23</v>
      </c>
      <c r="D4396" s="3">
        <v>17</v>
      </c>
      <c r="E4396" s="3">
        <v>17</v>
      </c>
      <c r="F4396" s="3">
        <v>16.5</v>
      </c>
      <c r="G4396" s="3">
        <v>7</v>
      </c>
      <c r="H4396" s="3">
        <v>0</v>
      </c>
      <c r="I4396" s="3">
        <f t="shared" si="536"/>
        <v>24</v>
      </c>
      <c r="J4396" s="3">
        <f t="shared" si="537"/>
        <v>22</v>
      </c>
      <c r="K4396" s="3">
        <f t="shared" si="538"/>
        <v>2</v>
      </c>
      <c r="L4396" s="3" t="str">
        <f t="shared" si="539"/>
        <v>BOM</v>
      </c>
      <c r="M4396" s="3">
        <v>19</v>
      </c>
      <c r="N4396" s="3">
        <v>100</v>
      </c>
      <c r="O4396" s="3">
        <v>20.788530465949819</v>
      </c>
    </row>
    <row r="4397" spans="1:15" hidden="1" x14ac:dyDescent="0.25">
      <c r="A4397" s="5">
        <v>46149</v>
      </c>
      <c r="B4397" s="6" t="s">
        <v>62</v>
      </c>
      <c r="C4397" s="3" t="s">
        <v>23</v>
      </c>
      <c r="D4397" s="3">
        <v>25</v>
      </c>
      <c r="E4397" s="3">
        <v>25</v>
      </c>
      <c r="F4397" s="3">
        <v>25.28</v>
      </c>
      <c r="G4397" s="3">
        <v>1</v>
      </c>
      <c r="H4397" s="3">
        <v>0</v>
      </c>
      <c r="I4397" s="3">
        <f t="shared" si="536"/>
        <v>26</v>
      </c>
      <c r="J4397" s="3">
        <f t="shared" si="537"/>
        <v>22</v>
      </c>
      <c r="K4397" s="3">
        <f t="shared" si="538"/>
        <v>4</v>
      </c>
      <c r="L4397" s="3" t="str">
        <f t="shared" si="539"/>
        <v>BOM</v>
      </c>
      <c r="M4397" s="3">
        <v>25</v>
      </c>
      <c r="N4397" s="3">
        <v>94.55</v>
      </c>
      <c r="O4397" s="3">
        <v>23.450134770889491</v>
      </c>
    </row>
    <row r="4398" spans="1:15" hidden="1" x14ac:dyDescent="0.25">
      <c r="A4398" s="5">
        <v>46149</v>
      </c>
      <c r="B4398" s="6" t="s">
        <v>63</v>
      </c>
      <c r="C4398" s="3" t="s">
        <v>23</v>
      </c>
      <c r="D4398" s="3">
        <v>31</v>
      </c>
      <c r="E4398" s="3">
        <v>26</v>
      </c>
      <c r="F4398" s="3">
        <v>11.59</v>
      </c>
      <c r="G4398" s="3">
        <v>14</v>
      </c>
      <c r="H4398" s="3">
        <v>0</v>
      </c>
      <c r="I4398" s="3">
        <f t="shared" si="536"/>
        <v>40</v>
      </c>
      <c r="J4398" s="3">
        <f t="shared" si="537"/>
        <v>22</v>
      </c>
      <c r="K4398" s="3">
        <f t="shared" si="538"/>
        <v>18</v>
      </c>
      <c r="L4398" s="3" t="str">
        <f t="shared" si="539"/>
        <v>EXCELENTE</v>
      </c>
      <c r="M4398" s="3">
        <v>23</v>
      </c>
      <c r="N4398" s="3">
        <v>98</v>
      </c>
      <c r="O4398" s="3">
        <v>20.73490813648294</v>
      </c>
    </row>
    <row r="4399" spans="1:15" hidden="1" x14ac:dyDescent="0.25">
      <c r="A4399" s="5">
        <v>46149</v>
      </c>
      <c r="B4399" s="6" t="s">
        <v>64</v>
      </c>
      <c r="C4399" s="3" t="s">
        <v>23</v>
      </c>
      <c r="D4399" s="3">
        <v>14</v>
      </c>
      <c r="E4399" s="3">
        <v>14</v>
      </c>
      <c r="F4399" s="3">
        <v>33.450000000000003</v>
      </c>
      <c r="G4399" s="3">
        <v>6</v>
      </c>
      <c r="H4399" s="3">
        <v>0</v>
      </c>
      <c r="I4399" s="3">
        <f t="shared" si="536"/>
        <v>20</v>
      </c>
      <c r="J4399" s="3">
        <f t="shared" si="537"/>
        <v>22</v>
      </c>
      <c r="K4399" s="3">
        <f t="shared" si="538"/>
        <v>-2</v>
      </c>
      <c r="L4399" s="3" t="str">
        <f t="shared" si="539"/>
        <v>ATENÇÃO</v>
      </c>
      <c r="M4399" s="3">
        <v>20</v>
      </c>
      <c r="N4399" s="3">
        <v>100</v>
      </c>
      <c r="O4399" s="3">
        <v>18</v>
      </c>
    </row>
    <row r="4400" spans="1:15" hidden="1" x14ac:dyDescent="0.25">
      <c r="A4400" s="5">
        <v>46150</v>
      </c>
      <c r="B4400" s="6" t="s">
        <v>59</v>
      </c>
      <c r="C4400" s="3" t="s">
        <v>23</v>
      </c>
      <c r="D4400" s="3">
        <v>26</v>
      </c>
      <c r="E4400" s="3">
        <v>25</v>
      </c>
      <c r="F4400" s="3">
        <v>22.39</v>
      </c>
      <c r="G4400" s="3">
        <v>0</v>
      </c>
      <c r="H4400" s="3">
        <v>0</v>
      </c>
      <c r="I4400" s="3">
        <f t="shared" si="536"/>
        <v>25</v>
      </c>
      <c r="J4400" s="3">
        <f t="shared" si="537"/>
        <v>19</v>
      </c>
      <c r="K4400" s="3">
        <f t="shared" si="538"/>
        <v>6</v>
      </c>
      <c r="L4400" s="3" t="str">
        <f t="shared" si="539"/>
        <v>EXCELENTE</v>
      </c>
      <c r="M4400" s="3">
        <v>24</v>
      </c>
      <c r="N4400" s="3">
        <v>96.25</v>
      </c>
      <c r="O4400" s="3">
        <v>25.586353944562902</v>
      </c>
    </row>
    <row r="4401" spans="1:15" hidden="1" x14ac:dyDescent="0.25">
      <c r="A4401" s="5">
        <v>46150</v>
      </c>
      <c r="B4401" s="6" t="s">
        <v>60</v>
      </c>
      <c r="C4401" s="3" t="s">
        <v>23</v>
      </c>
      <c r="D4401" s="3">
        <v>25</v>
      </c>
      <c r="E4401" s="3">
        <v>24</v>
      </c>
      <c r="F4401" s="3">
        <v>17.350000000000001</v>
      </c>
      <c r="G4401" s="3">
        <v>6</v>
      </c>
      <c r="H4401" s="3">
        <v>0</v>
      </c>
      <c r="I4401" s="3">
        <f t="shared" si="536"/>
        <v>30</v>
      </c>
      <c r="J4401" s="3">
        <f t="shared" si="537"/>
        <v>19</v>
      </c>
      <c r="K4401" s="3">
        <f t="shared" si="538"/>
        <v>11</v>
      </c>
      <c r="L4401" s="3" t="str">
        <f t="shared" si="539"/>
        <v>EXCELENTE</v>
      </c>
      <c r="M4401" s="3">
        <v>27</v>
      </c>
      <c r="N4401" s="3">
        <v>97.48</v>
      </c>
      <c r="O4401" s="3">
        <v>22.99465240641711</v>
      </c>
    </row>
    <row r="4402" spans="1:15" hidden="1" x14ac:dyDescent="0.25">
      <c r="A4402" s="5">
        <v>46150</v>
      </c>
      <c r="B4402" s="6" t="s">
        <v>61</v>
      </c>
      <c r="C4402" s="3" t="s">
        <v>23</v>
      </c>
      <c r="D4402" s="3">
        <v>16</v>
      </c>
      <c r="E4402" s="3">
        <v>16</v>
      </c>
      <c r="F4402" s="3">
        <v>23.51</v>
      </c>
      <c r="G4402" s="3">
        <v>0</v>
      </c>
      <c r="H4402" s="3">
        <v>0</v>
      </c>
      <c r="I4402" s="3">
        <f t="shared" si="536"/>
        <v>16</v>
      </c>
      <c r="J4402" s="3">
        <f t="shared" si="537"/>
        <v>19</v>
      </c>
      <c r="K4402" s="3">
        <f t="shared" si="538"/>
        <v>-3</v>
      </c>
      <c r="L4402" s="3" t="str">
        <f t="shared" si="539"/>
        <v>ATENÇÃO</v>
      </c>
      <c r="M4402" s="3">
        <v>11</v>
      </c>
      <c r="N4402" s="3">
        <v>100</v>
      </c>
      <c r="O4402" s="3">
        <v>20.788530465949819</v>
      </c>
    </row>
    <row r="4403" spans="1:15" hidden="1" x14ac:dyDescent="0.25">
      <c r="A4403" s="5">
        <v>46150</v>
      </c>
      <c r="B4403" s="6" t="s">
        <v>62</v>
      </c>
      <c r="C4403" s="3" t="s">
        <v>23</v>
      </c>
      <c r="D4403" s="3">
        <v>18</v>
      </c>
      <c r="E4403" s="3">
        <v>17</v>
      </c>
      <c r="F4403" s="3">
        <v>25.06</v>
      </c>
      <c r="G4403" s="3">
        <v>6</v>
      </c>
      <c r="H4403" s="3">
        <v>0</v>
      </c>
      <c r="I4403" s="3">
        <f t="shared" si="536"/>
        <v>23</v>
      </c>
      <c r="J4403" s="3">
        <f t="shared" si="537"/>
        <v>19</v>
      </c>
      <c r="K4403" s="3">
        <f t="shared" si="538"/>
        <v>4</v>
      </c>
      <c r="L4403" s="3" t="str">
        <f t="shared" si="539"/>
        <v>BOM</v>
      </c>
      <c r="M4403" s="3">
        <v>23</v>
      </c>
      <c r="N4403" s="3">
        <v>94.55</v>
      </c>
      <c r="O4403" s="3">
        <v>23.450134770889491</v>
      </c>
    </row>
    <row r="4404" spans="1:15" hidden="1" x14ac:dyDescent="0.25">
      <c r="A4404" s="5">
        <v>46150</v>
      </c>
      <c r="B4404" s="6" t="s">
        <v>63</v>
      </c>
      <c r="C4404" s="3" t="s">
        <v>23</v>
      </c>
      <c r="D4404" s="3">
        <v>39</v>
      </c>
      <c r="E4404" s="3">
        <v>34</v>
      </c>
      <c r="F4404" s="3">
        <v>12.08</v>
      </c>
      <c r="G4404" s="3">
        <v>2</v>
      </c>
      <c r="H4404" s="3">
        <v>0</v>
      </c>
      <c r="I4404" s="3">
        <f t="shared" si="536"/>
        <v>36</v>
      </c>
      <c r="J4404" s="3">
        <f t="shared" si="537"/>
        <v>19</v>
      </c>
      <c r="K4404" s="3">
        <f t="shared" si="538"/>
        <v>17</v>
      </c>
      <c r="L4404" s="3" t="str">
        <f t="shared" si="539"/>
        <v>EXCELENTE</v>
      </c>
      <c r="M4404" s="3">
        <v>32</v>
      </c>
      <c r="N4404" s="3">
        <v>98</v>
      </c>
      <c r="O4404" s="3">
        <v>20.73490813648294</v>
      </c>
    </row>
    <row r="4405" spans="1:15" hidden="1" x14ac:dyDescent="0.25">
      <c r="A4405" s="5">
        <v>46150</v>
      </c>
      <c r="B4405" s="6" t="s">
        <v>64</v>
      </c>
      <c r="C4405" s="3" t="s">
        <v>23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 t="shared" si="539"/>
        <v>BOM</v>
      </c>
      <c r="M4405" s="3">
        <v>0</v>
      </c>
      <c r="N4405" s="3">
        <v>100</v>
      </c>
      <c r="O4405" s="3">
        <v>18</v>
      </c>
    </row>
    <row r="4406" spans="1:15" hidden="1" x14ac:dyDescent="0.25">
      <c r="A4406" s="5">
        <v>46153</v>
      </c>
      <c r="B4406" s="6" t="s">
        <v>59</v>
      </c>
      <c r="C4406" s="3" t="s">
        <v>23</v>
      </c>
      <c r="D4406" s="3">
        <v>40</v>
      </c>
      <c r="E4406" s="3">
        <v>38</v>
      </c>
      <c r="F4406" s="3">
        <v>13.44</v>
      </c>
      <c r="G4406" s="3">
        <v>8</v>
      </c>
      <c r="H4406" s="3">
        <v>0</v>
      </c>
      <c r="I4406" s="3">
        <f t="shared" ref="I4406:I4437" si="540">E4406+G4406+H4406</f>
        <v>46</v>
      </c>
      <c r="J4406" s="3">
        <f t="shared" ref="J4406:J4437" si="541"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 t="shared" ref="K4406:K4437" si="542">I4406-J4406</f>
        <v>26</v>
      </c>
      <c r="L4406" s="3" t="str">
        <f t="shared" si="539"/>
        <v>EXCELENTE</v>
      </c>
      <c r="M4406" s="3">
        <v>38</v>
      </c>
      <c r="N4406" s="3">
        <v>96.25</v>
      </c>
      <c r="O4406" s="3">
        <v>25.586353944562902</v>
      </c>
    </row>
    <row r="4407" spans="1:15" hidden="1" x14ac:dyDescent="0.25">
      <c r="A4407" s="5">
        <v>46153</v>
      </c>
      <c r="B4407" s="6" t="s">
        <v>60</v>
      </c>
      <c r="C4407" s="3" t="s">
        <v>23</v>
      </c>
      <c r="D4407" s="3">
        <v>24</v>
      </c>
      <c r="E4407" s="3">
        <v>23</v>
      </c>
      <c r="F4407" s="3">
        <v>18.57</v>
      </c>
      <c r="G4407" s="3">
        <v>2</v>
      </c>
      <c r="H4407" s="3">
        <v>0</v>
      </c>
      <c r="I4407" s="3">
        <f t="shared" si="540"/>
        <v>25</v>
      </c>
      <c r="J4407" s="3">
        <f t="shared" si="541"/>
        <v>20</v>
      </c>
      <c r="K4407" s="3">
        <f t="shared" si="542"/>
        <v>5</v>
      </c>
      <c r="L4407" s="3" t="str">
        <f t="shared" si="539"/>
        <v>BOM</v>
      </c>
      <c r="M4407" s="3">
        <v>21</v>
      </c>
      <c r="N4407" s="3">
        <v>97.48</v>
      </c>
      <c r="O4407" s="3">
        <v>22.99465240641711</v>
      </c>
    </row>
    <row r="4408" spans="1:15" hidden="1" x14ac:dyDescent="0.25">
      <c r="A4408" s="5">
        <v>46153</v>
      </c>
      <c r="B4408" s="6" t="s">
        <v>61</v>
      </c>
      <c r="C4408" s="3" t="s">
        <v>23</v>
      </c>
      <c r="D4408" s="3">
        <v>24</v>
      </c>
      <c r="E4408" s="3">
        <v>20</v>
      </c>
      <c r="F4408" s="3">
        <v>13.37</v>
      </c>
      <c r="G4408" s="3">
        <v>2</v>
      </c>
      <c r="H4408" s="3">
        <v>0</v>
      </c>
      <c r="I4408" s="3">
        <f t="shared" si="540"/>
        <v>22</v>
      </c>
      <c r="J4408" s="3">
        <f t="shared" si="541"/>
        <v>20</v>
      </c>
      <c r="K4408" s="3">
        <f t="shared" si="542"/>
        <v>2</v>
      </c>
      <c r="L4408" s="3" t="str">
        <f t="shared" si="539"/>
        <v>BOM</v>
      </c>
      <c r="M4408" s="3">
        <v>19</v>
      </c>
      <c r="N4408" s="3">
        <v>100</v>
      </c>
      <c r="O4408" s="3">
        <v>20.788530465949819</v>
      </c>
    </row>
    <row r="4409" spans="1:15" hidden="1" x14ac:dyDescent="0.25">
      <c r="A4409" s="5">
        <v>46153</v>
      </c>
      <c r="B4409" s="6" t="s">
        <v>62</v>
      </c>
      <c r="C4409" s="3" t="s">
        <v>23</v>
      </c>
      <c r="D4409" s="3">
        <v>24</v>
      </c>
      <c r="E4409" s="3">
        <v>23</v>
      </c>
      <c r="F4409" s="3">
        <v>17.22</v>
      </c>
      <c r="G4409" s="3">
        <v>1</v>
      </c>
      <c r="H4409" s="3">
        <v>0</v>
      </c>
      <c r="I4409" s="3">
        <f t="shared" si="540"/>
        <v>24</v>
      </c>
      <c r="J4409" s="3">
        <f t="shared" si="541"/>
        <v>20</v>
      </c>
      <c r="K4409" s="3">
        <f t="shared" si="542"/>
        <v>4</v>
      </c>
      <c r="L4409" s="3" t="str">
        <f t="shared" si="539"/>
        <v>BOM</v>
      </c>
      <c r="M4409" s="3">
        <v>25</v>
      </c>
      <c r="N4409" s="3">
        <v>94.55</v>
      </c>
      <c r="O4409" s="3">
        <v>23.450134770889491</v>
      </c>
    </row>
    <row r="4410" spans="1:15" hidden="1" x14ac:dyDescent="0.25">
      <c r="A4410" s="5">
        <v>46153</v>
      </c>
      <c r="B4410" s="6" t="s">
        <v>63</v>
      </c>
      <c r="C4410" s="3" t="s">
        <v>23</v>
      </c>
      <c r="D4410" s="3">
        <v>29</v>
      </c>
      <c r="E4410" s="3">
        <v>25</v>
      </c>
      <c r="F4410" s="3">
        <v>22.14</v>
      </c>
      <c r="G4410" s="3">
        <v>6</v>
      </c>
      <c r="H4410" s="3">
        <v>0</v>
      </c>
      <c r="I4410" s="3">
        <f t="shared" si="540"/>
        <v>31</v>
      </c>
      <c r="J4410" s="3">
        <f t="shared" si="541"/>
        <v>20</v>
      </c>
      <c r="K4410" s="3">
        <f t="shared" si="542"/>
        <v>11</v>
      </c>
      <c r="L4410" s="3" t="str">
        <f t="shared" si="539"/>
        <v>EXCELENTE</v>
      </c>
      <c r="M4410" s="3">
        <v>24</v>
      </c>
      <c r="N4410" s="3">
        <v>98</v>
      </c>
      <c r="O4410" s="3">
        <v>20.73490813648294</v>
      </c>
    </row>
    <row r="4411" spans="1:15" hidden="1" x14ac:dyDescent="0.25">
      <c r="A4411" s="5">
        <v>46153</v>
      </c>
      <c r="B4411" s="6" t="s">
        <v>64</v>
      </c>
      <c r="C4411" s="3" t="s">
        <v>23</v>
      </c>
      <c r="D4411" s="3">
        <v>16</v>
      </c>
      <c r="E4411" s="3">
        <v>16</v>
      </c>
      <c r="F4411" s="3">
        <v>33.21</v>
      </c>
      <c r="G4411" s="3">
        <v>1</v>
      </c>
      <c r="H4411" s="3">
        <v>0</v>
      </c>
      <c r="I4411" s="3">
        <f t="shared" si="540"/>
        <v>17</v>
      </c>
      <c r="J4411" s="3">
        <f t="shared" si="541"/>
        <v>20</v>
      </c>
      <c r="K4411" s="3">
        <f t="shared" si="542"/>
        <v>-3</v>
      </c>
      <c r="L4411" s="3" t="str">
        <f t="shared" si="539"/>
        <v>ATENÇÃO</v>
      </c>
      <c r="M4411" s="3">
        <v>15</v>
      </c>
      <c r="N4411" s="3">
        <v>100</v>
      </c>
      <c r="O4411" s="3">
        <v>18</v>
      </c>
    </row>
    <row r="4412" spans="1:15" hidden="1" x14ac:dyDescent="0.25">
      <c r="A4412" s="5">
        <v>46154</v>
      </c>
      <c r="B4412" s="6" t="s">
        <v>59</v>
      </c>
      <c r="C4412" s="3" t="s">
        <v>23</v>
      </c>
      <c r="D4412" s="3">
        <v>31</v>
      </c>
      <c r="E4412" s="3">
        <v>29</v>
      </c>
      <c r="F4412" s="3">
        <v>17.38</v>
      </c>
      <c r="G4412" s="3">
        <v>2</v>
      </c>
      <c r="H4412" s="3">
        <v>0</v>
      </c>
      <c r="I4412" s="3">
        <f t="shared" si="540"/>
        <v>31</v>
      </c>
      <c r="J4412" s="3">
        <f t="shared" si="541"/>
        <v>21</v>
      </c>
      <c r="K4412" s="3">
        <f t="shared" si="542"/>
        <v>10</v>
      </c>
      <c r="L4412" s="3" t="str">
        <f t="shared" si="539"/>
        <v>EXCELENTE</v>
      </c>
      <c r="M4412" s="3">
        <v>27</v>
      </c>
      <c r="N4412" s="3">
        <v>96.25</v>
      </c>
      <c r="O4412" s="3">
        <v>25.586353944562902</v>
      </c>
    </row>
    <row r="4413" spans="1:15" hidden="1" x14ac:dyDescent="0.25">
      <c r="A4413" s="5">
        <v>46154</v>
      </c>
      <c r="B4413" s="6" t="s">
        <v>60</v>
      </c>
      <c r="C4413" s="3" t="s">
        <v>23</v>
      </c>
      <c r="D4413" s="3">
        <v>24</v>
      </c>
      <c r="E4413" s="3">
        <v>23</v>
      </c>
      <c r="F4413" s="3">
        <v>13.58</v>
      </c>
      <c r="G4413" s="3">
        <v>5</v>
      </c>
      <c r="H4413" s="3">
        <v>0</v>
      </c>
      <c r="I4413" s="3">
        <f t="shared" si="540"/>
        <v>28</v>
      </c>
      <c r="J4413" s="3">
        <f t="shared" si="541"/>
        <v>21</v>
      </c>
      <c r="K4413" s="3">
        <f t="shared" si="542"/>
        <v>7</v>
      </c>
      <c r="L4413" s="3" t="str">
        <f t="shared" si="539"/>
        <v>EXCELENTE</v>
      </c>
      <c r="M4413" s="3">
        <v>25</v>
      </c>
      <c r="N4413" s="3">
        <v>97.48</v>
      </c>
      <c r="O4413" s="3">
        <v>22.99465240641711</v>
      </c>
    </row>
    <row r="4414" spans="1:15" hidden="1" x14ac:dyDescent="0.25">
      <c r="A4414" s="5">
        <v>46154</v>
      </c>
      <c r="B4414" s="6" t="s">
        <v>61</v>
      </c>
      <c r="C4414" s="3" t="s">
        <v>23</v>
      </c>
      <c r="D4414" s="3">
        <v>28</v>
      </c>
      <c r="E4414" s="3">
        <v>26</v>
      </c>
      <c r="F4414" s="3">
        <v>11.47</v>
      </c>
      <c r="G4414" s="3">
        <v>0</v>
      </c>
      <c r="H4414" s="3">
        <v>0</v>
      </c>
      <c r="I4414" s="3">
        <f t="shared" si="540"/>
        <v>26</v>
      </c>
      <c r="J4414" s="3">
        <f t="shared" si="541"/>
        <v>21</v>
      </c>
      <c r="K4414" s="3">
        <f t="shared" si="542"/>
        <v>5</v>
      </c>
      <c r="L4414" s="3" t="str">
        <f t="shared" si="539"/>
        <v>BOM</v>
      </c>
      <c r="M4414" s="3">
        <v>17</v>
      </c>
      <c r="N4414" s="3">
        <v>100</v>
      </c>
      <c r="O4414" s="3">
        <v>20.788530465949819</v>
      </c>
    </row>
    <row r="4415" spans="1:15" hidden="1" x14ac:dyDescent="0.25">
      <c r="A4415" s="5">
        <v>46154</v>
      </c>
      <c r="B4415" s="6" t="s">
        <v>62</v>
      </c>
      <c r="C4415" s="3" t="s">
        <v>23</v>
      </c>
      <c r="D4415" s="3">
        <v>24</v>
      </c>
      <c r="E4415" s="3">
        <v>20</v>
      </c>
      <c r="F4415" s="3">
        <v>19.149999999999999</v>
      </c>
      <c r="G4415" s="3">
        <v>4</v>
      </c>
      <c r="H4415" s="3">
        <v>0</v>
      </c>
      <c r="I4415" s="3">
        <f t="shared" si="540"/>
        <v>24</v>
      </c>
      <c r="J4415" s="3">
        <f t="shared" si="541"/>
        <v>21</v>
      </c>
      <c r="K4415" s="3">
        <f t="shared" si="542"/>
        <v>3</v>
      </c>
      <c r="L4415" s="3" t="str">
        <f t="shared" si="539"/>
        <v>BOM</v>
      </c>
      <c r="M4415" s="3">
        <v>22</v>
      </c>
      <c r="N4415" s="3">
        <v>94.55</v>
      </c>
      <c r="O4415" s="3">
        <v>23.450134770889491</v>
      </c>
    </row>
    <row r="4416" spans="1:15" hidden="1" x14ac:dyDescent="0.25">
      <c r="A4416" s="5">
        <v>46154</v>
      </c>
      <c r="B4416" s="6" t="s">
        <v>63</v>
      </c>
      <c r="C4416" s="3" t="s">
        <v>23</v>
      </c>
      <c r="D4416" s="3">
        <v>27</v>
      </c>
      <c r="E4416" s="3">
        <v>26</v>
      </c>
      <c r="F4416" s="3">
        <v>17.2</v>
      </c>
      <c r="G4416" s="3">
        <v>1</v>
      </c>
      <c r="H4416" s="3">
        <v>0</v>
      </c>
      <c r="I4416" s="3">
        <f t="shared" si="540"/>
        <v>27</v>
      </c>
      <c r="J4416" s="3">
        <f t="shared" si="541"/>
        <v>21</v>
      </c>
      <c r="K4416" s="3">
        <f t="shared" si="542"/>
        <v>6</v>
      </c>
      <c r="L4416" s="3" t="str">
        <f t="shared" si="539"/>
        <v>EXCELENTE</v>
      </c>
      <c r="M4416" s="3">
        <v>20</v>
      </c>
      <c r="N4416" s="3">
        <v>98</v>
      </c>
      <c r="O4416" s="3">
        <v>20.73490813648294</v>
      </c>
    </row>
    <row r="4417" spans="1:15" hidden="1" x14ac:dyDescent="0.25">
      <c r="A4417" s="5">
        <v>46154</v>
      </c>
      <c r="B4417" s="6" t="s">
        <v>64</v>
      </c>
      <c r="C4417" s="3" t="s">
        <v>23</v>
      </c>
      <c r="D4417" s="3">
        <v>19</v>
      </c>
      <c r="E4417" s="3">
        <v>19</v>
      </c>
      <c r="F4417" s="3">
        <v>30.07</v>
      </c>
      <c r="G4417" s="3">
        <v>0</v>
      </c>
      <c r="H4417" s="3">
        <v>0</v>
      </c>
      <c r="I4417" s="3">
        <f t="shared" si="540"/>
        <v>19</v>
      </c>
      <c r="J4417" s="3">
        <f t="shared" si="541"/>
        <v>21</v>
      </c>
      <c r="K4417" s="3">
        <f t="shared" si="542"/>
        <v>-2</v>
      </c>
      <c r="L4417" s="3" t="str">
        <f t="shared" si="539"/>
        <v>ATENÇÃO</v>
      </c>
      <c r="M4417" s="3">
        <v>19</v>
      </c>
      <c r="N4417" s="3">
        <v>100</v>
      </c>
      <c r="O4417" s="3">
        <v>18</v>
      </c>
    </row>
    <row r="4418" spans="1:15" hidden="1" x14ac:dyDescent="0.25">
      <c r="A4418" s="5">
        <v>46155</v>
      </c>
      <c r="B4418" s="6" t="s">
        <v>59</v>
      </c>
      <c r="C4418" s="3" t="s">
        <v>23</v>
      </c>
      <c r="D4418" s="3">
        <v>25</v>
      </c>
      <c r="E4418" s="3">
        <v>21</v>
      </c>
      <c r="F4418" s="3">
        <v>22.22</v>
      </c>
      <c r="G4418" s="3">
        <v>7</v>
      </c>
      <c r="H4418" s="3">
        <v>0</v>
      </c>
      <c r="I4418" s="3">
        <f t="shared" si="540"/>
        <v>28</v>
      </c>
      <c r="J4418" s="3">
        <f t="shared" si="541"/>
        <v>19</v>
      </c>
      <c r="K4418" s="3">
        <f t="shared" si="542"/>
        <v>9</v>
      </c>
      <c r="L4418" s="3" t="str">
        <f t="shared" si="539"/>
        <v>EXCELENTE</v>
      </c>
      <c r="M4418" s="3">
        <v>26</v>
      </c>
      <c r="N4418" s="3">
        <v>96.25</v>
      </c>
      <c r="O4418" s="3">
        <v>25.586353944562902</v>
      </c>
    </row>
    <row r="4419" spans="1:15" hidden="1" x14ac:dyDescent="0.25">
      <c r="A4419" s="5">
        <v>46155</v>
      </c>
      <c r="B4419" s="6" t="s">
        <v>60</v>
      </c>
      <c r="C4419" s="3" t="s">
        <v>23</v>
      </c>
      <c r="D4419" s="3">
        <v>37</v>
      </c>
      <c r="E4419" s="3">
        <v>32</v>
      </c>
      <c r="F4419" s="3">
        <v>15.32</v>
      </c>
      <c r="G4419" s="3">
        <v>3</v>
      </c>
      <c r="H4419" s="3">
        <v>0</v>
      </c>
      <c r="I4419" s="3">
        <f t="shared" si="540"/>
        <v>35</v>
      </c>
      <c r="J4419" s="3">
        <f t="shared" si="541"/>
        <v>19</v>
      </c>
      <c r="K4419" s="3">
        <f t="shared" si="542"/>
        <v>16</v>
      </c>
      <c r="L4419" s="3" t="str">
        <f t="shared" si="539"/>
        <v>EXCELENTE</v>
      </c>
      <c r="M4419" s="3">
        <v>26</v>
      </c>
      <c r="N4419" s="3">
        <v>97.48</v>
      </c>
      <c r="O4419" s="3">
        <v>22.99465240641711</v>
      </c>
    </row>
    <row r="4420" spans="1:15" hidden="1" x14ac:dyDescent="0.25">
      <c r="A4420" s="5">
        <v>46155</v>
      </c>
      <c r="B4420" s="6" t="s">
        <v>61</v>
      </c>
      <c r="C4420" s="3" t="s">
        <v>23</v>
      </c>
      <c r="D4420" s="3">
        <v>17</v>
      </c>
      <c r="E4420" s="3">
        <v>16</v>
      </c>
      <c r="F4420" s="3">
        <v>21.54</v>
      </c>
      <c r="G4420" s="3">
        <v>5</v>
      </c>
      <c r="H4420" s="3">
        <v>0</v>
      </c>
      <c r="I4420" s="3">
        <f t="shared" si="540"/>
        <v>21</v>
      </c>
      <c r="J4420" s="3">
        <f t="shared" si="541"/>
        <v>19</v>
      </c>
      <c r="K4420" s="3">
        <f t="shared" si="542"/>
        <v>2</v>
      </c>
      <c r="L4420" s="3" t="str">
        <f t="shared" si="539"/>
        <v>BOM</v>
      </c>
      <c r="M4420" s="3">
        <v>19</v>
      </c>
      <c r="N4420" s="3">
        <v>100</v>
      </c>
      <c r="O4420" s="3">
        <v>20.788530465949819</v>
      </c>
    </row>
    <row r="4421" spans="1:15" hidden="1" x14ac:dyDescent="0.25">
      <c r="A4421" s="5">
        <v>46155</v>
      </c>
      <c r="B4421" s="6" t="s">
        <v>62</v>
      </c>
      <c r="C4421" s="3" t="s">
        <v>23</v>
      </c>
      <c r="D4421" s="3">
        <v>24</v>
      </c>
      <c r="E4421" s="3">
        <v>22</v>
      </c>
      <c r="F4421" s="3">
        <v>20.170000000000002</v>
      </c>
      <c r="G4421" s="3">
        <v>1</v>
      </c>
      <c r="H4421" s="3">
        <v>0</v>
      </c>
      <c r="I4421" s="3">
        <f t="shared" si="540"/>
        <v>23</v>
      </c>
      <c r="J4421" s="3">
        <f t="shared" si="541"/>
        <v>19</v>
      </c>
      <c r="K4421" s="3">
        <f t="shared" si="542"/>
        <v>4</v>
      </c>
      <c r="L4421" s="3" t="str">
        <f t="shared" si="539"/>
        <v>BOM</v>
      </c>
      <c r="M4421" s="3">
        <v>22</v>
      </c>
      <c r="N4421" s="3">
        <v>94.55</v>
      </c>
      <c r="O4421" s="3">
        <v>23.450134770889491</v>
      </c>
    </row>
    <row r="4422" spans="1:15" hidden="1" x14ac:dyDescent="0.25">
      <c r="A4422" s="5">
        <v>46155</v>
      </c>
      <c r="B4422" s="6" t="s">
        <v>63</v>
      </c>
      <c r="C4422" s="3" t="s">
        <v>23</v>
      </c>
      <c r="D4422" s="3">
        <v>33</v>
      </c>
      <c r="E4422" s="3">
        <v>31</v>
      </c>
      <c r="F4422" s="3">
        <v>13.48</v>
      </c>
      <c r="G4422" s="3">
        <v>7</v>
      </c>
      <c r="H4422" s="3">
        <v>0</v>
      </c>
      <c r="I4422" s="3">
        <f t="shared" si="540"/>
        <v>38</v>
      </c>
      <c r="J4422" s="3">
        <f t="shared" si="541"/>
        <v>19</v>
      </c>
      <c r="K4422" s="3">
        <f t="shared" si="542"/>
        <v>19</v>
      </c>
      <c r="L4422" s="3" t="str">
        <f t="shared" si="539"/>
        <v>EXCELENTE</v>
      </c>
      <c r="M4422" s="3">
        <v>31</v>
      </c>
      <c r="N4422" s="3">
        <v>98</v>
      </c>
      <c r="O4422" s="3">
        <v>20.73490813648294</v>
      </c>
    </row>
    <row r="4423" spans="1:15" hidden="1" x14ac:dyDescent="0.25">
      <c r="A4423" s="5">
        <v>46155</v>
      </c>
      <c r="B4423" s="6" t="s">
        <v>64</v>
      </c>
      <c r="C4423" s="3" t="s">
        <v>23</v>
      </c>
      <c r="D4423" s="3">
        <v>11</v>
      </c>
      <c r="E4423" s="3">
        <v>10</v>
      </c>
      <c r="F4423" s="3">
        <v>33.26</v>
      </c>
      <c r="G4423" s="3">
        <v>5</v>
      </c>
      <c r="H4423" s="3">
        <v>0</v>
      </c>
      <c r="I4423" s="3">
        <f t="shared" si="540"/>
        <v>15</v>
      </c>
      <c r="J4423" s="3">
        <f t="shared" si="541"/>
        <v>19</v>
      </c>
      <c r="K4423" s="3">
        <f t="shared" si="542"/>
        <v>-4</v>
      </c>
      <c r="L4423" s="3" t="str">
        <f t="shared" si="539"/>
        <v>ATENÇÃO</v>
      </c>
      <c r="M4423" s="3">
        <v>16</v>
      </c>
      <c r="N4423" s="3">
        <v>100</v>
      </c>
      <c r="O4423" s="3">
        <v>18</v>
      </c>
    </row>
    <row r="4424" spans="1:15" hidden="1" x14ac:dyDescent="0.25">
      <c r="A4424" s="5">
        <v>46156</v>
      </c>
      <c r="B4424" s="6" t="s">
        <v>59</v>
      </c>
      <c r="C4424" s="3" t="s">
        <v>23</v>
      </c>
      <c r="D4424" s="3">
        <v>27</v>
      </c>
      <c r="E4424" s="3">
        <v>25</v>
      </c>
      <c r="F4424" s="3">
        <v>18.510000000000002</v>
      </c>
      <c r="G4424" s="3">
        <v>1</v>
      </c>
      <c r="H4424" s="3">
        <v>0</v>
      </c>
      <c r="I4424" s="3">
        <f t="shared" si="540"/>
        <v>26</v>
      </c>
      <c r="J4424" s="3">
        <f t="shared" si="541"/>
        <v>19</v>
      </c>
      <c r="K4424" s="3">
        <f t="shared" si="542"/>
        <v>7</v>
      </c>
      <c r="L4424" s="3" t="str">
        <f t="shared" si="539"/>
        <v>EXCELENTE</v>
      </c>
      <c r="M4424" s="3">
        <v>23</v>
      </c>
      <c r="N4424" s="3">
        <v>96.25</v>
      </c>
      <c r="O4424" s="3">
        <v>25.586353944562902</v>
      </c>
    </row>
    <row r="4425" spans="1:15" hidden="1" x14ac:dyDescent="0.25">
      <c r="A4425" s="5">
        <v>46156</v>
      </c>
      <c r="B4425" s="6" t="s">
        <v>60</v>
      </c>
      <c r="C4425" s="3" t="s">
        <v>23</v>
      </c>
      <c r="D4425" s="3">
        <v>33</v>
      </c>
      <c r="E4425" s="3">
        <v>29</v>
      </c>
      <c r="F4425" s="3">
        <v>11.54</v>
      </c>
      <c r="G4425" s="3">
        <v>7</v>
      </c>
      <c r="H4425" s="3">
        <v>0</v>
      </c>
      <c r="I4425" s="3">
        <f t="shared" si="540"/>
        <v>36</v>
      </c>
      <c r="J4425" s="3">
        <f t="shared" si="541"/>
        <v>19</v>
      </c>
      <c r="K4425" s="3">
        <f t="shared" si="542"/>
        <v>17</v>
      </c>
      <c r="L4425" s="3" t="str">
        <f t="shared" ref="L4425:L4456" si="543">IF(K4425&lt;-5,"CRÍTICO",IF(K4425&lt;0,"ATENÇÃO",IF(K4425&lt;=5,"BOM","EXCELENTE")))</f>
        <v>EXCELENTE</v>
      </c>
      <c r="M4425" s="3">
        <v>30</v>
      </c>
      <c r="N4425" s="3">
        <v>97.48</v>
      </c>
      <c r="O4425" s="3">
        <v>22.99465240641711</v>
      </c>
    </row>
    <row r="4426" spans="1:15" hidden="1" x14ac:dyDescent="0.25">
      <c r="A4426" s="5">
        <v>46156</v>
      </c>
      <c r="B4426" s="6" t="s">
        <v>61</v>
      </c>
      <c r="C4426" s="3" t="s">
        <v>23</v>
      </c>
      <c r="D4426" s="3">
        <v>30</v>
      </c>
      <c r="E4426" s="3">
        <v>28</v>
      </c>
      <c r="F4426" s="3">
        <v>18.25</v>
      </c>
      <c r="G4426" s="3">
        <v>1</v>
      </c>
      <c r="H4426" s="3">
        <v>0</v>
      </c>
      <c r="I4426" s="3">
        <f t="shared" si="540"/>
        <v>29</v>
      </c>
      <c r="J4426" s="3">
        <f t="shared" si="541"/>
        <v>19</v>
      </c>
      <c r="K4426" s="3">
        <f t="shared" si="542"/>
        <v>10</v>
      </c>
      <c r="L4426" s="3" t="str">
        <f t="shared" si="543"/>
        <v>EXCELENTE</v>
      </c>
      <c r="M4426" s="3">
        <v>20</v>
      </c>
      <c r="N4426" s="3">
        <v>100</v>
      </c>
      <c r="O4426" s="3">
        <v>20.788530465949819</v>
      </c>
    </row>
    <row r="4427" spans="1:15" hidden="1" x14ac:dyDescent="0.25">
      <c r="A4427" s="5">
        <v>46156</v>
      </c>
      <c r="B4427" s="6" t="s">
        <v>62</v>
      </c>
      <c r="C4427" s="3" t="s">
        <v>23</v>
      </c>
      <c r="D4427" s="3">
        <v>11</v>
      </c>
      <c r="E4427" s="3">
        <v>11</v>
      </c>
      <c r="F4427" s="3">
        <v>33.21</v>
      </c>
      <c r="G4427" s="3">
        <v>4</v>
      </c>
      <c r="H4427" s="3">
        <v>0</v>
      </c>
      <c r="I4427" s="3">
        <f t="shared" si="540"/>
        <v>15</v>
      </c>
      <c r="J4427" s="3">
        <f t="shared" si="541"/>
        <v>19</v>
      </c>
      <c r="K4427" s="3">
        <f t="shared" si="542"/>
        <v>-4</v>
      </c>
      <c r="L4427" s="3" t="str">
        <f t="shared" si="543"/>
        <v>ATENÇÃO</v>
      </c>
      <c r="M4427" s="3">
        <v>16</v>
      </c>
      <c r="N4427" s="3">
        <v>94.55</v>
      </c>
      <c r="O4427" s="3">
        <v>23.450134770889491</v>
      </c>
    </row>
    <row r="4428" spans="1:15" hidden="1" x14ac:dyDescent="0.25">
      <c r="A4428" s="5">
        <v>46156</v>
      </c>
      <c r="B4428" s="6" t="s">
        <v>63</v>
      </c>
      <c r="C4428" s="3" t="s">
        <v>23</v>
      </c>
      <c r="D4428" s="3">
        <v>26</v>
      </c>
      <c r="E4428" s="3">
        <v>25</v>
      </c>
      <c r="F4428" s="3">
        <v>15.24</v>
      </c>
      <c r="G4428" s="3">
        <v>1</v>
      </c>
      <c r="H4428" s="3">
        <v>0</v>
      </c>
      <c r="I4428" s="3">
        <f t="shared" si="540"/>
        <v>26</v>
      </c>
      <c r="J4428" s="3">
        <f t="shared" si="541"/>
        <v>19</v>
      </c>
      <c r="K4428" s="3">
        <f t="shared" si="542"/>
        <v>7</v>
      </c>
      <c r="L4428" s="3" t="str">
        <f t="shared" si="543"/>
        <v>EXCELENTE</v>
      </c>
      <c r="M4428" s="3">
        <v>24</v>
      </c>
      <c r="N4428" s="3">
        <v>98</v>
      </c>
      <c r="O4428" s="3">
        <v>20.73490813648294</v>
      </c>
    </row>
    <row r="4429" spans="1:15" hidden="1" x14ac:dyDescent="0.25">
      <c r="A4429" s="5">
        <v>46156</v>
      </c>
      <c r="B4429" s="6" t="s">
        <v>64</v>
      </c>
      <c r="C4429" s="3" t="s">
        <v>23</v>
      </c>
      <c r="D4429" s="3">
        <v>20</v>
      </c>
      <c r="E4429" s="3">
        <v>19</v>
      </c>
      <c r="F4429" s="3">
        <v>20.29</v>
      </c>
      <c r="G4429" s="3">
        <v>0</v>
      </c>
      <c r="H4429" s="3">
        <v>0</v>
      </c>
      <c r="I4429" s="3">
        <f t="shared" si="540"/>
        <v>19</v>
      </c>
      <c r="J4429" s="3">
        <f t="shared" si="541"/>
        <v>19</v>
      </c>
      <c r="K4429" s="3">
        <f t="shared" si="542"/>
        <v>0</v>
      </c>
      <c r="L4429" s="3" t="str">
        <f t="shared" si="543"/>
        <v>BOM</v>
      </c>
      <c r="M4429" s="3">
        <v>17</v>
      </c>
      <c r="N4429" s="3">
        <v>100</v>
      </c>
      <c r="O4429" s="3">
        <v>18</v>
      </c>
    </row>
    <row r="4430" spans="1:15" hidden="1" x14ac:dyDescent="0.25">
      <c r="A4430" s="5">
        <v>46157</v>
      </c>
      <c r="B4430" s="6" t="s">
        <v>59</v>
      </c>
      <c r="C4430" s="3" t="s">
        <v>23</v>
      </c>
      <c r="D4430" s="3">
        <v>40</v>
      </c>
      <c r="E4430" s="3">
        <v>38</v>
      </c>
      <c r="F4430" s="3">
        <v>15.24</v>
      </c>
      <c r="G4430" s="3">
        <v>5</v>
      </c>
      <c r="H4430" s="3">
        <v>0</v>
      </c>
      <c r="I4430" s="3">
        <f t="shared" si="540"/>
        <v>43</v>
      </c>
      <c r="J4430" s="3">
        <f t="shared" si="541"/>
        <v>19</v>
      </c>
      <c r="K4430" s="3">
        <f t="shared" si="542"/>
        <v>24</v>
      </c>
      <c r="L4430" s="3" t="str">
        <f t="shared" si="543"/>
        <v>EXCELENTE</v>
      </c>
      <c r="M4430" s="3">
        <v>36</v>
      </c>
      <c r="N4430" s="3">
        <v>96.25</v>
      </c>
      <c r="O4430" s="3">
        <v>25.586353944562902</v>
      </c>
    </row>
    <row r="4431" spans="1:15" hidden="1" x14ac:dyDescent="0.25">
      <c r="A4431" s="5">
        <v>46157</v>
      </c>
      <c r="B4431" s="6" t="s">
        <v>60</v>
      </c>
      <c r="C4431" s="3" t="s">
        <v>23</v>
      </c>
      <c r="D4431" s="3">
        <v>24</v>
      </c>
      <c r="E4431" s="3">
        <v>20</v>
      </c>
      <c r="F4431" s="3">
        <v>19.190000000000001</v>
      </c>
      <c r="G4431" s="3">
        <v>3</v>
      </c>
      <c r="H4431" s="3">
        <v>0</v>
      </c>
      <c r="I4431" s="3">
        <f t="shared" si="540"/>
        <v>23</v>
      </c>
      <c r="J4431" s="3">
        <f t="shared" si="541"/>
        <v>19</v>
      </c>
      <c r="K4431" s="3">
        <f t="shared" si="542"/>
        <v>4</v>
      </c>
      <c r="L4431" s="3" t="str">
        <f t="shared" si="543"/>
        <v>BOM</v>
      </c>
      <c r="M4431" s="3">
        <v>20</v>
      </c>
      <c r="N4431" s="3">
        <v>97.48</v>
      </c>
      <c r="O4431" s="3">
        <v>22.99465240641711</v>
      </c>
    </row>
    <row r="4432" spans="1:15" hidden="1" x14ac:dyDescent="0.25">
      <c r="A4432" s="5">
        <v>46157</v>
      </c>
      <c r="B4432" s="6" t="s">
        <v>61</v>
      </c>
      <c r="C4432" s="3" t="s">
        <v>23</v>
      </c>
      <c r="D4432" s="3">
        <v>18</v>
      </c>
      <c r="E4432" s="3">
        <v>18</v>
      </c>
      <c r="F4432" s="3">
        <v>25.25</v>
      </c>
      <c r="G4432" s="3">
        <v>3</v>
      </c>
      <c r="H4432" s="3">
        <v>0</v>
      </c>
      <c r="I4432" s="3">
        <f t="shared" si="540"/>
        <v>21</v>
      </c>
      <c r="J4432" s="3">
        <f t="shared" si="541"/>
        <v>19</v>
      </c>
      <c r="K4432" s="3">
        <f t="shared" si="542"/>
        <v>2</v>
      </c>
      <c r="L4432" s="3" t="str">
        <f t="shared" si="543"/>
        <v>BOM</v>
      </c>
      <c r="M4432" s="3">
        <v>19</v>
      </c>
      <c r="N4432" s="3">
        <v>100</v>
      </c>
      <c r="O4432" s="3">
        <v>20.788530465949819</v>
      </c>
    </row>
    <row r="4433" spans="1:15" hidden="1" x14ac:dyDescent="0.25">
      <c r="A4433" s="5">
        <v>46157</v>
      </c>
      <c r="B4433" s="6" t="s">
        <v>62</v>
      </c>
      <c r="C4433" s="3" t="s">
        <v>23</v>
      </c>
      <c r="D4433" s="3">
        <v>24</v>
      </c>
      <c r="E4433" s="3">
        <v>21</v>
      </c>
      <c r="F4433" s="3">
        <v>20.350000000000001</v>
      </c>
      <c r="G4433" s="3">
        <v>2</v>
      </c>
      <c r="H4433" s="3">
        <v>0</v>
      </c>
      <c r="I4433" s="3">
        <f t="shared" si="540"/>
        <v>23</v>
      </c>
      <c r="J4433" s="3">
        <f t="shared" si="541"/>
        <v>19</v>
      </c>
      <c r="K4433" s="3">
        <f t="shared" si="542"/>
        <v>4</v>
      </c>
      <c r="L4433" s="3" t="str">
        <f t="shared" si="543"/>
        <v>BOM</v>
      </c>
      <c r="M4433" s="3">
        <v>24</v>
      </c>
      <c r="N4433" s="3">
        <v>94.55</v>
      </c>
      <c r="O4433" s="3">
        <v>23.450134770889491</v>
      </c>
    </row>
    <row r="4434" spans="1:15" hidden="1" x14ac:dyDescent="0.25">
      <c r="A4434" s="5">
        <v>46157</v>
      </c>
      <c r="B4434" s="6" t="s">
        <v>63</v>
      </c>
      <c r="C4434" s="3" t="s">
        <v>23</v>
      </c>
      <c r="D4434" s="3">
        <v>28</v>
      </c>
      <c r="E4434" s="3">
        <v>25</v>
      </c>
      <c r="F4434" s="3">
        <v>13.57</v>
      </c>
      <c r="G4434" s="3">
        <v>5</v>
      </c>
      <c r="H4434" s="3">
        <v>0</v>
      </c>
      <c r="I4434" s="3">
        <f t="shared" si="540"/>
        <v>30</v>
      </c>
      <c r="J4434" s="3">
        <f t="shared" si="541"/>
        <v>19</v>
      </c>
      <c r="K4434" s="3">
        <f t="shared" si="542"/>
        <v>11</v>
      </c>
      <c r="L4434" s="3" t="str">
        <f t="shared" si="543"/>
        <v>EXCELENTE</v>
      </c>
      <c r="M4434" s="3">
        <v>23</v>
      </c>
      <c r="N4434" s="3">
        <v>98</v>
      </c>
      <c r="O4434" s="3">
        <v>20.73490813648294</v>
      </c>
    </row>
    <row r="4435" spans="1:15" hidden="1" x14ac:dyDescent="0.25">
      <c r="A4435" s="5">
        <v>46157</v>
      </c>
      <c r="B4435" s="6" t="s">
        <v>64</v>
      </c>
      <c r="C4435" s="3" t="s">
        <v>23</v>
      </c>
      <c r="D4435" s="3">
        <v>18</v>
      </c>
      <c r="E4435" s="3">
        <v>17</v>
      </c>
      <c r="F4435" s="3">
        <v>35.31</v>
      </c>
      <c r="G4435" s="3">
        <v>3</v>
      </c>
      <c r="H4435" s="3">
        <v>0</v>
      </c>
      <c r="I4435" s="3">
        <f t="shared" si="540"/>
        <v>20</v>
      </c>
      <c r="J4435" s="3">
        <f t="shared" si="541"/>
        <v>19</v>
      </c>
      <c r="K4435" s="3">
        <f t="shared" si="542"/>
        <v>1</v>
      </c>
      <c r="L4435" s="3" t="str">
        <f t="shared" si="543"/>
        <v>BOM</v>
      </c>
      <c r="M4435" s="3">
        <v>14</v>
      </c>
      <c r="N4435" s="3">
        <v>100</v>
      </c>
      <c r="O4435" s="3">
        <v>18</v>
      </c>
    </row>
    <row r="4436" spans="1:15" hidden="1" x14ac:dyDescent="0.25">
      <c r="A4436" s="5">
        <v>46160</v>
      </c>
      <c r="B4436" s="6" t="s">
        <v>59</v>
      </c>
      <c r="C4436" s="3" t="s">
        <v>23</v>
      </c>
      <c r="D4436" s="3">
        <v>18</v>
      </c>
      <c r="E4436" s="3">
        <v>17</v>
      </c>
      <c r="F4436" s="3">
        <v>20.190000000000001</v>
      </c>
      <c r="G4436" s="3">
        <v>2</v>
      </c>
      <c r="H4436" s="3">
        <v>0</v>
      </c>
      <c r="I4436" s="3">
        <f t="shared" si="540"/>
        <v>19</v>
      </c>
      <c r="J4436" s="3">
        <f t="shared" si="541"/>
        <v>17</v>
      </c>
      <c r="K4436" s="3">
        <f t="shared" si="542"/>
        <v>2</v>
      </c>
      <c r="L4436" s="3" t="str">
        <f t="shared" si="543"/>
        <v>BOM</v>
      </c>
      <c r="M4436" s="3">
        <v>18</v>
      </c>
      <c r="N4436" s="3">
        <v>96.25</v>
      </c>
      <c r="O4436" s="3">
        <v>25.586353944562902</v>
      </c>
    </row>
    <row r="4437" spans="1:15" hidden="1" x14ac:dyDescent="0.25">
      <c r="A4437" s="5">
        <v>46160</v>
      </c>
      <c r="B4437" s="6" t="s">
        <v>60</v>
      </c>
      <c r="C4437" s="3" t="s">
        <v>23</v>
      </c>
      <c r="D4437" s="3">
        <v>22</v>
      </c>
      <c r="E4437" s="3">
        <v>21</v>
      </c>
      <c r="F4437" s="3">
        <v>20.04</v>
      </c>
      <c r="G4437" s="3">
        <v>3</v>
      </c>
      <c r="H4437" s="3">
        <v>0</v>
      </c>
      <c r="I4437" s="3">
        <f t="shared" si="540"/>
        <v>24</v>
      </c>
      <c r="J4437" s="3">
        <f t="shared" si="541"/>
        <v>17</v>
      </c>
      <c r="K4437" s="3">
        <f t="shared" si="542"/>
        <v>7</v>
      </c>
      <c r="L4437" s="3" t="str">
        <f t="shared" si="543"/>
        <v>EXCELENTE</v>
      </c>
      <c r="M4437" s="3">
        <v>22</v>
      </c>
      <c r="N4437" s="3">
        <v>97.48</v>
      </c>
      <c r="O4437" s="3">
        <v>22.99465240641711</v>
      </c>
    </row>
    <row r="4438" spans="1:15" hidden="1" x14ac:dyDescent="0.25">
      <c r="A4438" s="5">
        <v>46160</v>
      </c>
      <c r="B4438" s="6" t="s">
        <v>61</v>
      </c>
      <c r="C4438" s="3" t="s">
        <v>23</v>
      </c>
      <c r="D4438" s="3">
        <v>20</v>
      </c>
      <c r="E4438" s="3">
        <v>19</v>
      </c>
      <c r="F4438" s="3">
        <v>18.52</v>
      </c>
      <c r="G4438" s="3">
        <v>3</v>
      </c>
      <c r="H4438" s="3">
        <v>0</v>
      </c>
      <c r="I4438" s="3">
        <f t="shared" ref="I4438:I4469" si="544">E4438+G4438+H4438</f>
        <v>22</v>
      </c>
      <c r="J4438" s="3">
        <f t="shared" ref="J4438:J4465" si="545"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 t="shared" ref="K4438:K4469" si="546">I4438-J4438</f>
        <v>5</v>
      </c>
      <c r="L4438" s="3" t="str">
        <f t="shared" si="543"/>
        <v>BOM</v>
      </c>
      <c r="M4438" s="3">
        <v>18</v>
      </c>
      <c r="N4438" s="3">
        <v>100</v>
      </c>
      <c r="O4438" s="3">
        <v>20.788530465949819</v>
      </c>
    </row>
    <row r="4439" spans="1:15" hidden="1" x14ac:dyDescent="0.25">
      <c r="A4439" s="5">
        <v>46160</v>
      </c>
      <c r="B4439" s="6" t="s">
        <v>62</v>
      </c>
      <c r="C4439" s="3" t="s">
        <v>23</v>
      </c>
      <c r="D4439" s="3">
        <v>21</v>
      </c>
      <c r="E4439" s="3">
        <v>20</v>
      </c>
      <c r="F4439" s="3">
        <v>17.02</v>
      </c>
      <c r="G4439" s="3">
        <v>2</v>
      </c>
      <c r="H4439" s="3">
        <v>0</v>
      </c>
      <c r="I4439" s="3">
        <f t="shared" si="544"/>
        <v>22</v>
      </c>
      <c r="J4439" s="3">
        <f t="shared" si="545"/>
        <v>17</v>
      </c>
      <c r="K4439" s="3">
        <f t="shared" si="546"/>
        <v>5</v>
      </c>
      <c r="L4439" s="3" t="str">
        <f t="shared" si="543"/>
        <v>BOM</v>
      </c>
      <c r="M4439" s="3">
        <v>20</v>
      </c>
      <c r="N4439" s="3">
        <v>94.55</v>
      </c>
      <c r="O4439" s="3">
        <v>23.450134770889491</v>
      </c>
    </row>
    <row r="4440" spans="1:15" hidden="1" x14ac:dyDescent="0.25">
      <c r="A4440" s="5">
        <v>46160</v>
      </c>
      <c r="B4440" s="6" t="s">
        <v>63</v>
      </c>
      <c r="C4440" s="3" t="s">
        <v>23</v>
      </c>
      <c r="D4440" s="3">
        <v>28</v>
      </c>
      <c r="E4440" s="3">
        <v>25</v>
      </c>
      <c r="F4440" s="3">
        <v>14.02</v>
      </c>
      <c r="G4440" s="3">
        <v>1</v>
      </c>
      <c r="H4440" s="3">
        <v>0</v>
      </c>
      <c r="I4440" s="3">
        <f t="shared" si="544"/>
        <v>26</v>
      </c>
      <c r="J4440" s="3">
        <f t="shared" si="545"/>
        <v>17</v>
      </c>
      <c r="K4440" s="3">
        <f t="shared" si="546"/>
        <v>9</v>
      </c>
      <c r="L4440" s="3" t="str">
        <f t="shared" si="543"/>
        <v>EXCELENTE</v>
      </c>
      <c r="M4440" s="3">
        <v>20</v>
      </c>
      <c r="N4440" s="3">
        <v>98</v>
      </c>
      <c r="O4440" s="3">
        <v>20.73490813648294</v>
      </c>
    </row>
    <row r="4441" spans="1:15" hidden="1" x14ac:dyDescent="0.25">
      <c r="A4441" s="5">
        <v>46160</v>
      </c>
      <c r="B4441" s="6" t="s">
        <v>64</v>
      </c>
      <c r="C4441" s="3" t="s">
        <v>23</v>
      </c>
      <c r="D4441" s="3">
        <v>23</v>
      </c>
      <c r="E4441" s="3">
        <v>19</v>
      </c>
      <c r="F4441" s="3">
        <v>23.58</v>
      </c>
      <c r="G4441" s="3">
        <v>3</v>
      </c>
      <c r="H4441" s="3">
        <v>0</v>
      </c>
      <c r="I4441" s="3">
        <f t="shared" si="544"/>
        <v>22</v>
      </c>
      <c r="J4441" s="3">
        <f t="shared" si="545"/>
        <v>17</v>
      </c>
      <c r="K4441" s="3">
        <f t="shared" si="546"/>
        <v>5</v>
      </c>
      <c r="L4441" s="3" t="str">
        <f t="shared" si="543"/>
        <v>BOM</v>
      </c>
      <c r="M4441" s="3">
        <v>18</v>
      </c>
      <c r="N4441" s="3">
        <v>100</v>
      </c>
      <c r="O4441" s="3">
        <v>18</v>
      </c>
    </row>
    <row r="4442" spans="1:15" hidden="1" x14ac:dyDescent="0.25">
      <c r="A4442" s="7">
        <v>46161</v>
      </c>
      <c r="B4442" s="8" t="s">
        <v>59</v>
      </c>
      <c r="C4442" s="9" t="s">
        <v>23</v>
      </c>
      <c r="D4442" s="3">
        <v>30</v>
      </c>
      <c r="E4442" s="3">
        <v>29</v>
      </c>
      <c r="F4442" s="3">
        <v>15.36</v>
      </c>
      <c r="G4442" s="3">
        <v>1</v>
      </c>
      <c r="H4442" s="3">
        <v>0</v>
      </c>
      <c r="I4442" s="3">
        <f t="shared" si="544"/>
        <v>30</v>
      </c>
      <c r="J4442" s="3">
        <f t="shared" si="545"/>
        <v>19</v>
      </c>
      <c r="K4442" s="3">
        <f t="shared" si="546"/>
        <v>11</v>
      </c>
      <c r="L4442" s="3" t="str">
        <f t="shared" si="543"/>
        <v>EXCELENTE</v>
      </c>
      <c r="M4442" s="3">
        <v>29</v>
      </c>
      <c r="N4442" s="3">
        <v>96.25</v>
      </c>
      <c r="O4442" s="3">
        <v>25.586353944562902</v>
      </c>
    </row>
    <row r="4443" spans="1:15" hidden="1" x14ac:dyDescent="0.25">
      <c r="A4443" s="7">
        <v>46161</v>
      </c>
      <c r="B4443" s="8" t="s">
        <v>60</v>
      </c>
      <c r="C4443" s="9" t="s">
        <v>23</v>
      </c>
      <c r="D4443" s="3">
        <v>26</v>
      </c>
      <c r="E4443" s="3">
        <v>25</v>
      </c>
      <c r="F4443" s="3">
        <v>15.02</v>
      </c>
      <c r="G4443" s="3">
        <v>1</v>
      </c>
      <c r="H4443" s="3">
        <v>0</v>
      </c>
      <c r="I4443" s="3">
        <f t="shared" si="544"/>
        <v>26</v>
      </c>
      <c r="J4443" s="3">
        <f t="shared" si="545"/>
        <v>19</v>
      </c>
      <c r="K4443" s="3">
        <f t="shared" si="546"/>
        <v>7</v>
      </c>
      <c r="L4443" s="3" t="str">
        <f t="shared" si="543"/>
        <v>EXCELENTE</v>
      </c>
      <c r="M4443" s="3">
        <v>19</v>
      </c>
      <c r="N4443" s="3">
        <v>97.48</v>
      </c>
      <c r="O4443" s="3">
        <v>22.99465240641711</v>
      </c>
    </row>
    <row r="4444" spans="1:15" hidden="1" x14ac:dyDescent="0.25">
      <c r="A4444" s="7">
        <v>46161</v>
      </c>
      <c r="B4444" s="8" t="s">
        <v>61</v>
      </c>
      <c r="C4444" s="9" t="s">
        <v>23</v>
      </c>
      <c r="D4444" s="3">
        <v>21</v>
      </c>
      <c r="E4444" s="3">
        <v>20</v>
      </c>
      <c r="F4444" s="3">
        <v>12.3</v>
      </c>
      <c r="G4444" s="3">
        <v>1</v>
      </c>
      <c r="H4444" s="3">
        <v>0</v>
      </c>
      <c r="I4444" s="3">
        <f t="shared" si="544"/>
        <v>21</v>
      </c>
      <c r="J4444" s="3">
        <f t="shared" si="545"/>
        <v>19</v>
      </c>
      <c r="K4444" s="3">
        <f t="shared" si="546"/>
        <v>2</v>
      </c>
      <c r="L4444" s="3" t="str">
        <f t="shared" si="543"/>
        <v>BOM</v>
      </c>
      <c r="M4444" s="3">
        <v>15</v>
      </c>
      <c r="N4444" s="3">
        <v>100</v>
      </c>
      <c r="O4444" s="3">
        <v>20.788530465949819</v>
      </c>
    </row>
    <row r="4445" spans="1:15" hidden="1" x14ac:dyDescent="0.25">
      <c r="A4445" s="7">
        <v>46161</v>
      </c>
      <c r="B4445" s="8" t="s">
        <v>62</v>
      </c>
      <c r="C4445" s="9" t="s">
        <v>23</v>
      </c>
      <c r="D4445" s="3">
        <v>18</v>
      </c>
      <c r="E4445" s="3">
        <v>17</v>
      </c>
      <c r="F4445" s="3">
        <v>25.09</v>
      </c>
      <c r="G4445" s="3">
        <v>2</v>
      </c>
      <c r="H4445" s="3">
        <v>0</v>
      </c>
      <c r="I4445" s="3">
        <f t="shared" si="544"/>
        <v>19</v>
      </c>
      <c r="J4445" s="3">
        <f t="shared" si="545"/>
        <v>19</v>
      </c>
      <c r="K4445" s="3">
        <f t="shared" si="546"/>
        <v>0</v>
      </c>
      <c r="L4445" s="3" t="str">
        <f t="shared" si="543"/>
        <v>BOM</v>
      </c>
      <c r="M4445" s="3">
        <v>18</v>
      </c>
      <c r="N4445" s="3">
        <v>94.55</v>
      </c>
      <c r="O4445" s="3">
        <v>23.450134770889491</v>
      </c>
    </row>
    <row r="4446" spans="1:15" hidden="1" x14ac:dyDescent="0.25">
      <c r="A4446" s="7">
        <v>46161</v>
      </c>
      <c r="B4446" s="8" t="s">
        <v>63</v>
      </c>
      <c r="C4446" s="9" t="s">
        <v>23</v>
      </c>
      <c r="D4446" s="3">
        <v>35</v>
      </c>
      <c r="E4446" s="3">
        <v>31</v>
      </c>
      <c r="F4446" s="3">
        <v>13.24</v>
      </c>
      <c r="G4446" s="3">
        <v>2</v>
      </c>
      <c r="H4446" s="3">
        <v>0</v>
      </c>
      <c r="I4446" s="3">
        <f t="shared" si="544"/>
        <v>33</v>
      </c>
      <c r="J4446" s="3">
        <f t="shared" si="545"/>
        <v>19</v>
      </c>
      <c r="K4446" s="3">
        <f t="shared" si="546"/>
        <v>14</v>
      </c>
      <c r="L4446" s="3" t="str">
        <f t="shared" si="543"/>
        <v>EXCELENTE</v>
      </c>
      <c r="M4446" s="3">
        <v>26</v>
      </c>
      <c r="N4446" s="3">
        <v>98</v>
      </c>
      <c r="O4446" s="3">
        <v>20.73490813648294</v>
      </c>
    </row>
    <row r="4447" spans="1:15" hidden="1" x14ac:dyDescent="0.25">
      <c r="A4447" s="7">
        <v>46161</v>
      </c>
      <c r="B4447" s="8" t="s">
        <v>64</v>
      </c>
      <c r="C4447" s="9" t="s">
        <v>23</v>
      </c>
      <c r="D4447" s="3">
        <v>18</v>
      </c>
      <c r="E4447" s="3">
        <v>18</v>
      </c>
      <c r="F4447" s="3">
        <v>25.39</v>
      </c>
      <c r="G4447" s="3">
        <v>0</v>
      </c>
      <c r="H4447" s="3">
        <v>0</v>
      </c>
      <c r="I4447" s="3">
        <f t="shared" si="544"/>
        <v>18</v>
      </c>
      <c r="J4447" s="3">
        <f t="shared" si="545"/>
        <v>19</v>
      </c>
      <c r="K4447" s="3">
        <f t="shared" si="546"/>
        <v>-1</v>
      </c>
      <c r="L4447" s="3" t="str">
        <f t="shared" si="543"/>
        <v>ATENÇÃO</v>
      </c>
      <c r="M4447" s="3">
        <v>17</v>
      </c>
      <c r="N4447" s="3">
        <v>100</v>
      </c>
      <c r="O4447" s="3">
        <v>18</v>
      </c>
    </row>
    <row r="4448" spans="1:15" hidden="1" x14ac:dyDescent="0.25">
      <c r="A4448" s="7">
        <v>46162</v>
      </c>
      <c r="B4448" s="8" t="s">
        <v>59</v>
      </c>
      <c r="C4448" s="9" t="s">
        <v>23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 t="shared" si="544"/>
        <v>26</v>
      </c>
      <c r="J4448" s="3">
        <f t="shared" si="545"/>
        <v>17</v>
      </c>
      <c r="K4448" s="3">
        <f t="shared" si="546"/>
        <v>9</v>
      </c>
      <c r="L4448" s="3" t="str">
        <f t="shared" ref="L4448:L4471" si="547">IF(K4448&lt;-5,"CRÍTICO",IF(K4448&lt;0,"ATENÇÃO",IF(K4448&lt;=5,"OPORTUNO","MUITO BOM")))</f>
        <v>MUITO BOM</v>
      </c>
      <c r="M4448" s="3">
        <v>27</v>
      </c>
      <c r="N4448" s="3">
        <v>96.25</v>
      </c>
      <c r="O4448" s="3">
        <v>25.586353944562902</v>
      </c>
    </row>
    <row r="4449" spans="1:15" hidden="1" x14ac:dyDescent="0.25">
      <c r="A4449" s="7">
        <v>46162</v>
      </c>
      <c r="B4449" s="8" t="s">
        <v>60</v>
      </c>
      <c r="C4449" s="9" t="s">
        <v>23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 t="shared" si="544"/>
        <v>24</v>
      </c>
      <c r="J4449" s="3">
        <f t="shared" si="545"/>
        <v>17</v>
      </c>
      <c r="K4449" s="3">
        <f t="shared" si="546"/>
        <v>7</v>
      </c>
      <c r="L4449" s="3" t="str">
        <f t="shared" si="547"/>
        <v>MUITO BOM</v>
      </c>
      <c r="M4449" s="3">
        <v>22</v>
      </c>
      <c r="N4449" s="3">
        <v>97.48</v>
      </c>
      <c r="O4449" s="3">
        <v>22.99465240641711</v>
      </c>
    </row>
    <row r="4450" spans="1:15" hidden="1" x14ac:dyDescent="0.25">
      <c r="A4450" s="7">
        <v>46162</v>
      </c>
      <c r="B4450" s="8" t="s">
        <v>61</v>
      </c>
      <c r="C4450" s="9" t="s">
        <v>23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 t="shared" si="544"/>
        <v>16</v>
      </c>
      <c r="J4450" s="3">
        <f t="shared" si="545"/>
        <v>17</v>
      </c>
      <c r="K4450" s="3">
        <f t="shared" si="546"/>
        <v>-1</v>
      </c>
      <c r="L4450" s="3" t="str">
        <f t="shared" si="547"/>
        <v>ATENÇÃO</v>
      </c>
      <c r="M4450" s="3">
        <v>13</v>
      </c>
      <c r="N4450" s="3">
        <v>100</v>
      </c>
      <c r="O4450" s="3">
        <v>20.788530465949819</v>
      </c>
    </row>
    <row r="4451" spans="1:15" hidden="1" x14ac:dyDescent="0.25">
      <c r="A4451" s="7">
        <v>46162</v>
      </c>
      <c r="B4451" s="8" t="s">
        <v>62</v>
      </c>
      <c r="C4451" s="9" t="s">
        <v>23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 t="shared" si="544"/>
        <v>18</v>
      </c>
      <c r="J4451" s="3">
        <f t="shared" si="545"/>
        <v>17</v>
      </c>
      <c r="K4451" s="3">
        <f t="shared" si="546"/>
        <v>1</v>
      </c>
      <c r="L4451" s="3" t="str">
        <f t="shared" si="547"/>
        <v>OPORTUNO</v>
      </c>
      <c r="M4451" s="3">
        <v>16</v>
      </c>
      <c r="N4451" s="3">
        <v>94.55</v>
      </c>
      <c r="O4451" s="3">
        <v>23.450134770889491</v>
      </c>
    </row>
    <row r="4452" spans="1:15" hidden="1" x14ac:dyDescent="0.25">
      <c r="A4452" s="7">
        <v>46162</v>
      </c>
      <c r="B4452" s="8" t="s">
        <v>63</v>
      </c>
      <c r="C4452" s="9" t="s">
        <v>23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 t="shared" si="544"/>
        <v>25</v>
      </c>
      <c r="J4452" s="3">
        <f t="shared" si="545"/>
        <v>17</v>
      </c>
      <c r="K4452" s="3">
        <f t="shared" si="546"/>
        <v>8</v>
      </c>
      <c r="L4452" s="3" t="str">
        <f t="shared" si="547"/>
        <v>MUITO BOM</v>
      </c>
      <c r="M4452" s="3">
        <v>18</v>
      </c>
      <c r="N4452" s="3">
        <v>98</v>
      </c>
      <c r="O4452" s="3">
        <v>20.73490813648294</v>
      </c>
    </row>
    <row r="4453" spans="1:15" hidden="1" x14ac:dyDescent="0.25">
      <c r="A4453" s="7">
        <v>46162</v>
      </c>
      <c r="B4453" s="8" t="s">
        <v>64</v>
      </c>
      <c r="C4453" s="9" t="s">
        <v>23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 t="shared" si="544"/>
        <v>18</v>
      </c>
      <c r="J4453" s="3">
        <f t="shared" si="545"/>
        <v>17</v>
      </c>
      <c r="K4453" s="3">
        <f t="shared" si="546"/>
        <v>1</v>
      </c>
      <c r="L4453" s="3" t="str">
        <f t="shared" si="547"/>
        <v>OPORTUNO</v>
      </c>
      <c r="M4453" s="3">
        <v>14</v>
      </c>
      <c r="N4453" s="3">
        <v>100</v>
      </c>
      <c r="O4453" s="3">
        <v>18</v>
      </c>
    </row>
    <row r="4454" spans="1:15" hidden="1" x14ac:dyDescent="0.25">
      <c r="A4454" s="5">
        <v>46163</v>
      </c>
      <c r="B4454" s="6" t="s">
        <v>59</v>
      </c>
      <c r="C4454" s="3" t="s">
        <v>23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 t="shared" si="544"/>
        <v>23</v>
      </c>
      <c r="J4454" s="3">
        <f t="shared" si="545"/>
        <v>15</v>
      </c>
      <c r="K4454" s="3">
        <f t="shared" si="546"/>
        <v>8</v>
      </c>
      <c r="L4454" s="3" t="str">
        <f t="shared" si="547"/>
        <v>MUITO BOM</v>
      </c>
      <c r="M4454" s="3">
        <v>21</v>
      </c>
      <c r="N4454" s="3">
        <v>96.25</v>
      </c>
      <c r="O4454" s="3">
        <v>25.586353944562902</v>
      </c>
    </row>
    <row r="4455" spans="1:15" hidden="1" x14ac:dyDescent="0.25">
      <c r="A4455" s="5">
        <v>46163</v>
      </c>
      <c r="B4455" s="6" t="s">
        <v>60</v>
      </c>
      <c r="C4455" s="3" t="s">
        <v>23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 t="shared" si="544"/>
        <v>22</v>
      </c>
      <c r="J4455" s="3">
        <f t="shared" si="545"/>
        <v>15</v>
      </c>
      <c r="K4455" s="3">
        <f t="shared" si="546"/>
        <v>7</v>
      </c>
      <c r="L4455" s="3" t="str">
        <f t="shared" si="547"/>
        <v>MUITO BOM</v>
      </c>
      <c r="M4455" s="3">
        <v>17</v>
      </c>
      <c r="N4455" s="3">
        <v>97.48</v>
      </c>
      <c r="O4455" s="3">
        <v>22.99465240641711</v>
      </c>
    </row>
    <row r="4456" spans="1:15" hidden="1" x14ac:dyDescent="0.25">
      <c r="A4456" s="5">
        <v>46163</v>
      </c>
      <c r="B4456" s="6" t="s">
        <v>61</v>
      </c>
      <c r="C4456" s="3" t="s">
        <v>23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 t="shared" si="544"/>
        <v>16</v>
      </c>
      <c r="J4456" s="3">
        <f t="shared" si="545"/>
        <v>15</v>
      </c>
      <c r="K4456" s="3">
        <f t="shared" si="546"/>
        <v>1</v>
      </c>
      <c r="L4456" s="3" t="str">
        <f t="shared" si="547"/>
        <v>OPORTUNO</v>
      </c>
      <c r="M4456" s="3">
        <v>14</v>
      </c>
      <c r="N4456" s="3">
        <v>100</v>
      </c>
      <c r="O4456" s="3">
        <v>20.788530465949819</v>
      </c>
    </row>
    <row r="4457" spans="1:15" hidden="1" x14ac:dyDescent="0.25">
      <c r="A4457" s="5">
        <v>46163</v>
      </c>
      <c r="B4457" s="6" t="s">
        <v>62</v>
      </c>
      <c r="C4457" s="3" t="s">
        <v>23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 t="shared" si="544"/>
        <v>20</v>
      </c>
      <c r="J4457" s="3">
        <f t="shared" si="545"/>
        <v>15</v>
      </c>
      <c r="K4457" s="3">
        <f t="shared" si="546"/>
        <v>5</v>
      </c>
      <c r="L4457" s="3" t="str">
        <f t="shared" si="547"/>
        <v>OPORTUNO</v>
      </c>
      <c r="M4457" s="3">
        <v>21</v>
      </c>
      <c r="N4457" s="3">
        <v>94.55</v>
      </c>
      <c r="O4457" s="3">
        <v>23.450134770889491</v>
      </c>
    </row>
    <row r="4458" spans="1:15" hidden="1" x14ac:dyDescent="0.25">
      <c r="A4458" s="5">
        <v>46163</v>
      </c>
      <c r="B4458" s="6" t="s">
        <v>63</v>
      </c>
      <c r="C4458" s="3" t="s">
        <v>23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 t="shared" si="544"/>
        <v>27</v>
      </c>
      <c r="J4458" s="3">
        <f t="shared" si="545"/>
        <v>15</v>
      </c>
      <c r="K4458" s="3">
        <f t="shared" si="546"/>
        <v>12</v>
      </c>
      <c r="L4458" s="3" t="str">
        <f t="shared" si="547"/>
        <v>MUITO BOM</v>
      </c>
      <c r="M4458" s="3">
        <v>20</v>
      </c>
      <c r="N4458" s="3">
        <v>98</v>
      </c>
      <c r="O4458" s="3">
        <v>20.73490813648294</v>
      </c>
    </row>
    <row r="4459" spans="1:15" hidden="1" x14ac:dyDescent="0.25">
      <c r="A4459" s="5">
        <v>46163</v>
      </c>
      <c r="B4459" s="6" t="s">
        <v>64</v>
      </c>
      <c r="C4459" s="3" t="s">
        <v>23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 t="shared" si="544"/>
        <v>12</v>
      </c>
      <c r="J4459" s="3">
        <f t="shared" si="545"/>
        <v>15</v>
      </c>
      <c r="K4459" s="3">
        <f t="shared" si="546"/>
        <v>-3</v>
      </c>
      <c r="L4459" s="3" t="str">
        <f t="shared" si="547"/>
        <v>ATENÇÃO</v>
      </c>
      <c r="M4459" s="3">
        <v>10</v>
      </c>
      <c r="N4459" s="3">
        <v>100</v>
      </c>
      <c r="O4459" s="3">
        <v>18</v>
      </c>
    </row>
    <row r="4460" spans="1:15" hidden="1" x14ac:dyDescent="0.25">
      <c r="A4460" s="10">
        <v>46164</v>
      </c>
      <c r="B4460" s="6" t="s">
        <v>59</v>
      </c>
      <c r="C4460" s="3" t="s">
        <v>23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 t="shared" si="544"/>
        <v>12</v>
      </c>
      <c r="J4460" s="3">
        <f t="shared" si="545"/>
        <v>13</v>
      </c>
      <c r="K4460" s="3">
        <f t="shared" si="546"/>
        <v>-1</v>
      </c>
      <c r="L4460" s="3" t="str">
        <f t="shared" si="547"/>
        <v>ATENÇÃO</v>
      </c>
      <c r="M4460" s="3">
        <v>10</v>
      </c>
      <c r="N4460" s="3">
        <v>96.25</v>
      </c>
      <c r="O4460" s="3">
        <v>25.586353944562902</v>
      </c>
    </row>
    <row r="4461" spans="1:15" hidden="1" x14ac:dyDescent="0.25">
      <c r="A4461" s="10">
        <v>46164</v>
      </c>
      <c r="B4461" s="6" t="s">
        <v>60</v>
      </c>
      <c r="C4461" s="3" t="s">
        <v>23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 t="shared" si="544"/>
        <v>14</v>
      </c>
      <c r="J4461" s="3">
        <f t="shared" si="545"/>
        <v>13</v>
      </c>
      <c r="K4461" s="3">
        <f t="shared" si="546"/>
        <v>1</v>
      </c>
      <c r="L4461" s="3" t="str">
        <f t="shared" si="547"/>
        <v>OPORTUNO</v>
      </c>
      <c r="M4461" s="3">
        <v>12</v>
      </c>
      <c r="N4461" s="3">
        <v>97.48</v>
      </c>
      <c r="O4461" s="3">
        <v>22.99465240641711</v>
      </c>
    </row>
    <row r="4462" spans="1:15" hidden="1" x14ac:dyDescent="0.25">
      <c r="A4462" s="10">
        <v>46164</v>
      </c>
      <c r="B4462" s="6" t="s">
        <v>61</v>
      </c>
      <c r="C4462" s="3" t="s">
        <v>23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 t="shared" si="544"/>
        <v>23</v>
      </c>
      <c r="J4462" s="3">
        <f t="shared" si="545"/>
        <v>13</v>
      </c>
      <c r="K4462" s="3">
        <f t="shared" si="546"/>
        <v>10</v>
      </c>
      <c r="L4462" s="3" t="str">
        <f t="shared" si="547"/>
        <v>MUITO BOM</v>
      </c>
      <c r="M4462" s="3">
        <v>18</v>
      </c>
      <c r="N4462" s="3">
        <v>100</v>
      </c>
      <c r="O4462" s="3">
        <v>20.788530465949819</v>
      </c>
    </row>
    <row r="4463" spans="1:15" hidden="1" x14ac:dyDescent="0.25">
      <c r="A4463" s="10">
        <v>46164</v>
      </c>
      <c r="B4463" s="6" t="s">
        <v>62</v>
      </c>
      <c r="C4463" s="3" t="s">
        <v>23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 t="shared" si="544"/>
        <v>8</v>
      </c>
      <c r="J4463" s="3">
        <f t="shared" si="545"/>
        <v>13</v>
      </c>
      <c r="K4463" s="3">
        <f t="shared" si="546"/>
        <v>-5</v>
      </c>
      <c r="L4463" s="3" t="str">
        <f t="shared" si="547"/>
        <v>ATENÇÃO</v>
      </c>
      <c r="M4463" s="3">
        <v>8</v>
      </c>
      <c r="N4463" s="3">
        <v>94.55</v>
      </c>
      <c r="O4463" s="3">
        <v>23.450134770889491</v>
      </c>
    </row>
    <row r="4464" spans="1:15" hidden="1" x14ac:dyDescent="0.25">
      <c r="A4464" s="10">
        <v>46164</v>
      </c>
      <c r="B4464" s="6" t="s">
        <v>63</v>
      </c>
      <c r="C4464" s="3" t="s">
        <v>23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 t="shared" si="544"/>
        <v>20</v>
      </c>
      <c r="J4464" s="3">
        <f t="shared" si="545"/>
        <v>13</v>
      </c>
      <c r="K4464" s="3">
        <f t="shared" si="546"/>
        <v>7</v>
      </c>
      <c r="L4464" s="3" t="str">
        <f t="shared" si="547"/>
        <v>MUITO BOM</v>
      </c>
      <c r="M4464" s="3">
        <v>12</v>
      </c>
      <c r="N4464" s="3">
        <v>98</v>
      </c>
      <c r="O4464" s="3">
        <v>20.73490813648294</v>
      </c>
    </row>
    <row r="4465" spans="1:15" hidden="1" x14ac:dyDescent="0.25">
      <c r="A4465" s="10">
        <v>46164</v>
      </c>
      <c r="B4465" s="6" t="s">
        <v>64</v>
      </c>
      <c r="C4465" s="3" t="s">
        <v>23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 t="shared" si="544"/>
        <v>17</v>
      </c>
      <c r="J4465" s="3">
        <f t="shared" si="545"/>
        <v>13</v>
      </c>
      <c r="K4465" s="3">
        <f t="shared" si="546"/>
        <v>4</v>
      </c>
      <c r="L4465" s="3" t="str">
        <f t="shared" si="547"/>
        <v>OPORTUNO</v>
      </c>
      <c r="M4465" s="3">
        <v>17</v>
      </c>
      <c r="N4465" s="3">
        <v>100</v>
      </c>
      <c r="O4465" s="3">
        <v>18</v>
      </c>
    </row>
    <row r="4466" spans="1:15" hidden="1" x14ac:dyDescent="0.25">
      <c r="A4466" s="11">
        <v>46167</v>
      </c>
      <c r="B4466" t="s">
        <v>59</v>
      </c>
      <c r="C4466" t="s">
        <v>23</v>
      </c>
      <c r="D4466" s="3">
        <v>25</v>
      </c>
      <c r="E4466" s="3">
        <v>24</v>
      </c>
      <c r="F4466" s="3">
        <v>15.25</v>
      </c>
      <c r="G4466" s="3">
        <v>0</v>
      </c>
      <c r="H4466" s="3">
        <v>0</v>
      </c>
      <c r="I4466" s="3">
        <v>0</v>
      </c>
      <c r="J4466" s="3">
        <v>0</v>
      </c>
      <c r="K4466" s="3">
        <v>0</v>
      </c>
      <c r="L4466" s="3" t="str">
        <f t="shared" si="547"/>
        <v>OPORTUNO</v>
      </c>
      <c r="M4466" s="3">
        <v>21</v>
      </c>
      <c r="N4466" s="3">
        <v>96.25</v>
      </c>
      <c r="O4466" s="3">
        <v>25.586353944562902</v>
      </c>
    </row>
    <row r="4467" spans="1:15" hidden="1" x14ac:dyDescent="0.25">
      <c r="A4467" s="11">
        <v>46167</v>
      </c>
      <c r="B4467" t="s">
        <v>60</v>
      </c>
      <c r="C4467" t="s">
        <v>23</v>
      </c>
      <c r="D4467" s="3">
        <v>11</v>
      </c>
      <c r="E4467" s="3">
        <v>11</v>
      </c>
      <c r="F4467" s="3">
        <v>15.57</v>
      </c>
      <c r="G4467" s="3">
        <v>0</v>
      </c>
      <c r="H4467" s="3">
        <v>0</v>
      </c>
      <c r="I4467" s="3">
        <v>0</v>
      </c>
      <c r="J4467" s="3">
        <v>0</v>
      </c>
      <c r="K4467" s="3">
        <v>0</v>
      </c>
      <c r="L4467" s="3" t="str">
        <f t="shared" si="547"/>
        <v>OPORTUNO</v>
      </c>
      <c r="M4467" s="3">
        <v>11</v>
      </c>
      <c r="N4467" s="3">
        <v>97.48</v>
      </c>
      <c r="O4467" s="3">
        <v>22.99465240641711</v>
      </c>
    </row>
    <row r="4468" spans="1:15" hidden="1" x14ac:dyDescent="0.25">
      <c r="A4468" s="11">
        <v>46167</v>
      </c>
      <c r="B4468" t="s">
        <v>61</v>
      </c>
      <c r="C4468" t="s">
        <v>23</v>
      </c>
      <c r="D4468" s="3">
        <v>28</v>
      </c>
      <c r="E4468" s="3">
        <v>25</v>
      </c>
      <c r="F4468" s="3">
        <v>13.29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 t="shared" si="547"/>
        <v>OPORTUNO</v>
      </c>
      <c r="M4468" s="3">
        <v>18</v>
      </c>
      <c r="N4468" s="3">
        <v>100</v>
      </c>
      <c r="O4468" s="3">
        <v>20.788530465949819</v>
      </c>
    </row>
    <row r="4469" spans="1:15" hidden="1" x14ac:dyDescent="0.25">
      <c r="A4469" s="11">
        <v>46167</v>
      </c>
      <c r="B4469" t="s">
        <v>62</v>
      </c>
      <c r="C4469" t="s">
        <v>23</v>
      </c>
      <c r="D4469" s="3">
        <v>14</v>
      </c>
      <c r="E4469" s="3">
        <v>14</v>
      </c>
      <c r="F4469" s="3">
        <v>28.35</v>
      </c>
      <c r="G4469" s="3">
        <v>0</v>
      </c>
      <c r="H4469" s="3">
        <v>0</v>
      </c>
      <c r="I4469" s="3">
        <v>0</v>
      </c>
      <c r="J4469" s="3">
        <v>0</v>
      </c>
      <c r="K4469" s="3">
        <v>0</v>
      </c>
      <c r="L4469" s="3" t="str">
        <f t="shared" si="547"/>
        <v>OPORTUNO</v>
      </c>
      <c r="M4469" s="3">
        <v>14</v>
      </c>
      <c r="N4469" s="3">
        <v>94.55</v>
      </c>
      <c r="O4469" s="3">
        <v>23.450134770889491</v>
      </c>
    </row>
    <row r="4470" spans="1:15" hidden="1" x14ac:dyDescent="0.25">
      <c r="A4470" s="11">
        <v>46167</v>
      </c>
      <c r="B4470" t="s">
        <v>63</v>
      </c>
      <c r="C4470" t="s">
        <v>23</v>
      </c>
      <c r="D4470" s="3">
        <v>28</v>
      </c>
      <c r="E4470" s="3">
        <v>26</v>
      </c>
      <c r="F4470" s="3">
        <v>15.04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 t="shared" si="547"/>
        <v>OPORTUNO</v>
      </c>
      <c r="M4470" s="3">
        <v>22</v>
      </c>
      <c r="N4470" s="3">
        <v>98</v>
      </c>
      <c r="O4470" s="3">
        <v>20.73490813648294</v>
      </c>
    </row>
    <row r="4471" spans="1:15" hidden="1" x14ac:dyDescent="0.25">
      <c r="A4471" s="11">
        <v>46167</v>
      </c>
      <c r="B4471" t="s">
        <v>64</v>
      </c>
      <c r="C4471" t="s">
        <v>23</v>
      </c>
      <c r="D4471" s="3">
        <v>17</v>
      </c>
      <c r="E4471" s="3">
        <v>17</v>
      </c>
      <c r="F4471" s="3">
        <v>25.3</v>
      </c>
      <c r="G4471" s="3">
        <v>0</v>
      </c>
      <c r="H4471" s="3">
        <v>0</v>
      </c>
      <c r="I4471" s="3">
        <v>0</v>
      </c>
      <c r="J4471" s="3">
        <v>0</v>
      </c>
      <c r="K4471" s="3">
        <v>0</v>
      </c>
      <c r="L4471" s="3" t="str">
        <f t="shared" si="547"/>
        <v>OPORTUNO</v>
      </c>
      <c r="M4471" s="3">
        <v>18</v>
      </c>
      <c r="N4471" s="3">
        <v>100</v>
      </c>
      <c r="O4471" s="3">
        <v>18</v>
      </c>
    </row>
    <row r="4472" spans="1:15" hidden="1" x14ac:dyDescent="0.25">
      <c r="A4472" s="5">
        <v>46147</v>
      </c>
      <c r="B4472" s="6" t="s">
        <v>61</v>
      </c>
      <c r="C4472" s="3" t="s">
        <v>23</v>
      </c>
      <c r="D4472" s="3">
        <v>12</v>
      </c>
      <c r="E4472" s="3">
        <v>12</v>
      </c>
      <c r="F4472" s="3">
        <v>28.25</v>
      </c>
      <c r="G4472" s="3">
        <v>10</v>
      </c>
      <c r="H4472" s="3">
        <v>0</v>
      </c>
      <c r="I4472" s="3">
        <f>E4472+G4472+H4472</f>
        <v>22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23</v>
      </c>
      <c r="K4472" s="3">
        <f>I4472-J4472</f>
        <v>-1</v>
      </c>
      <c r="L4472" s="3" t="str">
        <f>IF(K4472&lt;-5,"CRÍTICO",IF(K4472&lt;0,"ATENÇÃO",IF(K4472&lt;=5,"BOM","EXCELENTE")))</f>
        <v>ATENÇÃO</v>
      </c>
      <c r="M4472" s="3">
        <v>18</v>
      </c>
      <c r="N4472" s="3">
        <v>100</v>
      </c>
      <c r="O4472" s="3">
        <v>20.788530465949819</v>
      </c>
    </row>
    <row r="4473" spans="1:15" hidden="1" x14ac:dyDescent="0.25">
      <c r="A4473" s="5">
        <v>46148</v>
      </c>
      <c r="B4473" s="6" t="s">
        <v>61</v>
      </c>
      <c r="C4473" s="3" t="s">
        <v>23</v>
      </c>
      <c r="D4473" s="3">
        <v>19</v>
      </c>
      <c r="E4473" s="3">
        <v>16</v>
      </c>
      <c r="F4473" s="3">
        <v>16.510000000000002</v>
      </c>
      <c r="G4473" s="3">
        <v>0</v>
      </c>
      <c r="H4473" s="3">
        <v>0</v>
      </c>
      <c r="I4473" s="3">
        <f>E4473+G4473+H4473</f>
        <v>16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23</v>
      </c>
      <c r="K4473" s="3">
        <f>I4473-J4473</f>
        <v>-7</v>
      </c>
      <c r="L4473" s="3" t="str">
        <f>IF(K4473&lt;-5,"CRÍTICO",IF(K4473&lt;0,"ATENÇÃO",IF(K4473&lt;=5,"BOM","EXCELENTE")))</f>
        <v>CRÍTICO</v>
      </c>
      <c r="M4473" s="3">
        <v>13</v>
      </c>
      <c r="N4473" s="3">
        <v>100</v>
      </c>
      <c r="O4473" s="3">
        <v>20.788530465949819</v>
      </c>
    </row>
    <row r="4474" spans="1:15" hidden="1" x14ac:dyDescent="0.25">
      <c r="A4474" s="11">
        <v>46168</v>
      </c>
      <c r="B4474" t="s">
        <v>61</v>
      </c>
      <c r="C4474" t="s">
        <v>23</v>
      </c>
      <c r="D4474" s="3">
        <v>20</v>
      </c>
      <c r="E4474" s="3">
        <v>17</v>
      </c>
      <c r="F4474" s="3">
        <v>16.54</v>
      </c>
      <c r="G4474" s="3">
        <v>0</v>
      </c>
      <c r="M4474" s="3">
        <v>13</v>
      </c>
      <c r="N4474" s="3">
        <v>100</v>
      </c>
      <c r="O4474" s="3">
        <v>22.58064516129032</v>
      </c>
    </row>
    <row r="4475" spans="1:15" hidden="1" x14ac:dyDescent="0.25">
      <c r="A4475" s="11">
        <v>46140</v>
      </c>
      <c r="B4475" t="s">
        <v>22</v>
      </c>
      <c r="C4475" t="s">
        <v>23</v>
      </c>
      <c r="D4475" s="3">
        <v>9</v>
      </c>
      <c r="E4475" s="3">
        <v>5</v>
      </c>
      <c r="F4475" s="3">
        <v>10.29</v>
      </c>
      <c r="G4475" s="3">
        <v>0</v>
      </c>
      <c r="H4475" s="3">
        <v>0</v>
      </c>
      <c r="I4475" s="3">
        <f>E4475+G4475+H4475</f>
        <v>5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22</v>
      </c>
      <c r="K4475" s="3">
        <f>I4475-J4475</f>
        <v>-17</v>
      </c>
      <c r="L4475" s="3" t="str">
        <f t="shared" ref="L4475:L4492" si="548">IF(K4475&lt;-5,"CRÍTICO",IF(K4475&lt;0,"ATENÇÃO",IF(K4475&lt;=5,"OPORTUNO","MUITO BOM")))</f>
        <v>CRÍTICO</v>
      </c>
      <c r="M4475" s="3">
        <v>39</v>
      </c>
      <c r="N4475" s="3">
        <v>99.28</v>
      </c>
      <c r="O4475" s="3">
        <v>27.689243027888441</v>
      </c>
    </row>
    <row r="4476" spans="1:15" hidden="1" x14ac:dyDescent="0.25">
      <c r="A4476" s="11">
        <v>46141</v>
      </c>
      <c r="B4476" t="s">
        <v>22</v>
      </c>
      <c r="C4476" t="s">
        <v>23</v>
      </c>
      <c r="D4476" s="3">
        <v>0</v>
      </c>
      <c r="E4476" s="3">
        <v>0</v>
      </c>
      <c r="F4476" s="3">
        <v>0</v>
      </c>
      <c r="G4476" s="3">
        <v>0</v>
      </c>
      <c r="H4476" s="3">
        <v>0</v>
      </c>
      <c r="I4476" s="3">
        <v>0</v>
      </c>
      <c r="J4476" s="3">
        <v>0</v>
      </c>
      <c r="K4476" s="3">
        <v>0</v>
      </c>
      <c r="L4476" s="3" t="str">
        <f t="shared" si="548"/>
        <v>OPORTUNO</v>
      </c>
      <c r="M4476" s="3">
        <v>54</v>
      </c>
      <c r="N4476" s="3">
        <v>99.28</v>
      </c>
      <c r="O4476" s="3">
        <v>27.689243027888441</v>
      </c>
    </row>
    <row r="4477" spans="1:15" hidden="1" x14ac:dyDescent="0.25">
      <c r="A4477" s="11">
        <v>46142</v>
      </c>
      <c r="B4477" t="s">
        <v>22</v>
      </c>
      <c r="C4477" t="s">
        <v>23</v>
      </c>
      <c r="D4477" s="3">
        <v>3</v>
      </c>
      <c r="E4477" s="3">
        <v>3</v>
      </c>
      <c r="F4477" s="3">
        <v>15.05</v>
      </c>
      <c r="G4477" s="3">
        <v>0</v>
      </c>
      <c r="H4477" s="3">
        <v>0</v>
      </c>
      <c r="I4477" s="3">
        <f>E4477+G4477+H4477</f>
        <v>3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21</v>
      </c>
      <c r="K4477" s="3">
        <f>I4477-J4477</f>
        <v>-18</v>
      </c>
      <c r="L4477" s="3" t="str">
        <f t="shared" si="548"/>
        <v>CRÍTICO</v>
      </c>
      <c r="M4477" s="3">
        <v>24</v>
      </c>
      <c r="N4477" s="3">
        <v>99.28</v>
      </c>
      <c r="O4477" s="3">
        <v>27.689243027888441</v>
      </c>
    </row>
    <row r="4478" spans="1:15" hidden="1" x14ac:dyDescent="0.25">
      <c r="A4478" s="5">
        <v>46149</v>
      </c>
      <c r="B4478" s="6" t="s">
        <v>22</v>
      </c>
      <c r="C4478" s="3" t="s">
        <v>23</v>
      </c>
      <c r="D4478" s="3">
        <v>26</v>
      </c>
      <c r="E4478" s="3">
        <v>26</v>
      </c>
      <c r="F4478" s="3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 t="shared" si="548"/>
        <v>MUITO BOM</v>
      </c>
      <c r="M4478" s="3">
        <v>24</v>
      </c>
      <c r="N4478" s="3">
        <v>99.06</v>
      </c>
      <c r="O4478" s="3">
        <v>19.417475728155338</v>
      </c>
    </row>
    <row r="4479" spans="1:15" hidden="1" x14ac:dyDescent="0.25">
      <c r="A4479" s="5">
        <v>46150</v>
      </c>
      <c r="B4479" s="6" t="s">
        <v>22</v>
      </c>
      <c r="C4479" s="3" t="s">
        <v>23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 t="shared" si="548"/>
        <v>OPORTUNO</v>
      </c>
      <c r="M4479" s="3">
        <v>0</v>
      </c>
      <c r="N4479" s="3">
        <v>99.06</v>
      </c>
      <c r="O4479" s="3">
        <v>19.417475728155338</v>
      </c>
    </row>
    <row r="4480" spans="1:15" hidden="1" x14ac:dyDescent="0.25">
      <c r="A4480" s="5">
        <v>46153</v>
      </c>
      <c r="B4480" s="6" t="s">
        <v>22</v>
      </c>
      <c r="C4480" s="3" t="s">
        <v>23</v>
      </c>
      <c r="D4480" s="3">
        <v>25</v>
      </c>
      <c r="E4480" s="3">
        <v>22</v>
      </c>
      <c r="F4480" s="3">
        <v>17.3</v>
      </c>
      <c r="G4480" s="3">
        <v>5</v>
      </c>
      <c r="H4480" s="3">
        <v>0</v>
      </c>
      <c r="I4480" s="3">
        <f t="shared" ref="I4480:I4492" si="549">E4480+G4480+H4480</f>
        <v>27</v>
      </c>
      <c r="J4480" s="3">
        <f t="shared" ref="J4480:J4492" si="550"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 t="shared" ref="K4480:K4492" si="551">I4480-J4480</f>
        <v>7</v>
      </c>
      <c r="L4480" s="3" t="str">
        <f t="shared" si="548"/>
        <v>MUITO BOM</v>
      </c>
      <c r="M4480" s="3">
        <v>23</v>
      </c>
      <c r="N4480" s="3">
        <v>99.06</v>
      </c>
      <c r="O4480" s="3">
        <v>19.417475728155338</v>
      </c>
    </row>
    <row r="4481" spans="1:15" hidden="1" x14ac:dyDescent="0.25">
      <c r="A4481" s="5">
        <v>46154</v>
      </c>
      <c r="B4481" s="6" t="s">
        <v>22</v>
      </c>
      <c r="C4481" s="3" t="s">
        <v>23</v>
      </c>
      <c r="D4481" s="3">
        <v>17</v>
      </c>
      <c r="E4481" s="3">
        <v>17</v>
      </c>
      <c r="F4481" s="3">
        <v>17.170000000000002</v>
      </c>
      <c r="H4481" s="3">
        <v>7</v>
      </c>
      <c r="I4481" s="3">
        <f t="shared" si="549"/>
        <v>24</v>
      </c>
      <c r="J4481" s="3">
        <f t="shared" si="550"/>
        <v>21</v>
      </c>
      <c r="K4481" s="3">
        <f t="shared" si="551"/>
        <v>3</v>
      </c>
      <c r="L4481" s="3" t="str">
        <f t="shared" si="548"/>
        <v>OPORTUNO</v>
      </c>
      <c r="M4481" s="3">
        <v>24</v>
      </c>
      <c r="N4481" s="3">
        <v>99.06</v>
      </c>
      <c r="O4481" s="3">
        <v>19.417475728155338</v>
      </c>
    </row>
    <row r="4482" spans="1:15" hidden="1" x14ac:dyDescent="0.25">
      <c r="A4482" s="5">
        <v>46155</v>
      </c>
      <c r="B4482" s="6" t="s">
        <v>22</v>
      </c>
      <c r="C4482" s="3" t="s">
        <v>23</v>
      </c>
      <c r="D4482" s="3">
        <v>20</v>
      </c>
      <c r="E4482" s="3">
        <v>16</v>
      </c>
      <c r="F4482" s="3">
        <v>23.26</v>
      </c>
      <c r="G4482" s="3">
        <v>11</v>
      </c>
      <c r="H4482" s="3">
        <v>7</v>
      </c>
      <c r="I4482" s="3">
        <f t="shared" si="549"/>
        <v>34</v>
      </c>
      <c r="J4482" s="3">
        <f t="shared" si="550"/>
        <v>19</v>
      </c>
      <c r="K4482" s="3">
        <f t="shared" si="551"/>
        <v>15</v>
      </c>
      <c r="L4482" s="3" t="str">
        <f t="shared" si="548"/>
        <v>MUITO BOM</v>
      </c>
      <c r="M4482" s="3">
        <v>18</v>
      </c>
      <c r="N4482" s="3">
        <v>99.06</v>
      </c>
      <c r="O4482" s="3">
        <v>19.417475728155338</v>
      </c>
    </row>
    <row r="4483" spans="1:15" hidden="1" x14ac:dyDescent="0.25">
      <c r="A4483" s="5">
        <v>46156</v>
      </c>
      <c r="B4483" s="6" t="s">
        <v>22</v>
      </c>
      <c r="C4483" s="3" t="s">
        <v>23</v>
      </c>
      <c r="D4483" s="3">
        <v>19</v>
      </c>
      <c r="E4483" s="3">
        <v>18</v>
      </c>
      <c r="F4483" s="3">
        <v>22.29</v>
      </c>
      <c r="G4483" s="3">
        <v>0</v>
      </c>
      <c r="H4483" s="3">
        <v>5</v>
      </c>
      <c r="I4483" s="3">
        <f t="shared" si="549"/>
        <v>23</v>
      </c>
      <c r="J4483" s="3">
        <f t="shared" si="550"/>
        <v>19</v>
      </c>
      <c r="K4483" s="3">
        <f t="shared" si="551"/>
        <v>4</v>
      </c>
      <c r="L4483" s="3" t="str">
        <f t="shared" si="548"/>
        <v>OPORTUNO</v>
      </c>
      <c r="M4483" s="3">
        <v>23</v>
      </c>
      <c r="N4483" s="3">
        <v>99.06</v>
      </c>
      <c r="O4483" s="3">
        <v>19.417475728155338</v>
      </c>
    </row>
    <row r="4484" spans="1:15" hidden="1" x14ac:dyDescent="0.25">
      <c r="A4484" s="5">
        <v>46157</v>
      </c>
      <c r="B4484" s="6" t="s">
        <v>22</v>
      </c>
      <c r="C4484" s="3" t="s">
        <v>23</v>
      </c>
      <c r="D4484" s="3">
        <v>19</v>
      </c>
      <c r="E4484" s="3">
        <v>16</v>
      </c>
      <c r="F4484" s="3">
        <v>16.559999999999999</v>
      </c>
      <c r="G4484" s="3">
        <v>6</v>
      </c>
      <c r="H4484" s="3">
        <v>1</v>
      </c>
      <c r="I4484" s="3">
        <f t="shared" si="549"/>
        <v>23</v>
      </c>
      <c r="J4484" s="3">
        <f t="shared" si="550"/>
        <v>19</v>
      </c>
      <c r="K4484" s="3">
        <f t="shared" si="551"/>
        <v>4</v>
      </c>
      <c r="L4484" s="3" t="str">
        <f t="shared" si="548"/>
        <v>OPORTUNO</v>
      </c>
      <c r="M4484" s="3">
        <v>15</v>
      </c>
      <c r="N4484" s="3">
        <v>99.06</v>
      </c>
      <c r="O4484" s="3">
        <v>19.417475728155338</v>
      </c>
    </row>
    <row r="4485" spans="1:15" hidden="1" x14ac:dyDescent="0.25">
      <c r="A4485" s="5">
        <v>46160</v>
      </c>
      <c r="B4485" s="6" t="s">
        <v>22</v>
      </c>
      <c r="C4485" s="3" t="s">
        <v>23</v>
      </c>
      <c r="D4485" s="3">
        <v>21</v>
      </c>
      <c r="E4485" s="3">
        <v>18</v>
      </c>
      <c r="F4485" s="3">
        <v>20.22</v>
      </c>
      <c r="G4485" s="3">
        <v>6</v>
      </c>
      <c r="H4485" s="3">
        <v>1</v>
      </c>
      <c r="I4485" s="3">
        <f t="shared" si="549"/>
        <v>25</v>
      </c>
      <c r="J4485" s="3">
        <f t="shared" si="550"/>
        <v>17</v>
      </c>
      <c r="K4485" s="3">
        <f t="shared" si="551"/>
        <v>8</v>
      </c>
      <c r="L4485" s="3" t="str">
        <f t="shared" si="548"/>
        <v>MUITO BOM</v>
      </c>
      <c r="M4485" s="3">
        <v>18</v>
      </c>
      <c r="N4485" s="3">
        <v>99.06</v>
      </c>
      <c r="O4485" s="3">
        <v>19.417475728155338</v>
      </c>
    </row>
    <row r="4486" spans="1:15" hidden="1" x14ac:dyDescent="0.25">
      <c r="A4486" s="7">
        <v>46161</v>
      </c>
      <c r="B4486" s="8" t="s">
        <v>22</v>
      </c>
      <c r="C4486" s="9" t="s">
        <v>23</v>
      </c>
      <c r="D4486" s="3">
        <v>19</v>
      </c>
      <c r="E4486" s="3">
        <v>18</v>
      </c>
      <c r="F4486" s="3">
        <v>21.58</v>
      </c>
      <c r="G4486" s="3">
        <v>3</v>
      </c>
      <c r="H4486" s="3">
        <v>3</v>
      </c>
      <c r="I4486" s="3">
        <f t="shared" si="549"/>
        <v>24</v>
      </c>
      <c r="J4486" s="3">
        <f t="shared" si="550"/>
        <v>19</v>
      </c>
      <c r="K4486" s="3">
        <f t="shared" si="551"/>
        <v>5</v>
      </c>
      <c r="L4486" s="3" t="str">
        <f t="shared" si="548"/>
        <v>OPORTUNO</v>
      </c>
      <c r="M4486" s="3">
        <v>20</v>
      </c>
      <c r="N4486" s="3">
        <v>99.06</v>
      </c>
      <c r="O4486" s="3">
        <v>19.417475728155338</v>
      </c>
    </row>
    <row r="4487" spans="1:15" hidden="1" x14ac:dyDescent="0.25">
      <c r="A4487" s="7">
        <v>46162</v>
      </c>
      <c r="B4487" s="8" t="s">
        <v>22</v>
      </c>
      <c r="C4487" s="9" t="s">
        <v>23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 t="shared" si="549"/>
        <v>27</v>
      </c>
      <c r="J4487" s="3">
        <f t="shared" si="550"/>
        <v>17</v>
      </c>
      <c r="K4487" s="3">
        <f t="shared" si="551"/>
        <v>10</v>
      </c>
      <c r="L4487" s="3" t="str">
        <f t="shared" si="548"/>
        <v>MUITO BOM</v>
      </c>
      <c r="M4487" s="3">
        <v>21</v>
      </c>
      <c r="N4487" s="3">
        <v>99.06</v>
      </c>
      <c r="O4487" s="3">
        <v>19.417475728155338</v>
      </c>
    </row>
    <row r="4488" spans="1:15" hidden="1" x14ac:dyDescent="0.25">
      <c r="A4488" s="5">
        <v>46163</v>
      </c>
      <c r="B4488" s="6" t="s">
        <v>22</v>
      </c>
      <c r="C4488" s="3" t="s">
        <v>23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 t="shared" si="549"/>
        <v>18</v>
      </c>
      <c r="J4488" s="3">
        <f t="shared" si="550"/>
        <v>15</v>
      </c>
      <c r="K4488" s="3">
        <f t="shared" si="551"/>
        <v>3</v>
      </c>
      <c r="L4488" s="3" t="str">
        <f t="shared" si="548"/>
        <v>OPORTUNO</v>
      </c>
      <c r="M4488" s="3">
        <v>15</v>
      </c>
      <c r="N4488" s="3">
        <v>99.06</v>
      </c>
      <c r="O4488" s="3">
        <v>19.417475728155338</v>
      </c>
    </row>
    <row r="4489" spans="1:15" hidden="1" x14ac:dyDescent="0.25">
      <c r="A4489" s="5">
        <v>46146</v>
      </c>
      <c r="B4489" s="6" t="s">
        <v>22</v>
      </c>
      <c r="C4489" s="3" t="s">
        <v>23</v>
      </c>
      <c r="D4489" s="3">
        <v>24</v>
      </c>
      <c r="E4489" s="3">
        <v>20</v>
      </c>
      <c r="F4489" s="3">
        <v>21.45</v>
      </c>
      <c r="G4489" s="3">
        <v>7</v>
      </c>
      <c r="H4489" s="3">
        <v>0</v>
      </c>
      <c r="I4489" s="3">
        <f t="shared" si="549"/>
        <v>27</v>
      </c>
      <c r="J4489" s="3">
        <f t="shared" si="550"/>
        <v>23</v>
      </c>
      <c r="K4489" s="3">
        <f t="shared" si="551"/>
        <v>4</v>
      </c>
      <c r="L4489" s="3" t="str">
        <f t="shared" si="548"/>
        <v>OPORTUNO</v>
      </c>
      <c r="M4489" s="3">
        <v>22</v>
      </c>
      <c r="N4489" s="3">
        <v>99.06</v>
      </c>
      <c r="O4489" s="3">
        <v>19.417475728155338</v>
      </c>
    </row>
    <row r="4490" spans="1:15" hidden="1" x14ac:dyDescent="0.25">
      <c r="A4490" s="5">
        <v>46147</v>
      </c>
      <c r="B4490" s="6" t="s">
        <v>22</v>
      </c>
      <c r="C4490" s="3" t="s">
        <v>23</v>
      </c>
      <c r="D4490" s="3">
        <v>13</v>
      </c>
      <c r="E4490" s="3">
        <v>12</v>
      </c>
      <c r="F4490" s="3">
        <v>17.149999999999999</v>
      </c>
      <c r="G4490" s="3">
        <v>9</v>
      </c>
      <c r="H4490" s="3">
        <v>0</v>
      </c>
      <c r="I4490" s="3">
        <f t="shared" si="549"/>
        <v>21</v>
      </c>
      <c r="J4490" s="3">
        <f t="shared" si="550"/>
        <v>23</v>
      </c>
      <c r="K4490" s="3">
        <f t="shared" si="551"/>
        <v>-2</v>
      </c>
      <c r="L4490" s="3" t="str">
        <f t="shared" si="548"/>
        <v>ATENÇÃO</v>
      </c>
      <c r="M4490" s="3">
        <v>12</v>
      </c>
      <c r="N4490" s="3">
        <v>99.06</v>
      </c>
      <c r="O4490" s="3">
        <v>19.417475728155338</v>
      </c>
    </row>
    <row r="4491" spans="1:15" hidden="1" x14ac:dyDescent="0.25">
      <c r="A4491" s="5">
        <v>46148</v>
      </c>
      <c r="B4491" s="6" t="s">
        <v>22</v>
      </c>
      <c r="C4491" s="3" t="s">
        <v>23</v>
      </c>
      <c r="D4491" s="3">
        <v>23</v>
      </c>
      <c r="E4491" s="3">
        <v>22</v>
      </c>
      <c r="F4491" s="3">
        <v>20.21</v>
      </c>
      <c r="G4491" s="3">
        <v>9</v>
      </c>
      <c r="H4491" s="3">
        <v>0</v>
      </c>
      <c r="I4491" s="3">
        <f t="shared" si="549"/>
        <v>31</v>
      </c>
      <c r="J4491" s="3">
        <f t="shared" si="550"/>
        <v>23</v>
      </c>
      <c r="K4491" s="3">
        <f t="shared" si="551"/>
        <v>8</v>
      </c>
      <c r="L4491" s="3" t="str">
        <f t="shared" si="548"/>
        <v>MUITO BOM</v>
      </c>
      <c r="M4491" s="3">
        <v>24</v>
      </c>
      <c r="N4491" s="3">
        <v>99.06</v>
      </c>
      <c r="O4491" s="3">
        <v>19.417475728155338</v>
      </c>
    </row>
    <row r="4492" spans="1:15" hidden="1" x14ac:dyDescent="0.25">
      <c r="A4492" s="10">
        <v>46164</v>
      </c>
      <c r="B4492" s="6" t="s">
        <v>22</v>
      </c>
      <c r="C4492" s="3" t="s">
        <v>23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 t="shared" si="549"/>
        <v>7</v>
      </c>
      <c r="J4492" s="3">
        <f t="shared" si="550"/>
        <v>13</v>
      </c>
      <c r="K4492" s="3">
        <f t="shared" si="551"/>
        <v>-6</v>
      </c>
      <c r="L4492" s="3" t="str">
        <f t="shared" si="548"/>
        <v>CRÍTICO</v>
      </c>
      <c r="M4492" s="3">
        <v>7</v>
      </c>
      <c r="N4492" s="3">
        <v>99.06</v>
      </c>
      <c r="O4492" s="3">
        <v>19.417475728155338</v>
      </c>
    </row>
    <row r="4493" spans="1:15" hidden="1" x14ac:dyDescent="0.25">
      <c r="A4493" s="11">
        <v>46168</v>
      </c>
      <c r="B4493" t="s">
        <v>22</v>
      </c>
      <c r="C4493" t="s">
        <v>23</v>
      </c>
      <c r="D4493" s="3">
        <v>20</v>
      </c>
      <c r="E4493" s="3">
        <v>20</v>
      </c>
      <c r="F4493" s="3">
        <v>21.49</v>
      </c>
      <c r="G4493" s="3">
        <v>2</v>
      </c>
      <c r="M4493" s="3">
        <v>19</v>
      </c>
      <c r="N4493" s="3">
        <v>99.06</v>
      </c>
      <c r="O4493" s="3">
        <v>22.33009708737864</v>
      </c>
    </row>
    <row r="4494" spans="1:15" hidden="1" x14ac:dyDescent="0.25">
      <c r="A4494" s="11">
        <v>46140</v>
      </c>
      <c r="B4494" t="s">
        <v>62</v>
      </c>
      <c r="C4494" t="s">
        <v>23</v>
      </c>
      <c r="D4494" s="3">
        <v>20</v>
      </c>
      <c r="E4494" s="3">
        <v>19</v>
      </c>
      <c r="F4494" s="3">
        <v>20.09</v>
      </c>
      <c r="G4494" s="3">
        <v>0</v>
      </c>
      <c r="H4494" s="3">
        <v>0</v>
      </c>
      <c r="I4494" s="3">
        <f t="shared" ref="I4494:I4499" si="552">E4494+G4494+H4494</f>
        <v>19</v>
      </c>
      <c r="J4494" s="3">
        <f t="shared" ref="J4494:J4499" si="553"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22</v>
      </c>
      <c r="K4494" s="3">
        <f t="shared" ref="K4494:K4499" si="554">I4494-J4494</f>
        <v>-3</v>
      </c>
      <c r="L4494" s="3" t="str">
        <f>IF(K4494&lt;-5,"CRÍTICO",IF(K4494&lt;0,"ATENÇÃO",IF(K4494&lt;=5,"OPORTUNO","MUITO BOM")))</f>
        <v>ATENÇÃO</v>
      </c>
      <c r="M4494" s="3">
        <v>18</v>
      </c>
      <c r="N4494" s="3">
        <v>97.37</v>
      </c>
      <c r="O4494" s="3">
        <v>25.76530612244898</v>
      </c>
    </row>
    <row r="4495" spans="1:15" hidden="1" x14ac:dyDescent="0.25">
      <c r="A4495" s="11">
        <v>46141</v>
      </c>
      <c r="B4495" t="s">
        <v>62</v>
      </c>
      <c r="C4495" t="s">
        <v>23</v>
      </c>
      <c r="D4495" s="3">
        <v>20</v>
      </c>
      <c r="E4495" s="3">
        <v>18</v>
      </c>
      <c r="F4495" s="3">
        <v>20.37</v>
      </c>
      <c r="G4495" s="3">
        <v>0</v>
      </c>
      <c r="H4495" s="3">
        <v>0</v>
      </c>
      <c r="I4495" s="3">
        <f t="shared" si="552"/>
        <v>18</v>
      </c>
      <c r="J4495" s="3">
        <f t="shared" si="553"/>
        <v>23</v>
      </c>
      <c r="K4495" s="3">
        <f t="shared" si="554"/>
        <v>-5</v>
      </c>
      <c r="L4495" s="3" t="str">
        <f>IF(K4495&lt;-5,"CRÍTICO",IF(K4495&lt;0,"ATENÇÃO",IF(K4495&lt;=5,"OPORTUNO","MUITO BOM")))</f>
        <v>ATENÇÃO</v>
      </c>
      <c r="M4495" s="3">
        <v>20</v>
      </c>
      <c r="N4495" s="3">
        <v>97.37</v>
      </c>
      <c r="O4495" s="3">
        <v>25.76530612244898</v>
      </c>
    </row>
    <row r="4496" spans="1:15" hidden="1" x14ac:dyDescent="0.25">
      <c r="A4496" s="11">
        <v>46142</v>
      </c>
      <c r="B4496" t="s">
        <v>62</v>
      </c>
      <c r="C4496" t="s">
        <v>23</v>
      </c>
      <c r="D4496" s="3">
        <v>30</v>
      </c>
      <c r="E4496" s="3">
        <v>28</v>
      </c>
      <c r="F4496" s="3">
        <v>16.54</v>
      </c>
      <c r="G4496" s="3">
        <v>0</v>
      </c>
      <c r="H4496" s="3">
        <v>0</v>
      </c>
      <c r="I4496" s="3">
        <f t="shared" si="552"/>
        <v>28</v>
      </c>
      <c r="J4496" s="3">
        <f t="shared" si="553"/>
        <v>21</v>
      </c>
      <c r="K4496" s="3">
        <f t="shared" si="554"/>
        <v>7</v>
      </c>
      <c r="L4496" s="3" t="str">
        <f>IF(K4496&lt;-5,"CRÍTICO",IF(K4496&lt;0,"ATENÇÃO",IF(K4496&lt;=5,"OPORTUNO","MUITO BOM")))</f>
        <v>MUITO BOM</v>
      </c>
      <c r="M4496" s="3">
        <v>26</v>
      </c>
      <c r="N4496" s="3">
        <v>97.37</v>
      </c>
      <c r="O4496" s="3">
        <v>25.76530612244898</v>
      </c>
    </row>
    <row r="4497" spans="1:15" hidden="1" x14ac:dyDescent="0.25">
      <c r="A4497" s="5">
        <v>46146</v>
      </c>
      <c r="B4497" s="6" t="s">
        <v>62</v>
      </c>
      <c r="C4497" s="3" t="s">
        <v>23</v>
      </c>
      <c r="D4497" s="3">
        <v>25</v>
      </c>
      <c r="E4497" s="3">
        <v>21</v>
      </c>
      <c r="F4497" s="3">
        <v>17.18</v>
      </c>
      <c r="G4497" s="3">
        <v>4</v>
      </c>
      <c r="H4497" s="3">
        <v>0</v>
      </c>
      <c r="I4497" s="3">
        <f t="shared" si="552"/>
        <v>25</v>
      </c>
      <c r="J4497" s="3">
        <f t="shared" si="553"/>
        <v>23</v>
      </c>
      <c r="K4497" s="3">
        <f t="shared" si="554"/>
        <v>2</v>
      </c>
      <c r="L4497" s="3" t="str">
        <f>IF(K4497&lt;-5,"CRÍTICO",IF(K4497&lt;0,"ATENÇÃO",IF(K4497&lt;=5,"BOM","EXCELENTE")))</f>
        <v>BOM</v>
      </c>
      <c r="M4497" s="3">
        <v>26</v>
      </c>
      <c r="N4497" s="3">
        <v>94.55</v>
      </c>
      <c r="O4497" s="3">
        <v>23.450134770889491</v>
      </c>
    </row>
    <row r="4498" spans="1:15" hidden="1" x14ac:dyDescent="0.25">
      <c r="A4498" s="5">
        <v>46147</v>
      </c>
      <c r="B4498" s="6" t="s">
        <v>62</v>
      </c>
      <c r="C4498" s="3" t="s">
        <v>23</v>
      </c>
      <c r="D4498" s="3">
        <v>31</v>
      </c>
      <c r="E4498" s="3">
        <v>28</v>
      </c>
      <c r="F4498" s="3">
        <v>17.329999999999998</v>
      </c>
      <c r="G4498" s="3">
        <v>1</v>
      </c>
      <c r="H4498" s="3">
        <v>0</v>
      </c>
      <c r="I4498" s="3">
        <f t="shared" si="552"/>
        <v>29</v>
      </c>
      <c r="J4498" s="3">
        <f t="shared" si="553"/>
        <v>23</v>
      </c>
      <c r="K4498" s="3">
        <f t="shared" si="554"/>
        <v>6</v>
      </c>
      <c r="L4498" s="3" t="str">
        <f>IF(K4498&lt;-5,"CRÍTICO",IF(K4498&lt;0,"ATENÇÃO",IF(K4498&lt;=5,"BOM","EXCELENTE")))</f>
        <v>EXCELENTE</v>
      </c>
      <c r="M4498" s="3">
        <v>30</v>
      </c>
      <c r="N4498" s="3">
        <v>94.55</v>
      </c>
      <c r="O4498" s="3">
        <v>23.450134770889491</v>
      </c>
    </row>
    <row r="4499" spans="1:15" hidden="1" x14ac:dyDescent="0.25">
      <c r="A4499" s="5">
        <v>46148</v>
      </c>
      <c r="B4499" s="6" t="s">
        <v>62</v>
      </c>
      <c r="C4499" s="3" t="s">
        <v>23</v>
      </c>
      <c r="D4499" s="3">
        <v>31</v>
      </c>
      <c r="E4499" s="3">
        <v>30</v>
      </c>
      <c r="F4499" s="3">
        <v>17.329999999999998</v>
      </c>
      <c r="G4499" s="3">
        <v>8</v>
      </c>
      <c r="H4499" s="3">
        <v>0</v>
      </c>
      <c r="I4499" s="3">
        <f t="shared" si="552"/>
        <v>38</v>
      </c>
      <c r="J4499" s="3">
        <f t="shared" si="553"/>
        <v>23</v>
      </c>
      <c r="K4499" s="3">
        <f t="shared" si="554"/>
        <v>15</v>
      </c>
      <c r="L4499" s="3" t="str">
        <f>IF(K4499&lt;-5,"CRÍTICO",IF(K4499&lt;0,"ATENÇÃO",IF(K4499&lt;=5,"BOM","EXCELENTE")))</f>
        <v>EXCELENTE</v>
      </c>
      <c r="M4499" s="3">
        <v>36</v>
      </c>
      <c r="N4499" s="3">
        <v>94.55</v>
      </c>
      <c r="O4499" s="3">
        <v>23.450134770889491</v>
      </c>
    </row>
    <row r="4500" spans="1:15" hidden="1" x14ac:dyDescent="0.25">
      <c r="A4500" s="11">
        <v>46168</v>
      </c>
      <c r="B4500" t="s">
        <v>62</v>
      </c>
      <c r="C4500" t="s">
        <v>23</v>
      </c>
      <c r="D4500" s="3">
        <v>28</v>
      </c>
      <c r="E4500" s="3">
        <v>27</v>
      </c>
      <c r="F4500" s="3">
        <v>16.45</v>
      </c>
      <c r="G4500" s="3">
        <v>1</v>
      </c>
      <c r="M4500" s="3">
        <v>26</v>
      </c>
      <c r="N4500" s="3">
        <v>94.55</v>
      </c>
      <c r="O4500" s="3">
        <v>24.258760107816709</v>
      </c>
    </row>
    <row r="4501" spans="1:15" hidden="1" x14ac:dyDescent="0.25">
      <c r="A4501" s="11">
        <v>46140</v>
      </c>
      <c r="B4501" t="s">
        <v>63</v>
      </c>
      <c r="C4501" t="s">
        <v>23</v>
      </c>
      <c r="D4501" s="3">
        <v>36</v>
      </c>
      <c r="E4501" s="3">
        <v>30</v>
      </c>
      <c r="F4501" s="3">
        <v>13.43</v>
      </c>
      <c r="G4501" s="3">
        <v>0</v>
      </c>
      <c r="H4501" s="3">
        <v>0</v>
      </c>
      <c r="I4501" s="3">
        <f>E4501+G4501+H4501</f>
        <v>30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8</v>
      </c>
      <c r="L4501" s="3" t="str">
        <f>IF(K4501&lt;-5,"CRÍTICO",IF(K4501&lt;0,"ATENÇÃO",IF(K4501&lt;=5,"OPORTUNO","MUITO BOM")))</f>
        <v>MUITO BOM</v>
      </c>
      <c r="M4501" s="3">
        <v>26</v>
      </c>
      <c r="N4501" s="3">
        <v>98.32</v>
      </c>
      <c r="O4501" s="3">
        <v>26.858513189448441</v>
      </c>
    </row>
    <row r="4502" spans="1:15" hidden="1" x14ac:dyDescent="0.25">
      <c r="A4502" s="11">
        <v>46141</v>
      </c>
      <c r="B4502" t="s">
        <v>63</v>
      </c>
      <c r="C4502" t="s">
        <v>23</v>
      </c>
      <c r="D4502" s="3">
        <v>32</v>
      </c>
      <c r="E4502" s="3">
        <v>28</v>
      </c>
      <c r="F4502" s="3">
        <v>13.21</v>
      </c>
      <c r="G4502" s="3">
        <v>0</v>
      </c>
      <c r="H4502" s="3">
        <v>0</v>
      </c>
      <c r="I4502" s="3">
        <f>E4502+G4502+H4502</f>
        <v>28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23</v>
      </c>
      <c r="K4502" s="3">
        <f>I4502-J4502</f>
        <v>5</v>
      </c>
      <c r="L4502" s="3" t="str">
        <f>IF(K4502&lt;-5,"CRÍTICO",IF(K4502&lt;0,"ATENÇÃO",IF(K4502&lt;=5,"OPORTUNO","MUITO BOM")))</f>
        <v>OPORTUNO</v>
      </c>
      <c r="M4502" s="3">
        <v>21</v>
      </c>
      <c r="N4502" s="3">
        <v>98.32</v>
      </c>
      <c r="O4502" s="3">
        <v>26.858513189448441</v>
      </c>
    </row>
    <row r="4503" spans="1:15" hidden="1" x14ac:dyDescent="0.25">
      <c r="A4503" s="11">
        <v>46142</v>
      </c>
      <c r="B4503" t="s">
        <v>63</v>
      </c>
      <c r="C4503" t="s">
        <v>23</v>
      </c>
      <c r="D4503" s="3">
        <v>27</v>
      </c>
      <c r="E4503" s="3">
        <v>24</v>
      </c>
      <c r="F4503" s="3">
        <v>15.08</v>
      </c>
      <c r="G4503" s="3">
        <v>0</v>
      </c>
      <c r="H4503" s="3">
        <v>0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21</v>
      </c>
      <c r="K4503" s="3">
        <f>I4503-J4503</f>
        <v>3</v>
      </c>
      <c r="L4503" s="3" t="str">
        <f>IF(K4503&lt;-5,"CRÍTICO",IF(K4503&lt;0,"ATENÇÃO",IF(K4503&lt;=5,"OPORTUNO","MUITO BOM")))</f>
        <v>OPORTUNO</v>
      </c>
      <c r="M4503" s="3">
        <v>22</v>
      </c>
      <c r="N4503" s="3">
        <v>98.32</v>
      </c>
      <c r="O4503" s="3">
        <v>26.858513189448441</v>
      </c>
    </row>
    <row r="4504" spans="1:15" hidden="1" x14ac:dyDescent="0.25">
      <c r="A4504" s="5">
        <v>46146</v>
      </c>
      <c r="B4504" s="6" t="s">
        <v>63</v>
      </c>
      <c r="C4504" s="3" t="s">
        <v>23</v>
      </c>
      <c r="D4504" s="3">
        <v>27</v>
      </c>
      <c r="E4504" s="3">
        <v>23</v>
      </c>
      <c r="F4504" s="3">
        <v>14.07</v>
      </c>
      <c r="G4504" s="3">
        <v>4</v>
      </c>
      <c r="H4504" s="3">
        <v>0</v>
      </c>
      <c r="I4504" s="3">
        <f>E4504+G4504+H4504</f>
        <v>27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23</v>
      </c>
      <c r="K4504" s="3">
        <f>I4504-J4504</f>
        <v>4</v>
      </c>
      <c r="L4504" s="3" t="str">
        <f>IF(K4504&lt;-5,"CRÍTICO",IF(K4504&lt;0,"ATENÇÃO",IF(K4504&lt;=5,"BOM","EXCELENTE")))</f>
        <v>BOM</v>
      </c>
      <c r="M4504" s="3">
        <v>20</v>
      </c>
      <c r="N4504" s="3">
        <v>98</v>
      </c>
      <c r="O4504" s="3">
        <v>20.73490813648294</v>
      </c>
    </row>
    <row r="4505" spans="1:15" hidden="1" x14ac:dyDescent="0.25">
      <c r="A4505" s="11">
        <v>46167</v>
      </c>
      <c r="B4505" t="s">
        <v>22</v>
      </c>
      <c r="C4505" t="s">
        <v>23</v>
      </c>
      <c r="D4505" s="3">
        <v>25</v>
      </c>
      <c r="E4505" s="3">
        <v>25</v>
      </c>
      <c r="F4505" s="3">
        <v>12.33</v>
      </c>
      <c r="G4505" s="3">
        <v>0</v>
      </c>
      <c r="H4505" s="3">
        <v>0</v>
      </c>
      <c r="I4505" s="3">
        <v>0</v>
      </c>
      <c r="J4505" s="3">
        <v>0</v>
      </c>
      <c r="K4505" s="3">
        <v>0</v>
      </c>
      <c r="L4505" s="3" t="str">
        <f>IF(K4505&lt;-5,"CRÍTICO",IF(K4505&lt;0,"ATENÇÃO",IF(K4505&lt;=5,"OPORTUNO","MUITO BOM")))</f>
        <v>OPORTUNO</v>
      </c>
      <c r="M4505" s="3">
        <v>24</v>
      </c>
      <c r="N4505" s="3">
        <v>99.06</v>
      </c>
      <c r="O4505" s="3">
        <v>19.417475728155338</v>
      </c>
    </row>
    <row r="4506" spans="1:15" hidden="1" x14ac:dyDescent="0.25">
      <c r="A4506" s="5">
        <v>46147</v>
      </c>
      <c r="B4506" s="6" t="s">
        <v>63</v>
      </c>
      <c r="C4506" s="3" t="s">
        <v>23</v>
      </c>
      <c r="D4506" s="3">
        <v>31</v>
      </c>
      <c r="E4506" s="3">
        <v>26</v>
      </c>
      <c r="F4506" s="3">
        <v>13.5</v>
      </c>
      <c r="G4506" s="3">
        <v>10</v>
      </c>
      <c r="H4506" s="3">
        <v>0</v>
      </c>
      <c r="I4506" s="3">
        <f>E4506+G4506+H4506</f>
        <v>36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23</v>
      </c>
      <c r="K4506" s="3">
        <f>I4506-J4506</f>
        <v>13</v>
      </c>
      <c r="L4506" s="3" t="str">
        <f>IF(K4506&lt;-5,"CRÍTICO",IF(K4506&lt;0,"ATENÇÃO",IF(K4506&lt;=5,"BOM","EXCELENTE")))</f>
        <v>EXCELENTE</v>
      </c>
      <c r="M4506" s="3">
        <v>21</v>
      </c>
      <c r="N4506" s="3">
        <v>98</v>
      </c>
      <c r="O4506" s="3">
        <v>20.73490813648294</v>
      </c>
    </row>
    <row r="4507" spans="1:15" hidden="1" x14ac:dyDescent="0.25">
      <c r="A4507" s="5">
        <v>46148</v>
      </c>
      <c r="B4507" s="6" t="s">
        <v>63</v>
      </c>
      <c r="C4507" s="3" t="s">
        <v>23</v>
      </c>
      <c r="D4507" s="3">
        <v>34</v>
      </c>
      <c r="E4507" s="3">
        <v>30</v>
      </c>
      <c r="F4507" s="3">
        <v>13.25</v>
      </c>
      <c r="G4507" s="3">
        <v>5</v>
      </c>
      <c r="H4507" s="3">
        <v>0</v>
      </c>
      <c r="I4507" s="3">
        <f>E4507+G4507+H4507</f>
        <v>35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23</v>
      </c>
      <c r="K4507" s="3">
        <f>I4507-J4507</f>
        <v>12</v>
      </c>
      <c r="L4507" s="3" t="str">
        <f>IF(K4507&lt;-5,"CRÍTICO",IF(K4507&lt;0,"ATENÇÃO",IF(K4507&lt;=5,"BOM","EXCELENTE")))</f>
        <v>EXCELENTE</v>
      </c>
      <c r="M4507" s="3">
        <v>23</v>
      </c>
      <c r="N4507" s="3">
        <v>98</v>
      </c>
      <c r="O4507" s="3">
        <v>20.73490813648294</v>
      </c>
    </row>
    <row r="4508" spans="1:15" hidden="1" x14ac:dyDescent="0.25">
      <c r="A4508" s="11">
        <v>46168</v>
      </c>
      <c r="B4508" t="s">
        <v>63</v>
      </c>
      <c r="C4508" t="s">
        <v>23</v>
      </c>
      <c r="D4508" s="3">
        <v>29</v>
      </c>
      <c r="E4508" s="3">
        <v>26</v>
      </c>
      <c r="F4508" s="3">
        <v>15.57</v>
      </c>
      <c r="G4508" s="3">
        <v>4</v>
      </c>
      <c r="M4508" s="3">
        <v>22</v>
      </c>
      <c r="N4508" s="3">
        <v>98</v>
      </c>
      <c r="O4508" s="3">
        <v>22.57217847769029</v>
      </c>
    </row>
    <row r="4509" spans="1:15" hidden="1" x14ac:dyDescent="0.25">
      <c r="A4509" s="11">
        <v>46140</v>
      </c>
      <c r="B4509" t="s">
        <v>64</v>
      </c>
      <c r="C4509" t="s">
        <v>23</v>
      </c>
      <c r="D4509" s="3">
        <v>25</v>
      </c>
      <c r="E4509" s="3">
        <v>25</v>
      </c>
      <c r="F4509" s="3">
        <v>20.47</v>
      </c>
      <c r="G4509" s="3">
        <v>0</v>
      </c>
      <c r="H4509" s="3">
        <v>0</v>
      </c>
      <c r="I4509" s="3">
        <f t="shared" ref="I4509:I4514" si="555">E4509+G4509+H4509</f>
        <v>25</v>
      </c>
      <c r="J4509" s="3">
        <f t="shared" ref="J4509:J4514" si="556"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22</v>
      </c>
      <c r="K4509" s="3">
        <f t="shared" ref="K4509:K4514" si="557">I4509-J4509</f>
        <v>3</v>
      </c>
      <c r="L4509" s="3" t="str">
        <f>IF(K4509&lt;-5,"CRÍTICO",IF(K4509&lt;0,"ATENÇÃO",IF(K4509&lt;=5,"OPORTUNO","MUITO BOM")))</f>
        <v>OPORTUNO</v>
      </c>
      <c r="M4509" s="3">
        <v>23</v>
      </c>
      <c r="N4509" s="3">
        <v>100</v>
      </c>
      <c r="O4509" s="3">
        <v>26.36986301369863</v>
      </c>
    </row>
    <row r="4510" spans="1:15" hidden="1" x14ac:dyDescent="0.25">
      <c r="A4510" s="11">
        <v>46141</v>
      </c>
      <c r="B4510" t="s">
        <v>64</v>
      </c>
      <c r="C4510" t="s">
        <v>23</v>
      </c>
      <c r="D4510" s="3">
        <v>15</v>
      </c>
      <c r="E4510" s="3">
        <v>14</v>
      </c>
      <c r="F4510" s="3">
        <v>23.58</v>
      </c>
      <c r="G4510" s="3">
        <v>0</v>
      </c>
      <c r="H4510" s="3">
        <v>0</v>
      </c>
      <c r="I4510" s="3">
        <f t="shared" si="555"/>
        <v>14</v>
      </c>
      <c r="J4510" s="3">
        <f t="shared" si="556"/>
        <v>23</v>
      </c>
      <c r="K4510" s="3">
        <f t="shared" si="557"/>
        <v>-9</v>
      </c>
      <c r="L4510" s="3" t="str">
        <f>IF(K4510&lt;-5,"CRÍTICO",IF(K4510&lt;0,"ATENÇÃO",IF(K4510&lt;=5,"OPORTUNO","MUITO BOM")))</f>
        <v>CRÍTICO</v>
      </c>
      <c r="M4510" s="3">
        <v>13</v>
      </c>
      <c r="N4510" s="3">
        <v>100</v>
      </c>
      <c r="O4510" s="3">
        <v>26.36986301369863</v>
      </c>
    </row>
    <row r="4511" spans="1:15" hidden="1" x14ac:dyDescent="0.25">
      <c r="A4511" s="11">
        <v>46142</v>
      </c>
      <c r="B4511" t="s">
        <v>64</v>
      </c>
      <c r="C4511" t="s">
        <v>23</v>
      </c>
      <c r="D4511" s="3">
        <v>10</v>
      </c>
      <c r="E4511" s="3">
        <v>10</v>
      </c>
      <c r="F4511" s="3">
        <v>23.27</v>
      </c>
      <c r="G4511" s="3">
        <v>0</v>
      </c>
      <c r="H4511" s="3">
        <v>0</v>
      </c>
      <c r="I4511" s="3">
        <f t="shared" si="555"/>
        <v>10</v>
      </c>
      <c r="J4511" s="3">
        <f t="shared" si="556"/>
        <v>21</v>
      </c>
      <c r="K4511" s="3">
        <f t="shared" si="557"/>
        <v>-11</v>
      </c>
      <c r="L4511" s="3" t="str">
        <f>IF(K4511&lt;-5,"CRÍTICO",IF(K4511&lt;0,"ATENÇÃO",IF(K4511&lt;=5,"OPORTUNO","MUITO BOM")))</f>
        <v>CRÍTICO</v>
      </c>
      <c r="M4511" s="3">
        <v>10</v>
      </c>
      <c r="N4511" s="3">
        <v>100</v>
      </c>
      <c r="O4511" s="3">
        <v>26.36986301369863</v>
      </c>
    </row>
    <row r="4512" spans="1:15" hidden="1" x14ac:dyDescent="0.25">
      <c r="A4512" s="5">
        <v>46146</v>
      </c>
      <c r="B4512" s="6" t="s">
        <v>64</v>
      </c>
      <c r="C4512" s="3" t="s">
        <v>23</v>
      </c>
      <c r="D4512" s="3">
        <v>20</v>
      </c>
      <c r="E4512" s="3">
        <v>20</v>
      </c>
      <c r="F4512" s="3">
        <v>25.29</v>
      </c>
      <c r="G4512" s="3">
        <v>0</v>
      </c>
      <c r="H4512" s="3">
        <v>0</v>
      </c>
      <c r="I4512" s="3">
        <f t="shared" si="555"/>
        <v>20</v>
      </c>
      <c r="J4512" s="3">
        <f t="shared" si="556"/>
        <v>23</v>
      </c>
      <c r="K4512" s="3">
        <f t="shared" si="557"/>
        <v>-3</v>
      </c>
      <c r="L4512" s="3" t="str">
        <f>IF(K4512&lt;-5,"CRÍTICO",IF(K4512&lt;0,"ATENÇÃO",IF(K4512&lt;=5,"BOM","EXCELENTE")))</f>
        <v>ATENÇÃO</v>
      </c>
      <c r="M4512" s="3">
        <v>20</v>
      </c>
      <c r="N4512" s="3">
        <v>100</v>
      </c>
      <c r="O4512" s="3">
        <v>18</v>
      </c>
    </row>
    <row r="4513" spans="1:16" hidden="1" x14ac:dyDescent="0.25">
      <c r="A4513" s="5">
        <v>46147</v>
      </c>
      <c r="B4513" s="6" t="s">
        <v>64</v>
      </c>
      <c r="C4513" s="3" t="s">
        <v>23</v>
      </c>
      <c r="D4513" s="3">
        <v>14</v>
      </c>
      <c r="E4513" s="3">
        <v>14</v>
      </c>
      <c r="F4513" s="3">
        <v>35.53</v>
      </c>
      <c r="G4513" s="3">
        <v>3</v>
      </c>
      <c r="H4513" s="3">
        <v>0</v>
      </c>
      <c r="I4513" s="3">
        <f t="shared" si="555"/>
        <v>17</v>
      </c>
      <c r="J4513" s="3">
        <f t="shared" si="556"/>
        <v>23</v>
      </c>
      <c r="K4513" s="3">
        <f t="shared" si="557"/>
        <v>-6</v>
      </c>
      <c r="L4513" s="3" t="str">
        <f>IF(K4513&lt;-5,"CRÍTICO",IF(K4513&lt;0,"ATENÇÃO",IF(K4513&lt;=5,"BOM","EXCELENTE")))</f>
        <v>CRÍTICO</v>
      </c>
      <c r="M4513" s="3">
        <v>10</v>
      </c>
      <c r="N4513" s="3">
        <v>100</v>
      </c>
      <c r="O4513" s="3">
        <v>18</v>
      </c>
    </row>
    <row r="4514" spans="1:16" hidden="1" x14ac:dyDescent="0.25">
      <c r="A4514" s="5">
        <v>46148</v>
      </c>
      <c r="B4514" s="6" t="s">
        <v>64</v>
      </c>
      <c r="C4514" s="3" t="s">
        <v>23</v>
      </c>
      <c r="D4514" s="3">
        <v>19</v>
      </c>
      <c r="E4514" s="3">
        <v>18</v>
      </c>
      <c r="F4514" s="3">
        <v>26.43</v>
      </c>
      <c r="G4514" s="3">
        <v>1</v>
      </c>
      <c r="H4514" s="3">
        <v>0</v>
      </c>
      <c r="I4514" s="3">
        <f t="shared" si="555"/>
        <v>19</v>
      </c>
      <c r="J4514" s="3">
        <f t="shared" si="556"/>
        <v>23</v>
      </c>
      <c r="K4514" s="3">
        <f t="shared" si="557"/>
        <v>-4</v>
      </c>
      <c r="L4514" s="3" t="str">
        <f>IF(K4514&lt;-5,"CRÍTICO",IF(K4514&lt;0,"ATENÇÃO",IF(K4514&lt;=5,"BOM","EXCELENTE")))</f>
        <v>ATENÇÃO</v>
      </c>
      <c r="M4514" s="3">
        <v>18</v>
      </c>
      <c r="N4514" s="3">
        <v>100</v>
      </c>
      <c r="O4514" s="3">
        <v>18</v>
      </c>
    </row>
    <row r="4515" spans="1:16" hidden="1" x14ac:dyDescent="0.25">
      <c r="A4515" s="11">
        <v>46168</v>
      </c>
      <c r="B4515" t="s">
        <v>64</v>
      </c>
      <c r="C4515" t="s">
        <v>23</v>
      </c>
      <c r="D4515" s="3">
        <v>15</v>
      </c>
      <c r="E4515" s="3">
        <v>15</v>
      </c>
      <c r="F4515" s="3">
        <v>37</v>
      </c>
      <c r="G4515" s="3">
        <v>0</v>
      </c>
      <c r="M4515" s="3">
        <v>14</v>
      </c>
      <c r="N4515" s="3">
        <v>100</v>
      </c>
      <c r="O4515" s="3">
        <v>19.35483870967742</v>
      </c>
    </row>
    <row r="4516" spans="1:16" hidden="1" x14ac:dyDescent="0.25">
      <c r="A4516" s="11">
        <v>46133</v>
      </c>
      <c r="B4516" t="s">
        <v>22</v>
      </c>
      <c r="C4516" t="s">
        <v>23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99.28</v>
      </c>
      <c r="O4516">
        <v>27.689243027888441</v>
      </c>
      <c r="P4516"/>
    </row>
    <row r="4517" spans="1:16" hidden="1" x14ac:dyDescent="0.25">
      <c r="A4517" s="11">
        <v>46133</v>
      </c>
      <c r="B4517" t="s">
        <v>47</v>
      </c>
      <c r="C4517" t="s">
        <v>48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100</v>
      </c>
      <c r="O4517">
        <v>32.764505119453922</v>
      </c>
      <c r="P4517"/>
    </row>
    <row r="4518" spans="1:16" hidden="1" x14ac:dyDescent="0.25">
      <c r="A4518" s="11">
        <v>46133</v>
      </c>
      <c r="B4518" t="s">
        <v>31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98.66</v>
      </c>
      <c r="O4518">
        <v>35.416666666666671</v>
      </c>
      <c r="P4518"/>
    </row>
    <row r="4519" spans="1:16" hidden="1" x14ac:dyDescent="0.25">
      <c r="A4519" s="11">
        <v>46133</v>
      </c>
      <c r="B4519" t="s">
        <v>59</v>
      </c>
      <c r="C4519" t="s">
        <v>23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99.32</v>
      </c>
      <c r="O4519">
        <v>30.648330058939099</v>
      </c>
      <c r="P4519"/>
    </row>
    <row r="4520" spans="1:16" hidden="1" x14ac:dyDescent="0.25">
      <c r="A4520" s="11">
        <v>46133</v>
      </c>
      <c r="B4520" t="s">
        <v>33</v>
      </c>
      <c r="C4520" t="s">
        <v>32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100</v>
      </c>
      <c r="O4520">
        <v>27.803738317757009</v>
      </c>
      <c r="P4520"/>
    </row>
    <row r="4521" spans="1:16" hidden="1" x14ac:dyDescent="0.25">
      <c r="A4521" s="11">
        <v>46133</v>
      </c>
      <c r="B4521" t="s">
        <v>15</v>
      </c>
      <c r="C4521" t="s">
        <v>16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96.74</v>
      </c>
      <c r="O4521">
        <v>28.67647058823529</v>
      </c>
      <c r="P4521"/>
    </row>
    <row r="4522" spans="1:16" hidden="1" x14ac:dyDescent="0.25">
      <c r="A4522" s="11">
        <v>46133</v>
      </c>
      <c r="B4522" t="s">
        <v>49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98.82</v>
      </c>
      <c r="O4522">
        <v>30.741410488245929</v>
      </c>
      <c r="P4522"/>
    </row>
    <row r="4523" spans="1:16" hidden="1" x14ac:dyDescent="0.25">
      <c r="A4523" s="11">
        <v>46133</v>
      </c>
      <c r="B4523" t="s">
        <v>50</v>
      </c>
      <c r="C4523" t="s">
        <v>48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98.2</v>
      </c>
      <c r="O4523">
        <v>27.170868347338931</v>
      </c>
      <c r="P4523"/>
    </row>
    <row r="4524" spans="1:16" hidden="1" x14ac:dyDescent="0.25">
      <c r="A4524" s="11">
        <v>46133</v>
      </c>
      <c r="B4524" t="s">
        <v>17</v>
      </c>
      <c r="C4524" t="s">
        <v>16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100</v>
      </c>
      <c r="O4524">
        <v>23.134328358208951</v>
      </c>
      <c r="P4524"/>
    </row>
    <row r="4525" spans="1:16" hidden="1" x14ac:dyDescent="0.25">
      <c r="A4525" s="11">
        <v>46133</v>
      </c>
      <c r="B4525" t="s">
        <v>60</v>
      </c>
      <c r="C4525" t="s">
        <v>23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96.3</v>
      </c>
      <c r="O4525">
        <v>32.219570405727922</v>
      </c>
      <c r="P4525"/>
    </row>
    <row r="4526" spans="1:16" hidden="1" x14ac:dyDescent="0.25">
      <c r="A4526" s="11">
        <v>46133</v>
      </c>
      <c r="B4526" t="s">
        <v>34</v>
      </c>
      <c r="C4526" t="s">
        <v>32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93.75</v>
      </c>
      <c r="O4526">
        <v>26.819923371647509</v>
      </c>
      <c r="P4526"/>
    </row>
    <row r="4527" spans="1:16" hidden="1" x14ac:dyDescent="0.25">
      <c r="A4527" s="11">
        <v>46133</v>
      </c>
      <c r="B4527" t="s">
        <v>51</v>
      </c>
      <c r="C4527" t="s">
        <v>48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97.86</v>
      </c>
      <c r="O4527">
        <v>31.018518518518519</v>
      </c>
      <c r="P4527"/>
    </row>
    <row r="4528" spans="1:16" hidden="1" x14ac:dyDescent="0.25">
      <c r="A4528" s="11">
        <v>46133</v>
      </c>
      <c r="B4528" t="s">
        <v>61</v>
      </c>
      <c r="C4528" t="s">
        <v>23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36.594202898550733</v>
      </c>
      <c r="P4528"/>
    </row>
    <row r="4529" spans="1:15" customFormat="1" hidden="1" x14ac:dyDescent="0.25">
      <c r="A4529" s="11">
        <v>46133</v>
      </c>
      <c r="B4529" t="s">
        <v>35</v>
      </c>
      <c r="C4529" t="s">
        <v>32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s="3"/>
      <c r="M4529">
        <v>0</v>
      </c>
      <c r="N4529">
        <v>100</v>
      </c>
      <c r="O4529">
        <v>38.653846153846153</v>
      </c>
    </row>
    <row r="4530" spans="1:15" customFormat="1" hidden="1" x14ac:dyDescent="0.25">
      <c r="A4530" s="11">
        <v>46133</v>
      </c>
      <c r="B4530" t="s">
        <v>18</v>
      </c>
      <c r="C4530" t="s">
        <v>16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s="3"/>
      <c r="M4530">
        <v>0</v>
      </c>
      <c r="N4530">
        <v>100</v>
      </c>
      <c r="O4530">
        <v>27.368421052631579</v>
      </c>
    </row>
    <row r="4531" spans="1:15" customFormat="1" hidden="1" x14ac:dyDescent="0.25">
      <c r="A4531" s="11">
        <v>46133</v>
      </c>
      <c r="B4531" t="s">
        <v>52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s="3"/>
      <c r="M4531">
        <v>0</v>
      </c>
      <c r="N4531">
        <v>97.83</v>
      </c>
      <c r="O4531">
        <v>28.35164835164835</v>
      </c>
    </row>
    <row r="4532" spans="1:15" customFormat="1" hidden="1" x14ac:dyDescent="0.25">
      <c r="A4532" s="11">
        <v>46133</v>
      </c>
      <c r="B4532" t="s">
        <v>36</v>
      </c>
      <c r="C4532" t="s">
        <v>32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s="3"/>
      <c r="M4532">
        <v>0</v>
      </c>
      <c r="N4532">
        <v>99.26</v>
      </c>
      <c r="O4532">
        <v>29.766536964980549</v>
      </c>
    </row>
    <row r="4533" spans="1:15" customFormat="1" hidden="1" x14ac:dyDescent="0.25">
      <c r="A4533" s="11">
        <v>46133</v>
      </c>
      <c r="B4533" t="s">
        <v>53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s="3"/>
      <c r="M4533">
        <v>0</v>
      </c>
      <c r="N4533">
        <v>99.19</v>
      </c>
      <c r="O4533">
        <v>29.462365591397852</v>
      </c>
    </row>
    <row r="4534" spans="1:15" customFormat="1" hidden="1" x14ac:dyDescent="0.25">
      <c r="A4534" s="11">
        <v>46133</v>
      </c>
      <c r="B4534" t="s">
        <v>54</v>
      </c>
      <c r="C4534" t="s">
        <v>48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s="3"/>
      <c r="M4534">
        <v>0</v>
      </c>
      <c r="N4534">
        <v>100</v>
      </c>
      <c r="O4534">
        <v>28.921568627450981</v>
      </c>
    </row>
    <row r="4535" spans="1:15" customFormat="1" hidden="1" x14ac:dyDescent="0.25">
      <c r="A4535" s="11">
        <v>46133</v>
      </c>
      <c r="B4535" t="s">
        <v>37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s="3"/>
      <c r="M4535">
        <v>0</v>
      </c>
      <c r="N4535">
        <v>99.57</v>
      </c>
      <c r="O4535">
        <v>30.635838150289018</v>
      </c>
    </row>
    <row r="4536" spans="1:15" customFormat="1" hidden="1" x14ac:dyDescent="0.25">
      <c r="A4536" s="11">
        <v>46133</v>
      </c>
      <c r="B4536" t="s">
        <v>38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s="3"/>
      <c r="M4536">
        <v>0</v>
      </c>
      <c r="N4536">
        <v>95.65</v>
      </c>
      <c r="O4536">
        <v>32.432432432432442</v>
      </c>
    </row>
    <row r="4537" spans="1:15" customFormat="1" hidden="1" x14ac:dyDescent="0.25">
      <c r="A4537" s="11">
        <v>46133</v>
      </c>
      <c r="B4537" t="s">
        <v>55</v>
      </c>
      <c r="C4537" t="s">
        <v>48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s="3"/>
      <c r="M4537">
        <v>0</v>
      </c>
      <c r="N4537">
        <v>98.81</v>
      </c>
      <c r="O4537">
        <v>26.256983240223459</v>
      </c>
    </row>
    <row r="4538" spans="1:15" customFormat="1" hidden="1" x14ac:dyDescent="0.25">
      <c r="A4538" s="11">
        <v>46133</v>
      </c>
      <c r="B4538" t="s">
        <v>39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s="3"/>
      <c r="M4538">
        <v>0</v>
      </c>
      <c r="N4538">
        <v>0</v>
      </c>
      <c r="O4538">
        <v>0</v>
      </c>
    </row>
    <row r="4539" spans="1:15" customFormat="1" hidden="1" x14ac:dyDescent="0.25">
      <c r="A4539" s="11">
        <v>46133</v>
      </c>
      <c r="B4539" t="s">
        <v>25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s="3"/>
      <c r="M4539">
        <v>0</v>
      </c>
      <c r="N4539">
        <v>97.17</v>
      </c>
      <c r="O4539">
        <v>28.81844380403458</v>
      </c>
    </row>
    <row r="4540" spans="1:15" customFormat="1" hidden="1" x14ac:dyDescent="0.25">
      <c r="A4540" s="11">
        <v>46133</v>
      </c>
      <c r="B4540" t="s">
        <v>40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s="3"/>
      <c r="M4540">
        <v>0</v>
      </c>
      <c r="N4540">
        <v>96.81</v>
      </c>
      <c r="O4540">
        <v>48.018648018648022</v>
      </c>
    </row>
    <row r="4541" spans="1:15" customFormat="1" hidden="1" x14ac:dyDescent="0.25">
      <c r="A4541" s="11">
        <v>46133</v>
      </c>
      <c r="B4541" t="s">
        <v>27</v>
      </c>
      <c r="C4541" t="s">
        <v>26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s="3"/>
      <c r="M4541">
        <v>0</v>
      </c>
      <c r="N4541">
        <v>98.15</v>
      </c>
      <c r="O4541">
        <v>27.1551724137931</v>
      </c>
    </row>
    <row r="4542" spans="1:15" customFormat="1" hidden="1" x14ac:dyDescent="0.25">
      <c r="A4542" s="11">
        <v>46133</v>
      </c>
      <c r="B4542" t="s">
        <v>41</v>
      </c>
      <c r="C4542" t="s">
        <v>32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s="3"/>
      <c r="M4542">
        <v>0</v>
      </c>
      <c r="N4542">
        <v>99.15</v>
      </c>
      <c r="O4542">
        <v>27.586206896551719</v>
      </c>
    </row>
    <row r="4543" spans="1:15" customFormat="1" hidden="1" x14ac:dyDescent="0.25">
      <c r="A4543" s="11">
        <v>46133</v>
      </c>
      <c r="B4543" t="s">
        <v>56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s="3"/>
      <c r="M4543">
        <v>0</v>
      </c>
      <c r="N4543">
        <v>99.17</v>
      </c>
      <c r="O4543">
        <v>29.75206611570248</v>
      </c>
    </row>
    <row r="4544" spans="1:15" customFormat="1" hidden="1" x14ac:dyDescent="0.25">
      <c r="A4544" s="11">
        <v>46133</v>
      </c>
      <c r="B4544" t="s">
        <v>57</v>
      </c>
      <c r="C4544" t="s">
        <v>48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s="3"/>
      <c r="M4544">
        <v>0</v>
      </c>
      <c r="N4544">
        <v>98.73</v>
      </c>
      <c r="O4544">
        <v>28.961748633879779</v>
      </c>
    </row>
    <row r="4545" spans="1:15" customFormat="1" hidden="1" x14ac:dyDescent="0.25">
      <c r="A4545" s="11">
        <v>46133</v>
      </c>
      <c r="B4545" t="s">
        <v>42</v>
      </c>
      <c r="C4545" t="s">
        <v>32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s="3"/>
      <c r="M4545">
        <v>0</v>
      </c>
      <c r="N4545">
        <v>88.68</v>
      </c>
      <c r="O4545">
        <v>22.03389830508474</v>
      </c>
    </row>
    <row r="4546" spans="1:15" customFormat="1" hidden="1" x14ac:dyDescent="0.25">
      <c r="A4546" s="11">
        <v>46133</v>
      </c>
      <c r="B4546" t="s">
        <v>62</v>
      </c>
      <c r="C4546" t="s">
        <v>23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s="3"/>
      <c r="M4546">
        <v>0</v>
      </c>
      <c r="N4546">
        <v>97.37</v>
      </c>
      <c r="O4546">
        <v>25.76530612244898</v>
      </c>
    </row>
    <row r="4547" spans="1:15" customFormat="1" hidden="1" x14ac:dyDescent="0.25">
      <c r="A4547" s="11">
        <v>46133</v>
      </c>
      <c r="B4547" t="s">
        <v>19</v>
      </c>
      <c r="C4547" t="s">
        <v>16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s="3"/>
      <c r="M4547">
        <v>0</v>
      </c>
      <c r="N4547">
        <v>100</v>
      </c>
      <c r="O4547">
        <v>25</v>
      </c>
    </row>
    <row r="4548" spans="1:15" customFormat="1" hidden="1" x14ac:dyDescent="0.25">
      <c r="A4548" s="11">
        <v>46133</v>
      </c>
      <c r="B4548" t="s">
        <v>43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s="3"/>
      <c r="M4548">
        <v>0</v>
      </c>
      <c r="N4548">
        <v>100</v>
      </c>
      <c r="O4548">
        <v>23.9870340356564</v>
      </c>
    </row>
    <row r="4549" spans="1:15" customFormat="1" hidden="1" x14ac:dyDescent="0.25">
      <c r="A4549" s="11">
        <v>46133</v>
      </c>
      <c r="B4549" t="s">
        <v>44</v>
      </c>
      <c r="C4549" t="s">
        <v>32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s="3"/>
      <c r="M4549">
        <v>0</v>
      </c>
      <c r="N4549">
        <v>95.49</v>
      </c>
      <c r="O4549">
        <v>28.370221327967808</v>
      </c>
    </row>
    <row r="4550" spans="1:15" customFormat="1" hidden="1" x14ac:dyDescent="0.25">
      <c r="A4550" s="11">
        <v>46133</v>
      </c>
      <c r="B4550" t="s">
        <v>20</v>
      </c>
      <c r="C4550" t="s">
        <v>16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s="3"/>
      <c r="M4550">
        <v>0</v>
      </c>
      <c r="N4550">
        <v>100</v>
      </c>
      <c r="O4550">
        <v>23.77622377622378</v>
      </c>
    </row>
    <row r="4551" spans="1:15" customFormat="1" hidden="1" x14ac:dyDescent="0.25">
      <c r="A4551" s="11">
        <v>46133</v>
      </c>
      <c r="B4551" t="s">
        <v>28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s="3"/>
      <c r="M4551">
        <v>0</v>
      </c>
      <c r="N4551">
        <v>96.15</v>
      </c>
      <c r="O4551">
        <v>24.045801526717561</v>
      </c>
    </row>
    <row r="4552" spans="1:15" customFormat="1" hidden="1" x14ac:dyDescent="0.25">
      <c r="A4552" s="11">
        <v>46133</v>
      </c>
      <c r="B4552" t="s">
        <v>58</v>
      </c>
      <c r="C4552" t="s">
        <v>48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s="3"/>
      <c r="M4552">
        <v>0</v>
      </c>
      <c r="N4552">
        <v>99.02</v>
      </c>
      <c r="O4552">
        <v>34.797297297297298</v>
      </c>
    </row>
    <row r="4553" spans="1:15" customFormat="1" hidden="1" x14ac:dyDescent="0.25">
      <c r="A4553" s="11">
        <v>46133</v>
      </c>
      <c r="B4553" t="s">
        <v>29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s="3"/>
      <c r="M4553">
        <v>0</v>
      </c>
      <c r="N4553">
        <v>98.84</v>
      </c>
      <c r="O4553">
        <v>31.868131868131869</v>
      </c>
    </row>
    <row r="4554" spans="1:15" customFormat="1" hidden="1" x14ac:dyDescent="0.25">
      <c r="A4554" s="11">
        <v>46133</v>
      </c>
      <c r="B4554" t="s">
        <v>30</v>
      </c>
      <c r="C4554" t="s">
        <v>26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s="3"/>
      <c r="M4554">
        <v>0</v>
      </c>
      <c r="N4554">
        <v>100</v>
      </c>
      <c r="O4554">
        <v>34.666666666666671</v>
      </c>
    </row>
    <row r="4555" spans="1:15" customFormat="1" hidden="1" x14ac:dyDescent="0.25">
      <c r="A4555" s="11">
        <v>46133</v>
      </c>
      <c r="B4555" t="s">
        <v>21</v>
      </c>
      <c r="C4555" t="s">
        <v>16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s="3"/>
      <c r="M4555">
        <v>0</v>
      </c>
      <c r="N4555">
        <v>94.12</v>
      </c>
      <c r="O4555">
        <v>32.799999999999997</v>
      </c>
    </row>
    <row r="4556" spans="1:15" customFormat="1" hidden="1" x14ac:dyDescent="0.25">
      <c r="A4556" s="11">
        <v>46133</v>
      </c>
      <c r="B4556" t="s">
        <v>63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s="3"/>
      <c r="M4556">
        <v>0</v>
      </c>
      <c r="N4556">
        <v>98.32</v>
      </c>
      <c r="O4556">
        <v>26.858513189448441</v>
      </c>
    </row>
    <row r="4557" spans="1:15" customFormat="1" hidden="1" x14ac:dyDescent="0.25">
      <c r="A4557" s="11">
        <v>46133</v>
      </c>
      <c r="B4557" t="s">
        <v>45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s="3"/>
      <c r="M4557">
        <v>0</v>
      </c>
      <c r="N4557">
        <v>100</v>
      </c>
      <c r="O4557">
        <v>31.135531135531139</v>
      </c>
    </row>
    <row r="4558" spans="1:15" customFormat="1" hidden="1" x14ac:dyDescent="0.25">
      <c r="A4558" s="11">
        <v>46133</v>
      </c>
      <c r="B4558" t="s">
        <v>64</v>
      </c>
      <c r="C4558" t="s">
        <v>23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s="3"/>
      <c r="M4558">
        <v>0</v>
      </c>
      <c r="N4558">
        <v>100</v>
      </c>
      <c r="O4558">
        <v>26.36986301369863</v>
      </c>
    </row>
    <row r="4559" spans="1:15" customFormat="1" hidden="1" x14ac:dyDescent="0.25">
      <c r="A4559" s="11">
        <v>46133</v>
      </c>
      <c r="B4559" t="s">
        <v>46</v>
      </c>
      <c r="C4559" t="s">
        <v>32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s="3"/>
      <c r="M4559">
        <v>0</v>
      </c>
      <c r="N4559">
        <v>99.21</v>
      </c>
      <c r="O4559">
        <v>25.188916876574311</v>
      </c>
    </row>
    <row r="4560" spans="1:15" customFormat="1" hidden="1" x14ac:dyDescent="0.25">
      <c r="A4560" s="11">
        <v>46143</v>
      </c>
      <c r="B4560" t="s">
        <v>15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s="3"/>
      <c r="M4560">
        <v>0</v>
      </c>
      <c r="N4560">
        <v>99.25</v>
      </c>
      <c r="O4560">
        <v>20.408163265306118</v>
      </c>
    </row>
    <row r="4561" spans="1:16" hidden="1" x14ac:dyDescent="0.25">
      <c r="A4561" s="11">
        <v>46143</v>
      </c>
      <c r="B4561" t="s">
        <v>17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97.14</v>
      </c>
      <c r="O4561">
        <v>24.761904761904759</v>
      </c>
      <c r="P4561"/>
    </row>
    <row r="4562" spans="1:16" hidden="1" x14ac:dyDescent="0.25">
      <c r="A4562" s="11">
        <v>46143</v>
      </c>
      <c r="B4562" t="s">
        <v>18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28.94736842105263</v>
      </c>
      <c r="P4562"/>
    </row>
    <row r="4563" spans="1:16" hidden="1" x14ac:dyDescent="0.25">
      <c r="A4563" s="11">
        <v>46143</v>
      </c>
      <c r="B4563" t="s">
        <v>19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100</v>
      </c>
      <c r="O4563">
        <v>12.941176470588241</v>
      </c>
      <c r="P4563"/>
    </row>
    <row r="4564" spans="1:16" hidden="1" x14ac:dyDescent="0.25">
      <c r="A4564" s="11">
        <v>46143</v>
      </c>
      <c r="B4564" t="s">
        <v>20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100</v>
      </c>
      <c r="O4564">
        <v>17.1875</v>
      </c>
      <c r="P4564"/>
    </row>
    <row r="4565" spans="1:16" hidden="1" x14ac:dyDescent="0.25">
      <c r="A4565" s="11">
        <v>46143</v>
      </c>
      <c r="B4565" t="s">
        <v>21</v>
      </c>
      <c r="C4565" t="s">
        <v>16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98.36</v>
      </c>
      <c r="O4565">
        <v>21.917808219178081</v>
      </c>
      <c r="P4565"/>
    </row>
    <row r="4566" spans="1:16" hidden="1" x14ac:dyDescent="0.25">
      <c r="A4566" s="11">
        <v>46143</v>
      </c>
      <c r="B4566" t="s">
        <v>25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97.62</v>
      </c>
      <c r="O4566">
        <v>17.82477341389728</v>
      </c>
      <c r="P4566"/>
    </row>
    <row r="4567" spans="1:16" hidden="1" x14ac:dyDescent="0.25">
      <c r="A4567" s="11">
        <v>46143</v>
      </c>
      <c r="B4567" t="s">
        <v>27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19.072164948453612</v>
      </c>
      <c r="P4567"/>
    </row>
    <row r="4568" spans="1:16" hidden="1" x14ac:dyDescent="0.25">
      <c r="A4568" s="11">
        <v>46143</v>
      </c>
      <c r="B4568" t="s">
        <v>28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96.83</v>
      </c>
      <c r="O4568">
        <v>20.94017094017094</v>
      </c>
      <c r="P4568"/>
    </row>
    <row r="4569" spans="1:16" hidden="1" x14ac:dyDescent="0.25">
      <c r="A4569" s="11">
        <v>46143</v>
      </c>
      <c r="B4569" t="s">
        <v>29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M4569">
        <v>0</v>
      </c>
      <c r="N4569">
        <v>100</v>
      </c>
      <c r="O4569">
        <v>20.0836820083682</v>
      </c>
      <c r="P4569"/>
    </row>
    <row r="4570" spans="1:16" hidden="1" x14ac:dyDescent="0.25">
      <c r="A4570" s="11">
        <v>46143</v>
      </c>
      <c r="B4570" t="s">
        <v>30</v>
      </c>
      <c r="C4570" t="s">
        <v>26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M4570">
        <v>0</v>
      </c>
      <c r="N4570">
        <v>100</v>
      </c>
      <c r="O4570">
        <v>16.34241245136187</v>
      </c>
      <c r="P4570"/>
    </row>
    <row r="4571" spans="1:16" hidden="1" x14ac:dyDescent="0.25">
      <c r="A4571" s="11">
        <v>46143</v>
      </c>
      <c r="B4571" t="s">
        <v>31</v>
      </c>
      <c r="C4571" t="s">
        <v>32</v>
      </c>
      <c r="D4571" s="3">
        <v>0</v>
      </c>
      <c r="E4571" s="3">
        <v>0</v>
      </c>
      <c r="F4571" s="3">
        <v>0</v>
      </c>
      <c r="G4571" s="3">
        <v>0</v>
      </c>
      <c r="H4571" s="3">
        <v>0</v>
      </c>
      <c r="I4571" s="3">
        <v>0</v>
      </c>
      <c r="J4571" s="3">
        <v>0</v>
      </c>
      <c r="K4571" s="3">
        <v>0</v>
      </c>
      <c r="M4571" s="3">
        <v>0</v>
      </c>
      <c r="N4571" s="3">
        <v>100</v>
      </c>
      <c r="O4571" s="3">
        <v>0</v>
      </c>
    </row>
    <row r="4572" spans="1:16" hidden="1" x14ac:dyDescent="0.25">
      <c r="A4572" s="11">
        <v>46143</v>
      </c>
      <c r="B4572" t="s">
        <v>33</v>
      </c>
      <c r="C4572" t="s">
        <v>32</v>
      </c>
      <c r="D4572" s="3">
        <v>0</v>
      </c>
      <c r="E4572" s="3">
        <v>0</v>
      </c>
      <c r="F4572" s="3">
        <v>0</v>
      </c>
      <c r="G4572" s="3">
        <v>0</v>
      </c>
      <c r="H4572" s="3">
        <v>0</v>
      </c>
      <c r="I4572" s="3">
        <v>0</v>
      </c>
      <c r="J4572" s="3">
        <v>0</v>
      </c>
      <c r="K4572" s="3">
        <v>0</v>
      </c>
      <c r="M4572" s="3">
        <v>0</v>
      </c>
      <c r="N4572" s="3">
        <v>96.94</v>
      </c>
      <c r="O4572" s="3">
        <v>19.613259668508292</v>
      </c>
    </row>
    <row r="4573" spans="1:16" hidden="1" x14ac:dyDescent="0.25">
      <c r="A4573" s="11">
        <v>46143</v>
      </c>
      <c r="B4573" t="s">
        <v>34</v>
      </c>
      <c r="C4573" t="s">
        <v>32</v>
      </c>
      <c r="D4573" s="3">
        <v>0</v>
      </c>
      <c r="E4573" s="3">
        <v>0</v>
      </c>
      <c r="F4573" s="3">
        <v>0</v>
      </c>
      <c r="G4573" s="3">
        <v>0</v>
      </c>
      <c r="H4573" s="3">
        <v>0</v>
      </c>
      <c r="I4573" s="3">
        <v>0</v>
      </c>
      <c r="J4573" s="3">
        <v>0</v>
      </c>
      <c r="K4573" s="3">
        <v>0</v>
      </c>
      <c r="M4573" s="3">
        <v>0</v>
      </c>
      <c r="N4573" s="3">
        <v>92.81</v>
      </c>
      <c r="O4573" s="3">
        <v>25.477707006369432</v>
      </c>
    </row>
    <row r="4574" spans="1:16" hidden="1" x14ac:dyDescent="0.25">
      <c r="A4574" s="11">
        <v>46143</v>
      </c>
      <c r="B4574" t="s">
        <v>35</v>
      </c>
      <c r="C4574" t="s">
        <v>32</v>
      </c>
      <c r="D4574" s="3">
        <v>0</v>
      </c>
      <c r="E4574" s="3">
        <v>0</v>
      </c>
      <c r="F4574" s="3">
        <v>0</v>
      </c>
      <c r="G4574" s="3">
        <v>0</v>
      </c>
      <c r="H4574" s="3">
        <v>0</v>
      </c>
      <c r="I4574" s="3">
        <v>0</v>
      </c>
      <c r="J4574" s="3">
        <v>0</v>
      </c>
      <c r="K4574" s="3">
        <v>0</v>
      </c>
      <c r="M4574" s="3">
        <v>0</v>
      </c>
      <c r="N4574" s="3">
        <v>99.19</v>
      </c>
      <c r="O4574" s="3">
        <v>28.404669260700391</v>
      </c>
    </row>
    <row r="4575" spans="1:16" hidden="1" x14ac:dyDescent="0.25">
      <c r="A4575" s="11">
        <v>46143</v>
      </c>
      <c r="B4575" t="s">
        <v>36</v>
      </c>
      <c r="C4575" t="s">
        <v>32</v>
      </c>
      <c r="D4575" s="3">
        <v>0</v>
      </c>
      <c r="E4575" s="3">
        <v>0</v>
      </c>
      <c r="F4575" s="3">
        <v>0</v>
      </c>
      <c r="G4575" s="3">
        <v>0</v>
      </c>
      <c r="H4575" s="3">
        <v>0</v>
      </c>
      <c r="I4575" s="3">
        <v>0</v>
      </c>
      <c r="J4575" s="3">
        <v>0</v>
      </c>
      <c r="K4575" s="3">
        <v>0</v>
      </c>
      <c r="M4575" s="3">
        <v>0</v>
      </c>
      <c r="N4575" s="3">
        <v>100</v>
      </c>
      <c r="O4575" s="3">
        <v>13.51351351351351</v>
      </c>
    </row>
    <row r="4576" spans="1:16" hidden="1" x14ac:dyDescent="0.25">
      <c r="A4576" s="11">
        <v>46143</v>
      </c>
      <c r="B4576" t="s">
        <v>37</v>
      </c>
      <c r="C4576" t="s">
        <v>32</v>
      </c>
      <c r="D4576" s="3">
        <v>0</v>
      </c>
      <c r="E4576" s="3">
        <v>0</v>
      </c>
      <c r="F4576" s="3">
        <v>0</v>
      </c>
      <c r="G4576" s="3">
        <v>0</v>
      </c>
      <c r="H4576" s="3">
        <v>0</v>
      </c>
      <c r="I4576" s="3">
        <v>0</v>
      </c>
      <c r="J4576" s="3">
        <v>0</v>
      </c>
      <c r="K4576" s="3">
        <v>0</v>
      </c>
      <c r="M4576" s="3">
        <v>0</v>
      </c>
      <c r="N4576" s="3">
        <v>99</v>
      </c>
      <c r="O4576" s="3">
        <v>22.27414330218069</v>
      </c>
    </row>
    <row r="4577" spans="1:15" hidden="1" x14ac:dyDescent="0.25">
      <c r="A4577" s="11">
        <v>46143</v>
      </c>
      <c r="B4577" t="s">
        <v>38</v>
      </c>
      <c r="C4577" t="s">
        <v>32</v>
      </c>
      <c r="D4577" s="3">
        <v>0</v>
      </c>
      <c r="E4577" s="3">
        <v>0</v>
      </c>
      <c r="F4577" s="3">
        <v>0</v>
      </c>
      <c r="G4577" s="3">
        <v>0</v>
      </c>
      <c r="H4577" s="3">
        <v>0</v>
      </c>
      <c r="I4577" s="3">
        <v>0</v>
      </c>
      <c r="J4577" s="3">
        <v>0</v>
      </c>
      <c r="K4577" s="3">
        <v>0</v>
      </c>
      <c r="M4577" s="3">
        <v>0</v>
      </c>
      <c r="N4577" s="3">
        <v>97.04</v>
      </c>
      <c r="O4577" s="3">
        <v>29.828850855745721</v>
      </c>
    </row>
    <row r="4578" spans="1:15" hidden="1" x14ac:dyDescent="0.25">
      <c r="A4578" s="11">
        <v>46143</v>
      </c>
      <c r="B4578" t="s">
        <v>39</v>
      </c>
      <c r="C4578" t="s">
        <v>32</v>
      </c>
      <c r="D4578" s="3">
        <v>0</v>
      </c>
      <c r="E4578" s="3">
        <v>0</v>
      </c>
      <c r="F4578" s="3">
        <v>0</v>
      </c>
      <c r="G4578" s="3">
        <v>0</v>
      </c>
      <c r="H4578" s="3">
        <v>0</v>
      </c>
      <c r="I4578" s="3">
        <v>0</v>
      </c>
      <c r="J4578" s="3">
        <v>0</v>
      </c>
      <c r="K4578" s="3">
        <v>0</v>
      </c>
      <c r="M4578" s="3">
        <v>0</v>
      </c>
      <c r="N4578" s="3">
        <v>0</v>
      </c>
      <c r="O4578" s="3">
        <v>0</v>
      </c>
    </row>
    <row r="4579" spans="1:15" hidden="1" x14ac:dyDescent="0.25">
      <c r="A4579" s="11">
        <v>46143</v>
      </c>
      <c r="B4579" t="s">
        <v>40</v>
      </c>
      <c r="C4579" t="s">
        <v>32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v>0</v>
      </c>
      <c r="J4579" s="3">
        <v>0</v>
      </c>
      <c r="K4579" s="3">
        <v>0</v>
      </c>
      <c r="M4579" s="3">
        <v>0</v>
      </c>
      <c r="N4579" s="3">
        <v>96.84</v>
      </c>
      <c r="O4579" s="3">
        <v>16.338028169014081</v>
      </c>
    </row>
    <row r="4580" spans="1:15" hidden="1" x14ac:dyDescent="0.25">
      <c r="A4580" s="11">
        <v>46143</v>
      </c>
      <c r="B4580" t="s">
        <v>41</v>
      </c>
      <c r="C4580" t="s">
        <v>32</v>
      </c>
      <c r="D4580" s="3">
        <v>0</v>
      </c>
      <c r="E4580" s="3">
        <v>0</v>
      </c>
      <c r="F4580" s="3">
        <v>0</v>
      </c>
      <c r="G4580" s="3">
        <v>0</v>
      </c>
      <c r="H4580" s="3">
        <v>0</v>
      </c>
      <c r="I4580" s="3">
        <v>0</v>
      </c>
      <c r="J4580" s="3">
        <v>0</v>
      </c>
      <c r="K4580" s="3">
        <v>0</v>
      </c>
      <c r="M4580" s="3">
        <v>0</v>
      </c>
      <c r="N4580" s="3">
        <v>100</v>
      </c>
      <c r="O4580" s="3">
        <v>18.244803695150122</v>
      </c>
    </row>
    <row r="4581" spans="1:15" hidden="1" x14ac:dyDescent="0.25">
      <c r="A4581" s="11">
        <v>46143</v>
      </c>
      <c r="B4581" t="s">
        <v>42</v>
      </c>
      <c r="C4581" t="s">
        <v>32</v>
      </c>
      <c r="D4581" s="3">
        <v>0</v>
      </c>
      <c r="E4581" s="3">
        <v>0</v>
      </c>
      <c r="F4581" s="3">
        <v>0</v>
      </c>
      <c r="G4581" s="3">
        <v>0</v>
      </c>
      <c r="H4581" s="3">
        <v>0</v>
      </c>
      <c r="I4581" s="3">
        <v>0</v>
      </c>
      <c r="J4581" s="3">
        <v>0</v>
      </c>
      <c r="K4581" s="3">
        <v>0</v>
      </c>
      <c r="M4581" s="3">
        <v>0</v>
      </c>
      <c r="N4581" s="3">
        <v>100</v>
      </c>
      <c r="O4581" s="3">
        <v>15.789473684210529</v>
      </c>
    </row>
    <row r="4582" spans="1:15" hidden="1" x14ac:dyDescent="0.25">
      <c r="A4582" s="11">
        <v>46143</v>
      </c>
      <c r="B4582" t="s">
        <v>43</v>
      </c>
      <c r="C4582" t="s">
        <v>32</v>
      </c>
      <c r="D4582" s="3">
        <v>0</v>
      </c>
      <c r="E4582" s="3">
        <v>0</v>
      </c>
      <c r="F4582" s="3">
        <v>0</v>
      </c>
      <c r="G4582" s="3">
        <v>0</v>
      </c>
      <c r="H4582" s="3">
        <v>0</v>
      </c>
      <c r="I4582" s="3">
        <v>0</v>
      </c>
      <c r="J4582" s="3">
        <v>0</v>
      </c>
      <c r="K4582" s="3">
        <v>0</v>
      </c>
      <c r="M4582" s="3">
        <v>0</v>
      </c>
      <c r="N4582" s="3">
        <v>98.39</v>
      </c>
      <c r="O4582" s="3">
        <v>8.7999999999999989</v>
      </c>
    </row>
    <row r="4583" spans="1:15" hidden="1" x14ac:dyDescent="0.25">
      <c r="A4583" s="11">
        <v>46143</v>
      </c>
      <c r="B4583" t="s">
        <v>44</v>
      </c>
      <c r="C4583" t="s">
        <v>32</v>
      </c>
      <c r="D4583" s="3">
        <v>0</v>
      </c>
      <c r="E4583" s="3">
        <v>0</v>
      </c>
      <c r="F4583" s="3">
        <v>0</v>
      </c>
      <c r="G4583" s="3">
        <v>0</v>
      </c>
      <c r="H4583" s="3">
        <v>0</v>
      </c>
      <c r="I4583" s="3">
        <v>0</v>
      </c>
      <c r="J4583" s="3">
        <v>0</v>
      </c>
      <c r="K4583" s="3">
        <v>0</v>
      </c>
      <c r="M4583" s="3">
        <v>0</v>
      </c>
      <c r="N4583" s="3">
        <v>96.38</v>
      </c>
      <c r="O4583" s="3">
        <v>23.198198198198199</v>
      </c>
    </row>
    <row r="4584" spans="1:15" hidden="1" x14ac:dyDescent="0.25">
      <c r="A4584" s="11">
        <v>46143</v>
      </c>
      <c r="B4584" t="s">
        <v>45</v>
      </c>
      <c r="C4584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M4584" s="3">
        <v>0</v>
      </c>
      <c r="N4584" s="3">
        <v>99.39</v>
      </c>
      <c r="O4584" s="3">
        <v>25.203252032520329</v>
      </c>
    </row>
    <row r="4585" spans="1:15" hidden="1" x14ac:dyDescent="0.25">
      <c r="A4585" s="11">
        <v>46143</v>
      </c>
      <c r="B4585" t="s">
        <v>46</v>
      </c>
      <c r="C4585" t="s">
        <v>32</v>
      </c>
      <c r="D4585" s="3">
        <v>0</v>
      </c>
      <c r="E4585" s="3">
        <v>0</v>
      </c>
      <c r="F4585" s="3">
        <v>0</v>
      </c>
      <c r="G4585" s="3">
        <v>0</v>
      </c>
      <c r="H4585" s="3">
        <v>0</v>
      </c>
      <c r="I4585" s="3">
        <v>0</v>
      </c>
      <c r="J4585" s="3">
        <v>0</v>
      </c>
      <c r="K4585" s="3">
        <v>0</v>
      </c>
      <c r="M4585" s="3">
        <v>0</v>
      </c>
      <c r="N4585" s="3">
        <v>97</v>
      </c>
      <c r="O4585" s="3">
        <v>20.325203252032519</v>
      </c>
    </row>
    <row r="4586" spans="1:15" x14ac:dyDescent="0.25">
      <c r="A4586" s="11">
        <v>46143</v>
      </c>
      <c r="B4586" t="s">
        <v>47</v>
      </c>
      <c r="C4586" t="s">
        <v>48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v>0</v>
      </c>
      <c r="J4586" s="3">
        <v>0</v>
      </c>
      <c r="K4586" s="3">
        <v>0</v>
      </c>
      <c r="M4586" s="3">
        <v>0</v>
      </c>
      <c r="N4586" s="3">
        <v>99.18</v>
      </c>
      <c r="O4586" s="3">
        <v>24.501424501424498</v>
      </c>
    </row>
    <row r="4587" spans="1:15" hidden="1" x14ac:dyDescent="0.25">
      <c r="A4587" s="11">
        <v>46143</v>
      </c>
      <c r="B4587" t="s">
        <v>49</v>
      </c>
      <c r="C4587" t="s">
        <v>48</v>
      </c>
      <c r="D4587" s="3">
        <v>0</v>
      </c>
      <c r="E4587" s="3">
        <v>0</v>
      </c>
      <c r="F4587" s="3">
        <v>0</v>
      </c>
      <c r="G4587" s="3">
        <v>0</v>
      </c>
      <c r="H4587" s="3">
        <v>0</v>
      </c>
      <c r="I4587" s="3">
        <v>0</v>
      </c>
      <c r="J4587" s="3">
        <v>0</v>
      </c>
      <c r="K4587" s="3">
        <v>0</v>
      </c>
      <c r="M4587" s="3">
        <v>0</v>
      </c>
      <c r="N4587" s="3">
        <v>99.35</v>
      </c>
      <c r="O4587" s="3">
        <v>19.852941176470591</v>
      </c>
    </row>
    <row r="4588" spans="1:15" hidden="1" x14ac:dyDescent="0.25">
      <c r="A4588" s="11">
        <v>46143</v>
      </c>
      <c r="B4588" t="s">
        <v>50</v>
      </c>
      <c r="C4588" t="s">
        <v>48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v>0</v>
      </c>
      <c r="J4588" s="3">
        <v>0</v>
      </c>
      <c r="K4588" s="3">
        <v>0</v>
      </c>
      <c r="M4588" s="3">
        <v>0</v>
      </c>
      <c r="N4588" s="3">
        <v>99.07</v>
      </c>
      <c r="O4588" s="3">
        <v>20.098039215686271</v>
      </c>
    </row>
    <row r="4589" spans="1:15" hidden="1" x14ac:dyDescent="0.25">
      <c r="A4589" s="11">
        <v>46143</v>
      </c>
      <c r="B4589" t="s">
        <v>51</v>
      </c>
      <c r="C4589" t="s">
        <v>48</v>
      </c>
      <c r="D4589" s="3">
        <v>0</v>
      </c>
      <c r="E4589" s="3">
        <v>0</v>
      </c>
      <c r="F4589" s="3">
        <v>0</v>
      </c>
      <c r="G4589" s="3">
        <v>0</v>
      </c>
      <c r="H4589" s="3">
        <v>0</v>
      </c>
      <c r="I4589" s="3">
        <v>0</v>
      </c>
      <c r="J4589" s="3">
        <v>0</v>
      </c>
      <c r="K4589" s="3">
        <v>0</v>
      </c>
      <c r="M4589" s="3">
        <v>0</v>
      </c>
      <c r="N4589" s="3">
        <v>98.81</v>
      </c>
      <c r="O4589" s="3">
        <v>22.767857142857139</v>
      </c>
    </row>
    <row r="4590" spans="1:15" hidden="1" x14ac:dyDescent="0.25">
      <c r="A4590" s="11">
        <v>46143</v>
      </c>
      <c r="B4590" t="s">
        <v>52</v>
      </c>
      <c r="C4590" t="s">
        <v>48</v>
      </c>
      <c r="D4590" s="3">
        <v>0</v>
      </c>
      <c r="E4590" s="3">
        <v>0</v>
      </c>
      <c r="F4590" s="3">
        <v>0</v>
      </c>
      <c r="G4590" s="3">
        <v>0</v>
      </c>
      <c r="H4590" s="3">
        <v>0</v>
      </c>
      <c r="I4590" s="3">
        <v>0</v>
      </c>
      <c r="J4590" s="3">
        <v>0</v>
      </c>
      <c r="K4590" s="3">
        <v>0</v>
      </c>
      <c r="M4590" s="3">
        <v>0</v>
      </c>
      <c r="N4590" s="3">
        <v>99.01</v>
      </c>
      <c r="O4590" s="3">
        <v>17.766497461928939</v>
      </c>
    </row>
    <row r="4591" spans="1:15" hidden="1" x14ac:dyDescent="0.25">
      <c r="A4591" s="11">
        <v>46143</v>
      </c>
      <c r="B4591" t="s">
        <v>53</v>
      </c>
      <c r="C459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M4591" s="3">
        <v>0</v>
      </c>
      <c r="N4591" s="3">
        <v>100</v>
      </c>
      <c r="O4591" s="3">
        <v>17.241379310344829</v>
      </c>
    </row>
    <row r="4592" spans="1:15" hidden="1" x14ac:dyDescent="0.25">
      <c r="A4592" s="11">
        <v>46143</v>
      </c>
      <c r="B4592" t="s">
        <v>54</v>
      </c>
      <c r="C4592" t="s">
        <v>48</v>
      </c>
      <c r="D4592" s="3">
        <v>0</v>
      </c>
      <c r="E4592" s="3">
        <v>0</v>
      </c>
      <c r="F4592" s="3">
        <v>0</v>
      </c>
      <c r="G4592" s="3">
        <v>0</v>
      </c>
      <c r="H4592" s="3">
        <v>0</v>
      </c>
      <c r="I4592" s="3">
        <v>0</v>
      </c>
      <c r="J4592" s="3">
        <v>0</v>
      </c>
      <c r="K4592" s="3">
        <v>0</v>
      </c>
      <c r="M4592" s="3">
        <v>0</v>
      </c>
      <c r="N4592" s="3">
        <v>98.98</v>
      </c>
      <c r="O4592" s="3">
        <v>19.35483870967742</v>
      </c>
    </row>
    <row r="4593" spans="1:16" hidden="1" x14ac:dyDescent="0.25">
      <c r="A4593" s="11">
        <v>46143</v>
      </c>
      <c r="B4593" t="s">
        <v>55</v>
      </c>
      <c r="C4593" t="s">
        <v>48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M4593" s="3">
        <v>0</v>
      </c>
      <c r="N4593" s="3">
        <v>98.94</v>
      </c>
      <c r="O4593" s="3">
        <v>21.270718232044199</v>
      </c>
    </row>
    <row r="4594" spans="1:16" hidden="1" x14ac:dyDescent="0.25">
      <c r="A4594" s="11">
        <v>46143</v>
      </c>
      <c r="B4594" t="s">
        <v>56</v>
      </c>
      <c r="C4594" t="s">
        <v>48</v>
      </c>
      <c r="D4594" s="3">
        <v>0</v>
      </c>
      <c r="E4594" s="3">
        <v>0</v>
      </c>
      <c r="F4594" s="3">
        <v>0</v>
      </c>
      <c r="G4594" s="3">
        <v>0</v>
      </c>
      <c r="H4594" s="3">
        <v>0</v>
      </c>
      <c r="I4594" s="3">
        <v>0</v>
      </c>
      <c r="J4594" s="3">
        <v>0</v>
      </c>
      <c r="K4594" s="3">
        <v>0</v>
      </c>
      <c r="M4594" s="3">
        <v>0</v>
      </c>
      <c r="N4594" s="3">
        <v>99</v>
      </c>
      <c r="O4594" s="3">
        <v>22.010869565217391</v>
      </c>
    </row>
    <row r="4595" spans="1:16" hidden="1" x14ac:dyDescent="0.25">
      <c r="A4595" s="11">
        <v>46143</v>
      </c>
      <c r="B4595" t="s">
        <v>57</v>
      </c>
      <c r="C4595" t="s">
        <v>48</v>
      </c>
      <c r="D4595" s="3">
        <v>0</v>
      </c>
      <c r="E4595" s="3">
        <v>0</v>
      </c>
      <c r="F4595" s="3">
        <v>0</v>
      </c>
      <c r="G4595" s="3">
        <v>0</v>
      </c>
      <c r="H4595" s="3">
        <v>0</v>
      </c>
      <c r="I4595" s="3">
        <v>0</v>
      </c>
      <c r="J4595" s="3">
        <v>0</v>
      </c>
      <c r="K4595" s="3">
        <v>0</v>
      </c>
      <c r="M4595" s="3">
        <v>0</v>
      </c>
      <c r="N4595" s="3">
        <v>100</v>
      </c>
      <c r="O4595" s="3">
        <v>25</v>
      </c>
    </row>
    <row r="4596" spans="1:16" hidden="1" x14ac:dyDescent="0.25">
      <c r="A4596" s="11">
        <v>46143</v>
      </c>
      <c r="B4596" t="s">
        <v>58</v>
      </c>
      <c r="C4596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M4596" s="3">
        <v>0</v>
      </c>
      <c r="N4596" s="3">
        <v>100</v>
      </c>
      <c r="O4596" s="3">
        <v>20.183486238532112</v>
      </c>
    </row>
    <row r="4597" spans="1:16" hidden="1" x14ac:dyDescent="0.25">
      <c r="A4597" s="11">
        <v>46143</v>
      </c>
      <c r="B4597" t="s">
        <v>22</v>
      </c>
      <c r="C4597" t="s">
        <v>23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v>0</v>
      </c>
      <c r="J4597" s="3">
        <v>0</v>
      </c>
      <c r="K4597" s="3">
        <v>0</v>
      </c>
      <c r="M4597" s="3">
        <v>0</v>
      </c>
      <c r="N4597" s="3">
        <v>99.06</v>
      </c>
      <c r="O4597" s="3">
        <v>19.417475728155338</v>
      </c>
    </row>
    <row r="4598" spans="1:16" hidden="1" x14ac:dyDescent="0.25">
      <c r="A4598" s="11">
        <v>46143</v>
      </c>
      <c r="B4598" t="s">
        <v>59</v>
      </c>
      <c r="C4598" t="s">
        <v>23</v>
      </c>
      <c r="D4598" s="3">
        <v>0</v>
      </c>
      <c r="E4598" s="3">
        <v>0</v>
      </c>
      <c r="F4598" s="3">
        <v>0</v>
      </c>
      <c r="G4598" s="3">
        <v>0</v>
      </c>
      <c r="H4598" s="3">
        <v>0</v>
      </c>
      <c r="I4598" s="3">
        <v>0</v>
      </c>
      <c r="J4598" s="3">
        <v>0</v>
      </c>
      <c r="K4598" s="3">
        <v>0</v>
      </c>
      <c r="M4598" s="3">
        <v>0</v>
      </c>
      <c r="N4598" s="3">
        <v>96.25</v>
      </c>
      <c r="O4598" s="3">
        <v>25.586353944562902</v>
      </c>
    </row>
    <row r="4599" spans="1:16" hidden="1" x14ac:dyDescent="0.25">
      <c r="A4599" s="11">
        <v>46143</v>
      </c>
      <c r="B4599" t="s">
        <v>60</v>
      </c>
      <c r="C4599" t="s">
        <v>23</v>
      </c>
      <c r="D4599" s="3">
        <v>0</v>
      </c>
      <c r="E4599" s="3">
        <v>0</v>
      </c>
      <c r="F4599" s="3">
        <v>0</v>
      </c>
      <c r="G4599" s="3">
        <v>0</v>
      </c>
      <c r="H4599" s="3">
        <v>0</v>
      </c>
      <c r="I4599" s="3">
        <v>0</v>
      </c>
      <c r="J4599" s="3">
        <v>0</v>
      </c>
      <c r="K4599" s="3">
        <v>0</v>
      </c>
      <c r="M4599" s="3">
        <v>0</v>
      </c>
      <c r="N4599" s="3">
        <v>97.48</v>
      </c>
      <c r="O4599" s="3">
        <v>22.99465240641711</v>
      </c>
    </row>
    <row r="4600" spans="1:16" hidden="1" x14ac:dyDescent="0.25">
      <c r="A4600" s="11">
        <v>46143</v>
      </c>
      <c r="B4600" t="s">
        <v>61</v>
      </c>
      <c r="C4600" t="s">
        <v>23</v>
      </c>
      <c r="D4600" s="3">
        <v>0</v>
      </c>
      <c r="E4600" s="3">
        <v>0</v>
      </c>
      <c r="F4600" s="3">
        <v>0</v>
      </c>
      <c r="G4600" s="3">
        <v>0</v>
      </c>
      <c r="H4600" s="3">
        <v>0</v>
      </c>
      <c r="I4600" s="3">
        <v>0</v>
      </c>
      <c r="J4600" s="3">
        <v>0</v>
      </c>
      <c r="K4600" s="3">
        <v>0</v>
      </c>
      <c r="M4600" s="3">
        <v>0</v>
      </c>
      <c r="N4600" s="3">
        <v>100</v>
      </c>
      <c r="O4600" s="3">
        <v>20.788530465949819</v>
      </c>
    </row>
    <row r="4601" spans="1:16" hidden="1" x14ac:dyDescent="0.25">
      <c r="A4601" s="11">
        <v>46143</v>
      </c>
      <c r="B4601" t="s">
        <v>62</v>
      </c>
      <c r="C4601" t="s">
        <v>23</v>
      </c>
      <c r="D4601" s="3">
        <v>0</v>
      </c>
      <c r="E4601" s="3">
        <v>0</v>
      </c>
      <c r="F4601" s="3">
        <v>0</v>
      </c>
      <c r="G4601" s="3">
        <v>0</v>
      </c>
      <c r="H4601" s="3">
        <v>0</v>
      </c>
      <c r="I4601" s="3">
        <v>0</v>
      </c>
      <c r="J4601" s="3">
        <v>0</v>
      </c>
      <c r="K4601" s="3">
        <v>0</v>
      </c>
      <c r="M4601" s="3">
        <v>0</v>
      </c>
      <c r="N4601" s="3">
        <v>94.55</v>
      </c>
      <c r="O4601" s="3">
        <v>23.450134770889491</v>
      </c>
    </row>
    <row r="4602" spans="1:16" hidden="1" x14ac:dyDescent="0.25">
      <c r="A4602" s="11">
        <v>46143</v>
      </c>
      <c r="B4602" t="s">
        <v>63</v>
      </c>
      <c r="C4602" t="s">
        <v>23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M4602" s="3">
        <v>0</v>
      </c>
      <c r="N4602" s="3">
        <v>98</v>
      </c>
      <c r="O4602" s="3">
        <v>20.73490813648294</v>
      </c>
    </row>
    <row r="4603" spans="1:16" hidden="1" x14ac:dyDescent="0.25">
      <c r="A4603" s="11">
        <v>46143</v>
      </c>
      <c r="B4603" t="s">
        <v>64</v>
      </c>
      <c r="C4603" t="s">
        <v>23</v>
      </c>
      <c r="D4603" s="3">
        <v>0</v>
      </c>
      <c r="E4603" s="3">
        <v>0</v>
      </c>
      <c r="F4603" s="3">
        <v>0</v>
      </c>
      <c r="G4603" s="3">
        <v>0</v>
      </c>
      <c r="H4603" s="3">
        <v>0</v>
      </c>
      <c r="I4603" s="3">
        <v>0</v>
      </c>
      <c r="J4603" s="3">
        <v>0</v>
      </c>
      <c r="K4603" s="3">
        <v>0</v>
      </c>
      <c r="M4603" s="3">
        <v>0</v>
      </c>
      <c r="N4603" s="3">
        <v>100</v>
      </c>
      <c r="O4603" s="3">
        <v>18</v>
      </c>
    </row>
    <row r="4604" spans="1:16" hidden="1" x14ac:dyDescent="0.25">
      <c r="A4604" s="11">
        <v>46169</v>
      </c>
      <c r="B4604" t="s">
        <v>17</v>
      </c>
      <c r="C4604" t="s">
        <v>16</v>
      </c>
      <c r="D4604">
        <v>8</v>
      </c>
      <c r="E4604">
        <v>8</v>
      </c>
      <c r="F4604">
        <v>23.25</v>
      </c>
      <c r="G4604" s="12"/>
      <c r="H4604" s="12"/>
      <c r="I4604" s="12"/>
      <c r="J4604" s="12"/>
      <c r="K4604" s="12"/>
      <c r="L4604" s="12"/>
      <c r="M4604" s="12"/>
      <c r="N4604" s="12"/>
      <c r="O4604" s="12"/>
      <c r="P4604"/>
    </row>
    <row r="4605" spans="1:16" hidden="1" x14ac:dyDescent="0.25">
      <c r="A4605" s="11">
        <v>46169</v>
      </c>
      <c r="B4605" t="s">
        <v>18</v>
      </c>
      <c r="C4605" t="s">
        <v>16</v>
      </c>
      <c r="D4605">
        <v>5</v>
      </c>
      <c r="E4605">
        <v>5</v>
      </c>
      <c r="F4605">
        <v>57</v>
      </c>
      <c r="G4605" s="12"/>
      <c r="H4605" s="12"/>
      <c r="I4605" s="12"/>
      <c r="J4605" s="12"/>
      <c r="K4605" s="12"/>
      <c r="L4605" s="12"/>
      <c r="M4605" s="12"/>
      <c r="N4605" s="12"/>
      <c r="O4605" s="12"/>
      <c r="P4605"/>
    </row>
    <row r="4606" spans="1:16" hidden="1" x14ac:dyDescent="0.25">
      <c r="A4606" s="11">
        <v>46169</v>
      </c>
      <c r="B4606" t="s">
        <v>19</v>
      </c>
      <c r="C4606" t="s">
        <v>16</v>
      </c>
      <c r="D4606">
        <v>23</v>
      </c>
      <c r="E4606">
        <v>22</v>
      </c>
      <c r="F4606">
        <v>18.3</v>
      </c>
      <c r="G4606" s="12"/>
      <c r="H4606" s="12"/>
      <c r="I4606" s="12"/>
      <c r="J4606" s="12"/>
      <c r="K4606" s="12"/>
      <c r="L4606" s="12"/>
      <c r="M4606" s="12"/>
      <c r="N4606" s="12"/>
      <c r="O4606" s="12"/>
      <c r="P4606"/>
    </row>
    <row r="4607" spans="1:16" hidden="1" x14ac:dyDescent="0.25">
      <c r="A4607" s="11">
        <v>46169</v>
      </c>
      <c r="B4607" t="s">
        <v>20</v>
      </c>
      <c r="C4607" t="s">
        <v>16</v>
      </c>
      <c r="D4607">
        <v>17</v>
      </c>
      <c r="E4607">
        <v>16</v>
      </c>
      <c r="F4607">
        <v>27.24</v>
      </c>
      <c r="G4607" s="12"/>
      <c r="H4607" s="12"/>
      <c r="I4607" s="12"/>
      <c r="J4607" s="12"/>
      <c r="K4607" s="12"/>
      <c r="L4607" s="12"/>
      <c r="M4607" s="12"/>
      <c r="N4607" s="12"/>
      <c r="O4607" s="12"/>
      <c r="P4607"/>
    </row>
    <row r="4608" spans="1:16" hidden="1" x14ac:dyDescent="0.25">
      <c r="A4608" s="11">
        <v>46169</v>
      </c>
      <c r="B4608" t="s">
        <v>21</v>
      </c>
      <c r="C4608" t="s">
        <v>16</v>
      </c>
      <c r="D4608">
        <v>19</v>
      </c>
      <c r="E4608">
        <v>16</v>
      </c>
      <c r="F4608">
        <v>27.02</v>
      </c>
      <c r="G4608" s="12"/>
      <c r="H4608" s="12"/>
      <c r="I4608" s="12"/>
      <c r="J4608" s="12"/>
      <c r="K4608" s="12"/>
      <c r="L4608" s="12"/>
      <c r="M4608" s="12"/>
      <c r="N4608" s="12"/>
      <c r="O4608" s="12"/>
      <c r="P4608"/>
    </row>
    <row r="4609" spans="1:16" hidden="1" x14ac:dyDescent="0.25">
      <c r="A4609" s="11">
        <v>46169</v>
      </c>
      <c r="B4609" t="s">
        <v>24</v>
      </c>
      <c r="C4609" t="s">
        <v>16</v>
      </c>
      <c r="D4609">
        <v>7</v>
      </c>
      <c r="E4609">
        <v>7</v>
      </c>
      <c r="F4609">
        <v>46.44</v>
      </c>
      <c r="G4609" s="12"/>
      <c r="H4609" s="12"/>
      <c r="I4609" s="12"/>
      <c r="J4609" s="12"/>
      <c r="K4609" s="12"/>
      <c r="L4609" s="12"/>
      <c r="M4609" s="12"/>
      <c r="N4609" s="12"/>
      <c r="O4609" s="12"/>
      <c r="P4609"/>
    </row>
    <row r="4610" spans="1:16" hidden="1" x14ac:dyDescent="0.25">
      <c r="A4610" s="11">
        <v>46169</v>
      </c>
      <c r="B4610" t="s">
        <v>15</v>
      </c>
      <c r="C4610" t="s">
        <v>26</v>
      </c>
      <c r="D4610">
        <v>40</v>
      </c>
      <c r="E4610">
        <v>38</v>
      </c>
      <c r="F4610">
        <v>12.23</v>
      </c>
      <c r="G4610" s="12"/>
      <c r="H4610" s="12"/>
      <c r="I4610" s="12"/>
      <c r="J4610" s="12"/>
      <c r="K4610" s="12"/>
      <c r="L4610" s="12"/>
      <c r="M4610" s="12"/>
      <c r="N4610" s="12"/>
      <c r="O4610" s="12"/>
      <c r="P4610"/>
    </row>
    <row r="4611" spans="1:16" hidden="1" x14ac:dyDescent="0.25">
      <c r="A4611" s="11">
        <v>46169</v>
      </c>
      <c r="B4611" t="s">
        <v>25</v>
      </c>
      <c r="C4611" t="s">
        <v>26</v>
      </c>
      <c r="D4611">
        <v>17</v>
      </c>
      <c r="E4611">
        <v>17</v>
      </c>
      <c r="F4611">
        <v>22.23</v>
      </c>
      <c r="G4611" s="12"/>
      <c r="H4611" s="12"/>
      <c r="I4611" s="12"/>
      <c r="J4611" s="12"/>
      <c r="K4611" s="12"/>
      <c r="L4611" s="12"/>
      <c r="M4611" s="12"/>
      <c r="N4611" s="12"/>
      <c r="O4611" s="12"/>
      <c r="P4611"/>
    </row>
    <row r="4612" spans="1:16" hidden="1" x14ac:dyDescent="0.25">
      <c r="A4612" s="11">
        <v>46169</v>
      </c>
      <c r="B4612" t="s">
        <v>27</v>
      </c>
      <c r="C4612" t="s">
        <v>26</v>
      </c>
      <c r="D4612">
        <v>10</v>
      </c>
      <c r="E4612">
        <v>7</v>
      </c>
      <c r="F4612">
        <v>35.46</v>
      </c>
      <c r="G4612" s="12"/>
      <c r="H4612" s="12"/>
      <c r="I4612" s="12"/>
      <c r="J4612" s="12"/>
      <c r="K4612" s="12"/>
      <c r="L4612" s="12"/>
      <c r="M4612" s="12"/>
      <c r="N4612" s="12"/>
      <c r="O4612" s="12"/>
      <c r="P4612"/>
    </row>
    <row r="4613" spans="1:16" hidden="1" x14ac:dyDescent="0.25">
      <c r="A4613" s="11">
        <v>46169</v>
      </c>
      <c r="B4613" t="s">
        <v>28</v>
      </c>
      <c r="C4613" t="s">
        <v>26</v>
      </c>
      <c r="D4613">
        <v>30</v>
      </c>
      <c r="E4613">
        <v>20</v>
      </c>
      <c r="F4613">
        <v>8.57</v>
      </c>
      <c r="G4613" s="12"/>
      <c r="H4613" s="12"/>
      <c r="I4613" s="12"/>
      <c r="J4613" s="12"/>
      <c r="K4613" s="12"/>
      <c r="L4613" s="12"/>
      <c r="M4613" s="12"/>
      <c r="N4613" s="12"/>
      <c r="O4613" s="12"/>
      <c r="P4613"/>
    </row>
    <row r="4614" spans="1:16" hidden="1" x14ac:dyDescent="0.25">
      <c r="A4614" s="11">
        <v>46169</v>
      </c>
      <c r="B4614" t="s">
        <v>29</v>
      </c>
      <c r="C4614" t="s">
        <v>26</v>
      </c>
      <c r="D4614">
        <v>14</v>
      </c>
      <c r="E4614">
        <v>14</v>
      </c>
      <c r="F4614">
        <v>23.31</v>
      </c>
      <c r="G4614" s="12"/>
      <c r="H4614" s="12"/>
      <c r="I4614" s="12"/>
      <c r="J4614" s="12"/>
      <c r="K4614" s="12"/>
      <c r="L4614" s="12"/>
      <c r="M4614" s="12"/>
      <c r="N4614" s="12"/>
      <c r="O4614" s="12"/>
      <c r="P4614"/>
    </row>
    <row r="4615" spans="1:16" hidden="1" x14ac:dyDescent="0.25">
      <c r="A4615" s="11">
        <v>46169</v>
      </c>
      <c r="B4615" t="s">
        <v>30</v>
      </c>
      <c r="C4615" t="s">
        <v>26</v>
      </c>
      <c r="D4615">
        <v>21</v>
      </c>
      <c r="E4615">
        <v>19</v>
      </c>
      <c r="F4615">
        <v>15.53</v>
      </c>
      <c r="G4615" s="12"/>
      <c r="H4615" s="12"/>
      <c r="I4615" s="12"/>
      <c r="J4615" s="12"/>
      <c r="K4615" s="12"/>
      <c r="L4615" s="12"/>
      <c r="M4615" s="12"/>
      <c r="N4615" s="12"/>
      <c r="O4615" s="12"/>
      <c r="P4615"/>
    </row>
    <row r="4616" spans="1:16" x14ac:dyDescent="0.25">
      <c r="A4616" s="11">
        <v>46169</v>
      </c>
      <c r="B4616" t="s">
        <v>47</v>
      </c>
      <c r="C4616" t="s">
        <v>48</v>
      </c>
      <c r="D4616" s="3">
        <v>35</v>
      </c>
      <c r="E4616" s="3">
        <v>28</v>
      </c>
      <c r="F4616" s="3">
        <v>7.36</v>
      </c>
    </row>
    <row r="4617" spans="1:16" hidden="1" x14ac:dyDescent="0.25">
      <c r="A4617" s="11">
        <v>46169</v>
      </c>
      <c r="B4617" t="s">
        <v>31</v>
      </c>
      <c r="C4617" t="s">
        <v>32</v>
      </c>
      <c r="D4617" s="3">
        <v>0</v>
      </c>
      <c r="E4617" s="3">
        <v>0</v>
      </c>
      <c r="F4617" s="3">
        <v>0</v>
      </c>
      <c r="G4617" s="3">
        <v>0</v>
      </c>
      <c r="H4617" s="3">
        <v>0</v>
      </c>
      <c r="I4617" s="3">
        <v>0</v>
      </c>
      <c r="J4617" s="3">
        <v>0</v>
      </c>
      <c r="K4617" s="3">
        <v>0</v>
      </c>
    </row>
    <row r="4618" spans="1:16" hidden="1" x14ac:dyDescent="0.25">
      <c r="A4618" s="11">
        <v>46169</v>
      </c>
      <c r="B4618" t="s">
        <v>59</v>
      </c>
      <c r="C4618" t="s">
        <v>23</v>
      </c>
      <c r="D4618" s="3">
        <v>24</v>
      </c>
      <c r="E4618" s="3">
        <v>24</v>
      </c>
      <c r="F4618" s="3">
        <v>17.36</v>
      </c>
    </row>
    <row r="4619" spans="1:16" hidden="1" x14ac:dyDescent="0.25">
      <c r="A4619" s="11">
        <v>46169</v>
      </c>
      <c r="B4619" t="s">
        <v>33</v>
      </c>
      <c r="C4619" t="s">
        <v>32</v>
      </c>
      <c r="D4619" s="3">
        <v>34</v>
      </c>
      <c r="E4619" s="3">
        <v>33</v>
      </c>
      <c r="F4619" s="3">
        <v>12.31</v>
      </c>
    </row>
    <row r="4620" spans="1:16" hidden="1" x14ac:dyDescent="0.25">
      <c r="A4620" s="11">
        <v>46169</v>
      </c>
      <c r="B4620" t="s">
        <v>49</v>
      </c>
      <c r="C4620" t="s">
        <v>48</v>
      </c>
      <c r="D4620" s="3">
        <v>28</v>
      </c>
      <c r="E4620" s="3">
        <v>27</v>
      </c>
      <c r="F4620" s="3">
        <v>15.42</v>
      </c>
    </row>
    <row r="4621" spans="1:16" hidden="1" x14ac:dyDescent="0.25">
      <c r="A4621" s="11">
        <v>46169</v>
      </c>
      <c r="B4621" t="s">
        <v>50</v>
      </c>
      <c r="C4621" t="s">
        <v>48</v>
      </c>
      <c r="D4621" s="3">
        <v>29</v>
      </c>
      <c r="E4621" s="3">
        <v>28</v>
      </c>
      <c r="F4621" s="3">
        <v>17.260000000000002</v>
      </c>
    </row>
    <row r="4622" spans="1:16" hidden="1" x14ac:dyDescent="0.25">
      <c r="A4622" s="11">
        <v>46169</v>
      </c>
      <c r="B4622" t="s">
        <v>60</v>
      </c>
      <c r="C4622" t="s">
        <v>23</v>
      </c>
      <c r="D4622" s="3">
        <v>19</v>
      </c>
      <c r="E4622" s="3">
        <v>17</v>
      </c>
      <c r="F4622" s="3">
        <v>18.579999999999998</v>
      </c>
    </row>
    <row r="4623" spans="1:16" hidden="1" x14ac:dyDescent="0.25">
      <c r="A4623" s="11">
        <v>46169</v>
      </c>
      <c r="B4623" t="s">
        <v>34</v>
      </c>
      <c r="C4623" t="s">
        <v>32</v>
      </c>
      <c r="D4623" s="3">
        <v>31</v>
      </c>
      <c r="E4623" s="3">
        <v>23</v>
      </c>
      <c r="F4623" s="3">
        <v>10.119999999999999</v>
      </c>
    </row>
    <row r="4624" spans="1:16" hidden="1" x14ac:dyDescent="0.25">
      <c r="A4624" s="11">
        <v>46169</v>
      </c>
      <c r="B4624" t="s">
        <v>51</v>
      </c>
      <c r="C4624" t="s">
        <v>48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v>0</v>
      </c>
      <c r="J4624" s="3">
        <v>0</v>
      </c>
      <c r="K4624" s="3">
        <v>0</v>
      </c>
    </row>
    <row r="4625" spans="1:11" hidden="1" x14ac:dyDescent="0.25">
      <c r="A4625" s="11">
        <v>46169</v>
      </c>
      <c r="B4625" t="s">
        <v>61</v>
      </c>
      <c r="C4625" t="s">
        <v>23</v>
      </c>
      <c r="D4625" s="3">
        <v>27</v>
      </c>
      <c r="E4625" s="3">
        <v>25</v>
      </c>
      <c r="F4625" s="3">
        <v>12.26</v>
      </c>
    </row>
    <row r="4626" spans="1:11" hidden="1" x14ac:dyDescent="0.25">
      <c r="A4626" s="11">
        <v>46169</v>
      </c>
      <c r="B4626" t="s">
        <v>35</v>
      </c>
      <c r="C4626" t="s">
        <v>32</v>
      </c>
      <c r="D4626" s="3">
        <v>0</v>
      </c>
      <c r="E4626" s="3">
        <v>0</v>
      </c>
      <c r="F4626" s="3">
        <v>0</v>
      </c>
      <c r="G4626" s="3">
        <v>0</v>
      </c>
      <c r="H4626" s="3">
        <v>0</v>
      </c>
      <c r="I4626" s="3">
        <v>0</v>
      </c>
      <c r="J4626" s="3">
        <v>0</v>
      </c>
      <c r="K4626" s="3">
        <v>0</v>
      </c>
    </row>
    <row r="4627" spans="1:11" hidden="1" x14ac:dyDescent="0.25">
      <c r="A4627" s="11">
        <v>46169</v>
      </c>
      <c r="B4627" t="s">
        <v>52</v>
      </c>
      <c r="C4627" t="s">
        <v>48</v>
      </c>
      <c r="D4627" s="3">
        <v>32</v>
      </c>
      <c r="E4627" s="3">
        <v>31</v>
      </c>
      <c r="F4627" s="3">
        <v>17.239999999999998</v>
      </c>
    </row>
    <row r="4628" spans="1:11" hidden="1" x14ac:dyDescent="0.25">
      <c r="A4628" s="11">
        <v>46169</v>
      </c>
      <c r="B4628" t="s">
        <v>36</v>
      </c>
      <c r="C4628" t="s">
        <v>32</v>
      </c>
      <c r="D4628" s="3">
        <v>32</v>
      </c>
      <c r="E4628" s="3">
        <v>31</v>
      </c>
      <c r="F4628" s="3">
        <v>14</v>
      </c>
    </row>
    <row r="4629" spans="1:11" hidden="1" x14ac:dyDescent="0.25">
      <c r="A4629" s="11">
        <v>46169</v>
      </c>
      <c r="B4629" t="s">
        <v>53</v>
      </c>
      <c r="C4629" t="s">
        <v>48</v>
      </c>
      <c r="D4629" s="3">
        <v>0</v>
      </c>
      <c r="E4629" s="3">
        <v>0</v>
      </c>
      <c r="F4629" s="3">
        <v>0</v>
      </c>
      <c r="G4629" s="3">
        <v>0</v>
      </c>
      <c r="H4629" s="3">
        <v>0</v>
      </c>
      <c r="I4629" s="3">
        <v>0</v>
      </c>
      <c r="J4629" s="3">
        <v>0</v>
      </c>
      <c r="K4629" s="3">
        <v>0</v>
      </c>
    </row>
    <row r="4630" spans="1:11" hidden="1" x14ac:dyDescent="0.25">
      <c r="A4630" s="11">
        <v>46169</v>
      </c>
      <c r="B4630" t="s">
        <v>22</v>
      </c>
      <c r="C4630" t="s">
        <v>23</v>
      </c>
      <c r="D4630" s="3">
        <v>22</v>
      </c>
      <c r="E4630" s="3">
        <v>18</v>
      </c>
      <c r="F4630" s="3">
        <v>13.48</v>
      </c>
    </row>
    <row r="4631" spans="1:11" hidden="1" x14ac:dyDescent="0.25">
      <c r="A4631" s="11">
        <v>46169</v>
      </c>
      <c r="B4631" t="s">
        <v>54</v>
      </c>
      <c r="C4631" t="s">
        <v>48</v>
      </c>
      <c r="D4631" s="3">
        <v>20</v>
      </c>
      <c r="E4631" s="3">
        <v>19</v>
      </c>
      <c r="F4631" s="3">
        <v>23.31</v>
      </c>
    </row>
    <row r="4632" spans="1:11" hidden="1" x14ac:dyDescent="0.25">
      <c r="A4632" s="11">
        <v>46169</v>
      </c>
      <c r="B4632" t="s">
        <v>37</v>
      </c>
      <c r="C4632" t="s">
        <v>32</v>
      </c>
      <c r="D4632" s="3">
        <v>38</v>
      </c>
      <c r="E4632" s="3">
        <v>34</v>
      </c>
      <c r="F4632" s="3">
        <v>15</v>
      </c>
    </row>
    <row r="4633" spans="1:11" hidden="1" x14ac:dyDescent="0.25">
      <c r="A4633" s="11">
        <v>46169</v>
      </c>
      <c r="B4633" t="s">
        <v>38</v>
      </c>
      <c r="C4633" t="s">
        <v>32</v>
      </c>
      <c r="D4633" s="3">
        <v>20</v>
      </c>
      <c r="E4633" s="3">
        <v>15</v>
      </c>
      <c r="F4633" s="3">
        <v>10.47</v>
      </c>
    </row>
    <row r="4634" spans="1:11" hidden="1" x14ac:dyDescent="0.25">
      <c r="A4634" s="11">
        <v>46169</v>
      </c>
      <c r="B4634" t="s">
        <v>55</v>
      </c>
      <c r="C4634" t="s">
        <v>48</v>
      </c>
      <c r="D4634" s="3">
        <v>8</v>
      </c>
      <c r="E4634" s="3">
        <v>5</v>
      </c>
      <c r="F4634" s="3">
        <v>12.02</v>
      </c>
    </row>
    <row r="4635" spans="1:11" hidden="1" x14ac:dyDescent="0.25">
      <c r="A4635" s="11">
        <v>46169</v>
      </c>
      <c r="B4635" t="s">
        <v>39</v>
      </c>
      <c r="C4635" t="s">
        <v>32</v>
      </c>
      <c r="D4635" s="3">
        <v>0</v>
      </c>
      <c r="E4635" s="3">
        <v>0</v>
      </c>
      <c r="F4635" s="3">
        <v>0</v>
      </c>
      <c r="G4635" s="3">
        <v>0</v>
      </c>
      <c r="H4635" s="3">
        <v>0</v>
      </c>
      <c r="I4635" s="3">
        <v>0</v>
      </c>
      <c r="J4635" s="3">
        <v>0</v>
      </c>
      <c r="K4635" s="3">
        <v>0</v>
      </c>
    </row>
    <row r="4636" spans="1:11" hidden="1" x14ac:dyDescent="0.25">
      <c r="A4636" s="11">
        <v>46169</v>
      </c>
      <c r="B4636" t="s">
        <v>40</v>
      </c>
      <c r="C4636" t="s">
        <v>32</v>
      </c>
      <c r="D4636" s="3">
        <v>26</v>
      </c>
      <c r="E4636" s="3">
        <v>26</v>
      </c>
      <c r="F4636" s="3">
        <v>16.55</v>
      </c>
    </row>
    <row r="4637" spans="1:11" hidden="1" x14ac:dyDescent="0.25">
      <c r="A4637" s="11">
        <v>46169</v>
      </c>
      <c r="B4637" t="s">
        <v>41</v>
      </c>
      <c r="C4637" t="s">
        <v>32</v>
      </c>
      <c r="D4637" s="3">
        <v>28</v>
      </c>
      <c r="E4637" s="3">
        <v>27</v>
      </c>
      <c r="F4637" s="3">
        <v>18.32</v>
      </c>
    </row>
    <row r="4638" spans="1:11" hidden="1" x14ac:dyDescent="0.25">
      <c r="A4638" s="11">
        <v>46169</v>
      </c>
      <c r="B4638" t="s">
        <v>56</v>
      </c>
      <c r="C4638" t="s">
        <v>48</v>
      </c>
      <c r="D4638" s="3">
        <v>27</v>
      </c>
      <c r="E4638" s="3">
        <v>25</v>
      </c>
      <c r="F4638" s="3">
        <v>18.3</v>
      </c>
    </row>
    <row r="4639" spans="1:11" hidden="1" x14ac:dyDescent="0.25">
      <c r="A4639" s="11">
        <v>46169</v>
      </c>
      <c r="B4639" t="s">
        <v>57</v>
      </c>
      <c r="C4639" t="s">
        <v>48</v>
      </c>
      <c r="D4639" s="3">
        <v>26</v>
      </c>
      <c r="E4639" s="3">
        <v>23</v>
      </c>
      <c r="F4639" s="3">
        <v>15.44</v>
      </c>
    </row>
    <row r="4640" spans="1:11" hidden="1" x14ac:dyDescent="0.25">
      <c r="A4640" s="11">
        <v>46169</v>
      </c>
      <c r="B4640" t="s">
        <v>42</v>
      </c>
      <c r="C4640" t="s">
        <v>32</v>
      </c>
      <c r="D4640" s="3">
        <v>0</v>
      </c>
      <c r="E4640" s="3">
        <v>0</v>
      </c>
      <c r="F4640" s="3">
        <v>0</v>
      </c>
      <c r="G4640" s="3">
        <v>0</v>
      </c>
      <c r="H4640" s="3">
        <v>0</v>
      </c>
      <c r="I4640" s="3">
        <v>0</v>
      </c>
      <c r="J4640" s="3">
        <v>0</v>
      </c>
      <c r="K4640" s="3">
        <v>0</v>
      </c>
    </row>
    <row r="4641" spans="1:16" hidden="1" x14ac:dyDescent="0.25">
      <c r="A4641" s="11">
        <v>46169</v>
      </c>
      <c r="B4641" t="s">
        <v>62</v>
      </c>
      <c r="C4641" t="s">
        <v>23</v>
      </c>
      <c r="D4641" s="3">
        <v>20</v>
      </c>
      <c r="E4641" s="3">
        <v>18</v>
      </c>
      <c r="F4641" s="3">
        <v>19.09</v>
      </c>
    </row>
    <row r="4642" spans="1:16" hidden="1" x14ac:dyDescent="0.25">
      <c r="A4642" s="11">
        <v>46169</v>
      </c>
      <c r="B4642" t="s">
        <v>43</v>
      </c>
      <c r="C4642" t="s">
        <v>32</v>
      </c>
      <c r="D4642" s="3">
        <v>0</v>
      </c>
      <c r="E4642" s="3">
        <v>0</v>
      </c>
      <c r="F4642" s="3">
        <v>0</v>
      </c>
      <c r="G4642" s="3">
        <v>0</v>
      </c>
      <c r="H4642" s="3">
        <v>0</v>
      </c>
      <c r="I4642" s="3">
        <v>0</v>
      </c>
      <c r="J4642" s="3">
        <v>0</v>
      </c>
      <c r="K4642" s="3">
        <v>0</v>
      </c>
    </row>
    <row r="4643" spans="1:16" hidden="1" x14ac:dyDescent="0.25">
      <c r="A4643" s="11">
        <v>46169</v>
      </c>
      <c r="B4643" t="s">
        <v>44</v>
      </c>
      <c r="C4643" t="s">
        <v>32</v>
      </c>
      <c r="D4643" s="3">
        <v>36</v>
      </c>
      <c r="E4643" s="3">
        <v>29</v>
      </c>
      <c r="F4643" s="3">
        <v>10.09</v>
      </c>
    </row>
    <row r="4644" spans="1:16" hidden="1" x14ac:dyDescent="0.25">
      <c r="A4644" s="11">
        <v>46169</v>
      </c>
      <c r="B4644" t="s">
        <v>58</v>
      </c>
      <c r="C4644" t="s">
        <v>48</v>
      </c>
      <c r="D4644" s="3">
        <v>0</v>
      </c>
      <c r="E4644" s="3">
        <v>0</v>
      </c>
      <c r="F4644" s="3">
        <v>0</v>
      </c>
      <c r="G4644" s="3">
        <v>0</v>
      </c>
      <c r="H4644" s="3">
        <v>0</v>
      </c>
      <c r="I4644" s="3">
        <v>0</v>
      </c>
      <c r="J4644" s="3">
        <v>0</v>
      </c>
      <c r="K4644" s="3">
        <v>0</v>
      </c>
    </row>
    <row r="4645" spans="1:16" hidden="1" x14ac:dyDescent="0.25">
      <c r="A4645" s="11">
        <v>46169</v>
      </c>
      <c r="B4645" t="s">
        <v>63</v>
      </c>
      <c r="C4645" t="s">
        <v>23</v>
      </c>
      <c r="D4645" s="3">
        <v>31</v>
      </c>
      <c r="E4645" s="3">
        <v>27</v>
      </c>
      <c r="F4645" s="3">
        <v>15.47</v>
      </c>
    </row>
    <row r="4646" spans="1:16" hidden="1" x14ac:dyDescent="0.25">
      <c r="A4646" s="11">
        <v>46169</v>
      </c>
      <c r="B4646" t="s">
        <v>45</v>
      </c>
      <c r="C4646" t="s">
        <v>32</v>
      </c>
      <c r="D4646" s="3">
        <v>41</v>
      </c>
      <c r="E4646" s="3">
        <v>35</v>
      </c>
      <c r="F4646" s="3">
        <v>10.39</v>
      </c>
    </row>
    <row r="4647" spans="1:16" hidden="1" x14ac:dyDescent="0.25">
      <c r="A4647" s="11">
        <v>46169</v>
      </c>
      <c r="B4647" t="s">
        <v>64</v>
      </c>
      <c r="C4647" t="s">
        <v>23</v>
      </c>
      <c r="D4647" s="3">
        <v>20</v>
      </c>
      <c r="E4647" s="3">
        <v>19</v>
      </c>
      <c r="F4647" s="3">
        <v>23.5</v>
      </c>
    </row>
    <row r="4648" spans="1:16" hidden="1" x14ac:dyDescent="0.25">
      <c r="A4648" s="11">
        <v>46169</v>
      </c>
      <c r="B4648" t="s">
        <v>46</v>
      </c>
      <c r="C4648" t="s">
        <v>32</v>
      </c>
      <c r="D4648" s="3">
        <v>22</v>
      </c>
      <c r="E4648" s="3">
        <v>21</v>
      </c>
      <c r="F4648" s="3">
        <v>24.18</v>
      </c>
    </row>
    <row r="4649" spans="1:16" hidden="1" x14ac:dyDescent="0.25">
      <c r="A4649" s="11">
        <v>46170</v>
      </c>
      <c r="B4649" t="s">
        <v>17</v>
      </c>
      <c r="C4649" t="s">
        <v>16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  <c r="P4649"/>
    </row>
    <row r="4650" spans="1:16" hidden="1" x14ac:dyDescent="0.25">
      <c r="A4650" s="11">
        <v>46170</v>
      </c>
      <c r="B4650" t="s">
        <v>18</v>
      </c>
      <c r="C4650" t="s">
        <v>16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  <c r="P4650"/>
    </row>
    <row r="4651" spans="1:16" hidden="1" x14ac:dyDescent="0.25">
      <c r="A4651" s="11">
        <v>46170</v>
      </c>
      <c r="B4651" t="s">
        <v>19</v>
      </c>
      <c r="C4651" t="s">
        <v>16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  <c r="P4651"/>
    </row>
    <row r="4652" spans="1:16" hidden="1" x14ac:dyDescent="0.25">
      <c r="A4652" s="11">
        <v>46170</v>
      </c>
      <c r="B4652" t="s">
        <v>20</v>
      </c>
      <c r="C4652" t="s">
        <v>16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  <c r="P4652"/>
    </row>
    <row r="4653" spans="1:16" hidden="1" x14ac:dyDescent="0.25">
      <c r="A4653" s="11">
        <v>46170</v>
      </c>
      <c r="B4653" t="s">
        <v>21</v>
      </c>
      <c r="C4653" t="s">
        <v>16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  <c r="P4653"/>
    </row>
    <row r="4654" spans="1:16" hidden="1" x14ac:dyDescent="0.25">
      <c r="A4654" s="11">
        <v>46170</v>
      </c>
      <c r="B4654" t="s">
        <v>24</v>
      </c>
      <c r="C4654" t="s">
        <v>16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  <c r="P4654"/>
    </row>
    <row r="4655" spans="1:16" hidden="1" x14ac:dyDescent="0.25">
      <c r="A4655" s="11">
        <v>46170</v>
      </c>
      <c r="B4655" t="s">
        <v>15</v>
      </c>
      <c r="C4655" t="s">
        <v>26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  <c r="P4655"/>
    </row>
    <row r="4656" spans="1:16" hidden="1" x14ac:dyDescent="0.25">
      <c r="A4656" s="11">
        <v>46170</v>
      </c>
      <c r="B4656" t="s">
        <v>25</v>
      </c>
      <c r="C4656" t="s">
        <v>26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  <c r="P4656"/>
    </row>
    <row r="4657" spans="1:15" customFormat="1" hidden="1" x14ac:dyDescent="0.25">
      <c r="A4657" s="11">
        <v>46170</v>
      </c>
      <c r="B4657" t="s">
        <v>27</v>
      </c>
      <c r="C4657" t="s">
        <v>26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customFormat="1" hidden="1" x14ac:dyDescent="0.25">
      <c r="A4658" s="11">
        <v>46170</v>
      </c>
      <c r="B4658" t="s">
        <v>28</v>
      </c>
      <c r="C4658" t="s">
        <v>26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customFormat="1" hidden="1" x14ac:dyDescent="0.25">
      <c r="A4659" s="11">
        <v>46170</v>
      </c>
      <c r="B4659" t="s">
        <v>29</v>
      </c>
      <c r="C4659" t="s">
        <v>26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customFormat="1" hidden="1" x14ac:dyDescent="0.25">
      <c r="A4660" s="11">
        <v>46170</v>
      </c>
      <c r="B4660" t="s">
        <v>30</v>
      </c>
      <c r="C4660" t="s">
        <v>26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  <row r="4661" spans="1:15" customFormat="1" hidden="1" x14ac:dyDescent="0.25">
      <c r="A4661" s="11">
        <v>46170</v>
      </c>
      <c r="B4661" t="s">
        <v>47</v>
      </c>
      <c r="C4661" t="s">
        <v>48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s="12"/>
      <c r="M4661" s="12"/>
      <c r="N4661" s="12"/>
      <c r="O4661" s="12"/>
    </row>
    <row r="4662" spans="1:15" customFormat="1" hidden="1" x14ac:dyDescent="0.25">
      <c r="A4662" s="11">
        <v>46170</v>
      </c>
      <c r="B4662" t="s">
        <v>31</v>
      </c>
      <c r="C4662" t="s">
        <v>32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s="12"/>
      <c r="M4662" s="12"/>
      <c r="N4662" s="12"/>
      <c r="O4662" s="12"/>
    </row>
    <row r="4663" spans="1:15" customFormat="1" hidden="1" x14ac:dyDescent="0.25">
      <c r="A4663" s="11">
        <v>46170</v>
      </c>
      <c r="B4663" t="s">
        <v>59</v>
      </c>
      <c r="C4663" t="s">
        <v>23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s="12"/>
      <c r="M4663" s="12"/>
      <c r="N4663" s="12"/>
      <c r="O4663" s="12"/>
    </row>
    <row r="4664" spans="1:15" customFormat="1" hidden="1" x14ac:dyDescent="0.25">
      <c r="A4664" s="11">
        <v>46170</v>
      </c>
      <c r="B4664" t="s">
        <v>33</v>
      </c>
      <c r="C4664" t="s">
        <v>32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s="12"/>
      <c r="M4664" s="12"/>
      <c r="N4664" s="12"/>
      <c r="O4664" s="12"/>
    </row>
    <row r="4665" spans="1:15" customFormat="1" hidden="1" x14ac:dyDescent="0.25">
      <c r="A4665" s="11">
        <v>46170</v>
      </c>
      <c r="B4665" t="s">
        <v>49</v>
      </c>
      <c r="C4665" t="s">
        <v>48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s="12"/>
      <c r="M4665" s="12"/>
      <c r="N4665" s="12"/>
      <c r="O4665" s="12"/>
    </row>
    <row r="4666" spans="1:15" customFormat="1" hidden="1" x14ac:dyDescent="0.25">
      <c r="A4666" s="11">
        <v>46170</v>
      </c>
      <c r="B4666" t="s">
        <v>50</v>
      </c>
      <c r="C4666" t="s">
        <v>48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s="12"/>
      <c r="M4666" s="12"/>
      <c r="N4666" s="12"/>
      <c r="O4666" s="12"/>
    </row>
    <row r="4667" spans="1:15" customFormat="1" hidden="1" x14ac:dyDescent="0.25">
      <c r="A4667" s="11">
        <v>46170</v>
      </c>
      <c r="B4667" t="s">
        <v>60</v>
      </c>
      <c r="C4667" t="s">
        <v>23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s="12"/>
      <c r="M4667" s="12"/>
      <c r="N4667" s="12"/>
      <c r="O4667" s="12"/>
    </row>
    <row r="4668" spans="1:15" customFormat="1" hidden="1" x14ac:dyDescent="0.25">
      <c r="A4668" s="11">
        <v>46170</v>
      </c>
      <c r="B4668" t="s">
        <v>34</v>
      </c>
      <c r="C4668" t="s">
        <v>32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s="12"/>
      <c r="M4668" s="12"/>
      <c r="N4668" s="12"/>
      <c r="O4668" s="12"/>
    </row>
    <row r="4669" spans="1:15" customFormat="1" hidden="1" x14ac:dyDescent="0.25">
      <c r="A4669" s="11">
        <v>46170</v>
      </c>
      <c r="B4669" t="s">
        <v>51</v>
      </c>
      <c r="C4669" t="s">
        <v>48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s="12"/>
      <c r="M4669" s="12"/>
      <c r="N4669" s="12"/>
      <c r="O4669" s="12"/>
    </row>
    <row r="4670" spans="1:15" customFormat="1" hidden="1" x14ac:dyDescent="0.25">
      <c r="A4670" s="11">
        <v>46170</v>
      </c>
      <c r="B4670" t="s">
        <v>61</v>
      </c>
      <c r="C4670" t="s">
        <v>23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s="12"/>
      <c r="M4670" s="12"/>
      <c r="N4670" s="12"/>
      <c r="O4670" s="12"/>
    </row>
    <row r="4671" spans="1:15" customFormat="1" hidden="1" x14ac:dyDescent="0.25">
      <c r="A4671" s="11">
        <v>46170</v>
      </c>
      <c r="B4671" t="s">
        <v>35</v>
      </c>
      <c r="C4671" t="s">
        <v>32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s="12"/>
      <c r="M4671" s="12"/>
      <c r="N4671" s="12"/>
      <c r="O4671" s="12"/>
    </row>
    <row r="4672" spans="1:15" customFormat="1" hidden="1" x14ac:dyDescent="0.25">
      <c r="A4672" s="11">
        <v>46170</v>
      </c>
      <c r="B4672" t="s">
        <v>52</v>
      </c>
      <c r="C4672" t="s">
        <v>48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s="12"/>
      <c r="M4672" s="12"/>
      <c r="N4672" s="12"/>
      <c r="O4672" s="12"/>
    </row>
    <row r="4673" spans="1:15" customFormat="1" hidden="1" x14ac:dyDescent="0.25">
      <c r="A4673" s="11">
        <v>46170</v>
      </c>
      <c r="B4673" t="s">
        <v>36</v>
      </c>
      <c r="C4673" t="s">
        <v>32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s="12"/>
      <c r="M4673" s="12"/>
      <c r="N4673" s="12"/>
      <c r="O4673" s="12"/>
    </row>
    <row r="4674" spans="1:15" customFormat="1" hidden="1" x14ac:dyDescent="0.25">
      <c r="A4674" s="11">
        <v>46170</v>
      </c>
      <c r="B4674" t="s">
        <v>53</v>
      </c>
      <c r="C4674" t="s">
        <v>48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s="12"/>
      <c r="M4674" s="12"/>
      <c r="N4674" s="12"/>
      <c r="O4674" s="12"/>
    </row>
    <row r="4675" spans="1:15" customFormat="1" hidden="1" x14ac:dyDescent="0.25">
      <c r="A4675" s="11">
        <v>46170</v>
      </c>
      <c r="B4675" t="s">
        <v>22</v>
      </c>
      <c r="C4675" t="s">
        <v>23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s="12"/>
      <c r="M4675" s="12"/>
      <c r="N4675" s="12"/>
      <c r="O4675" s="12"/>
    </row>
    <row r="4676" spans="1:15" customFormat="1" hidden="1" x14ac:dyDescent="0.25">
      <c r="A4676" s="11">
        <v>46170</v>
      </c>
      <c r="B4676" t="s">
        <v>54</v>
      </c>
      <c r="C4676" t="s">
        <v>48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s="12"/>
      <c r="M4676" s="12"/>
      <c r="N4676" s="12"/>
      <c r="O4676" s="12"/>
    </row>
    <row r="4677" spans="1:15" customFormat="1" hidden="1" x14ac:dyDescent="0.25">
      <c r="A4677" s="11">
        <v>46170</v>
      </c>
      <c r="B4677" t="s">
        <v>37</v>
      </c>
      <c r="C4677" t="s">
        <v>32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s="12"/>
      <c r="M4677" s="12"/>
      <c r="N4677" s="12"/>
      <c r="O4677" s="12"/>
    </row>
    <row r="4678" spans="1:15" customFormat="1" hidden="1" x14ac:dyDescent="0.25">
      <c r="A4678" s="11">
        <v>46170</v>
      </c>
      <c r="B4678" t="s">
        <v>38</v>
      </c>
      <c r="C4678" t="s">
        <v>32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s="12"/>
      <c r="M4678" s="12"/>
      <c r="N4678" s="12"/>
      <c r="O4678" s="12"/>
    </row>
    <row r="4679" spans="1:15" customFormat="1" hidden="1" x14ac:dyDescent="0.25">
      <c r="A4679" s="11">
        <v>46170</v>
      </c>
      <c r="B4679" t="s">
        <v>55</v>
      </c>
      <c r="C4679" t="s">
        <v>48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s="12"/>
      <c r="M4679" s="12"/>
      <c r="N4679" s="12"/>
      <c r="O4679" s="12"/>
    </row>
    <row r="4680" spans="1:15" customFormat="1" hidden="1" x14ac:dyDescent="0.25">
      <c r="A4680" s="11">
        <v>46170</v>
      </c>
      <c r="B4680" t="s">
        <v>39</v>
      </c>
      <c r="C4680" t="s">
        <v>32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s="12"/>
      <c r="M4680" s="12"/>
      <c r="N4680" s="12"/>
      <c r="O4680" s="12"/>
    </row>
    <row r="4681" spans="1:15" customFormat="1" hidden="1" x14ac:dyDescent="0.25">
      <c r="A4681" s="11">
        <v>46170</v>
      </c>
      <c r="B4681" t="s">
        <v>40</v>
      </c>
      <c r="C4681" t="s">
        <v>32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s="12"/>
      <c r="M4681" s="12"/>
      <c r="N4681" s="12"/>
      <c r="O4681" s="12"/>
    </row>
    <row r="4682" spans="1:15" customFormat="1" hidden="1" x14ac:dyDescent="0.25">
      <c r="A4682" s="11">
        <v>46170</v>
      </c>
      <c r="B4682" t="s">
        <v>41</v>
      </c>
      <c r="C4682" t="s">
        <v>32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s="12"/>
      <c r="M4682" s="12"/>
      <c r="N4682" s="12"/>
      <c r="O4682" s="12"/>
    </row>
    <row r="4683" spans="1:15" customFormat="1" hidden="1" x14ac:dyDescent="0.25">
      <c r="A4683" s="11">
        <v>46170</v>
      </c>
      <c r="B4683" t="s">
        <v>56</v>
      </c>
      <c r="C4683" t="s">
        <v>48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s="12"/>
      <c r="M4683" s="12"/>
      <c r="N4683" s="12"/>
      <c r="O4683" s="12"/>
    </row>
    <row r="4684" spans="1:15" customFormat="1" hidden="1" x14ac:dyDescent="0.25">
      <c r="A4684" s="11">
        <v>46170</v>
      </c>
      <c r="B4684" t="s">
        <v>57</v>
      </c>
      <c r="C4684" t="s">
        <v>48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s="12"/>
      <c r="M4684" s="12"/>
      <c r="N4684" s="12"/>
      <c r="O4684" s="12"/>
    </row>
    <row r="4685" spans="1:15" customFormat="1" hidden="1" x14ac:dyDescent="0.25">
      <c r="A4685" s="11">
        <v>46170</v>
      </c>
      <c r="B4685" t="s">
        <v>42</v>
      </c>
      <c r="C4685" t="s">
        <v>32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s="12"/>
      <c r="M4685" s="12"/>
      <c r="N4685" s="12"/>
      <c r="O4685" s="12"/>
    </row>
    <row r="4686" spans="1:15" customFormat="1" hidden="1" x14ac:dyDescent="0.25">
      <c r="A4686" s="11">
        <v>46170</v>
      </c>
      <c r="B4686" t="s">
        <v>62</v>
      </c>
      <c r="C4686" t="s">
        <v>23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s="12"/>
      <c r="M4686" s="12"/>
      <c r="N4686" s="12"/>
      <c r="O4686" s="12"/>
    </row>
    <row r="4687" spans="1:15" customFormat="1" hidden="1" x14ac:dyDescent="0.25">
      <c r="A4687" s="11">
        <v>46170</v>
      </c>
      <c r="B4687" t="s">
        <v>43</v>
      </c>
      <c r="C4687" t="s">
        <v>32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s="12"/>
      <c r="M4687" s="12"/>
      <c r="N4687" s="12"/>
      <c r="O4687" s="12"/>
    </row>
    <row r="4688" spans="1:15" customFormat="1" hidden="1" x14ac:dyDescent="0.25">
      <c r="A4688" s="11">
        <v>46170</v>
      </c>
      <c r="B4688" t="s">
        <v>44</v>
      </c>
      <c r="C4688" t="s">
        <v>32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s="12"/>
      <c r="M4688" s="12"/>
      <c r="N4688" s="12"/>
      <c r="O4688" s="12"/>
    </row>
    <row r="4689" spans="1:15" customFormat="1" hidden="1" x14ac:dyDescent="0.25">
      <c r="A4689" s="11">
        <v>46170</v>
      </c>
      <c r="B4689" t="s">
        <v>58</v>
      </c>
      <c r="C4689" t="s">
        <v>48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s="12"/>
      <c r="M4689" s="12"/>
      <c r="N4689" s="12"/>
      <c r="O4689" s="12"/>
    </row>
    <row r="4690" spans="1:15" customFormat="1" hidden="1" x14ac:dyDescent="0.25">
      <c r="A4690" s="11">
        <v>46170</v>
      </c>
      <c r="B4690" t="s">
        <v>63</v>
      </c>
      <c r="C4690" t="s">
        <v>23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s="12"/>
      <c r="M4690" s="12"/>
      <c r="N4690" s="12"/>
      <c r="O4690" s="12"/>
    </row>
    <row r="4691" spans="1:15" customFormat="1" hidden="1" x14ac:dyDescent="0.25">
      <c r="A4691" s="11">
        <v>46170</v>
      </c>
      <c r="B4691" t="s">
        <v>45</v>
      </c>
      <c r="C4691" t="s">
        <v>32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s="12"/>
      <c r="M4691" s="12"/>
      <c r="N4691" s="12"/>
      <c r="O4691" s="12"/>
    </row>
    <row r="4692" spans="1:15" customFormat="1" hidden="1" x14ac:dyDescent="0.25">
      <c r="A4692" s="11">
        <v>46170</v>
      </c>
      <c r="B4692" t="s">
        <v>64</v>
      </c>
      <c r="C4692" t="s">
        <v>23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s="12"/>
      <c r="M4692" s="12"/>
      <c r="N4692" s="12"/>
      <c r="O4692" s="12"/>
    </row>
    <row r="4693" spans="1:15" customFormat="1" hidden="1" x14ac:dyDescent="0.25">
      <c r="A4693" s="11">
        <v>46170</v>
      </c>
      <c r="B4693" t="s">
        <v>46</v>
      </c>
      <c r="C4693" t="s">
        <v>32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s="12"/>
      <c r="M4693" s="12"/>
      <c r="N4693" s="12"/>
      <c r="O4693" s="12"/>
    </row>
  </sheetData>
  <autoFilter ref="A1:O4693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>
      <filters>
        <filter val="Alisson de Freitas Silva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37:O4515">
      <sortCondition descending="1" ref="C1:C4693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2026-05-28T14:42:56Z</dcterms:modified>
</cp:coreProperties>
</file>
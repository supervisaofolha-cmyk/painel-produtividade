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65"/>
  <sheetViews>
    <sheetView tabSelected="1" topLeftCell="A605" zoomScale="85" zoomScaleNormal="85" workbookViewId="0">
      <selection activeCell="E637" sqref="E637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17.24137931034483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98.8</v>
      </c>
      <c r="O19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17.24137931034483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17.24137931034483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17.24137931034483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96.34</v>
      </c>
      <c r="O445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98.63</v>
      </c>
      <c r="O451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99.06</v>
      </c>
      <c r="O453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17.24137931034483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98.63</v>
      </c>
      <c r="O496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99.06</v>
      </c>
      <c r="O498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17.24137931034483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3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3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3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3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3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3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3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3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I621" s="3">
        <f>E621+G621+H621</f>
        <v/>
      </c>
      <c r="J621" s="3">
        <f>IF(C621="Técnico III","35",IF(C621="Técnico II","28",IF(C621="Técnico I","23",IF(C621="JR","20",IF(C621="Estágio","10")))))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3</v>
      </c>
      <c r="E622" s="3" t="n">
        <v>3</v>
      </c>
      <c r="F622" s="3" t="n">
        <v>20.14</v>
      </c>
      <c r="G622" s="3" t="n">
        <v>0</v>
      </c>
      <c r="I622" s="3">
        <f>E622+G622+H622</f>
        <v/>
      </c>
      <c r="J622" s="3">
        <f>IF(C622="Técnico III","35",IF(C622="Técnico II","28",IF(C622="Técnico I","23",IF(C622="JR","20",IF(C622="Estágio","10")))))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t="n">
        <v>11</v>
      </c>
      <c r="E623" t="n">
        <v>9</v>
      </c>
      <c r="F623" t="n">
        <v>15.17</v>
      </c>
      <c r="G623" s="3" t="n">
        <v>3</v>
      </c>
      <c r="I623" s="3">
        <f>E623+G623+H623</f>
        <v/>
      </c>
      <c r="J623" s="3">
        <f>IF(C623="Técnico III","35",IF(C623="Técnico II","28",IF(C623="Técnico I","23",IF(C623="JR","20",IF(C623="Estágio","10")))))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I624" s="3">
        <f>E624+G624+H624</f>
        <v/>
      </c>
      <c r="J624" s="3">
        <f>IF(C624="Técnico III","35",IF(C624="Técnico II","28",IF(C624="Técnico I","23",IF(C624="JR","20",IF(C624="Estágio","10")))))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t="n">
        <v>20</v>
      </c>
      <c r="E625" t="n">
        <v>19</v>
      </c>
      <c r="F625" t="n">
        <v>22.07</v>
      </c>
      <c r="G625" s="3" t="n">
        <v>0</v>
      </c>
      <c r="I625" s="3">
        <f>E625+G625+H625</f>
        <v/>
      </c>
      <c r="J625" s="3">
        <f>IF(C625="Técnico III","35",IF(C625="Técnico II","28",IF(C625="Técnico I","23",IF(C625="JR","20",IF(C625="Estágio","10")))))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t="n">
        <v>30</v>
      </c>
      <c r="E626" t="n">
        <v>27</v>
      </c>
      <c r="F626" t="n">
        <v>9.15</v>
      </c>
      <c r="G626" s="3" t="n">
        <v>6</v>
      </c>
      <c r="I626" s="3">
        <f>E626+G626+H626</f>
        <v/>
      </c>
      <c r="J626" s="3">
        <f>IF(C626="Técnico III","35",IF(C626="Técnico II","28",IF(C626="Técnico I","23",IF(C626="JR","20",IF(C626="Estágio","10")))))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t="n">
        <v>13</v>
      </c>
      <c r="E627" t="n">
        <v>12</v>
      </c>
      <c r="F627" t="n">
        <v>16.53</v>
      </c>
      <c r="G627" s="3" t="n">
        <v>0</v>
      </c>
      <c r="I627" s="3">
        <f>E627+G627+H627</f>
        <v/>
      </c>
      <c r="J627" s="3">
        <f>IF(C627="Técnico III","35",IF(C627="Técnico II","28",IF(C627="Técnico I","23",IF(C627="JR","20",IF(C627="Estágio","10")))))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t="n">
        <v>7</v>
      </c>
      <c r="E628" t="n">
        <v>7</v>
      </c>
      <c r="F628" t="n">
        <v>22.38</v>
      </c>
      <c r="G628" s="3" t="n">
        <v>0</v>
      </c>
      <c r="I628" s="3">
        <f>E628+G628+H628</f>
        <v/>
      </c>
      <c r="J628" s="3">
        <f>IF(C628="Técnico III","35",IF(C628="Técnico II","28",IF(C628="Técnico I","23",IF(C628="JR","20",IF(C628="Estágio","10")))))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I629" s="3">
        <f>E629+G629+H629</f>
        <v/>
      </c>
      <c r="J629" s="3">
        <f>IF(C629="Técnico III","35",IF(C629="Técnico II","28",IF(C629="Técnico I","23",IF(C629="JR","20",IF(C629="Estágio","10")))))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t="n">
        <v>25</v>
      </c>
      <c r="E630" t="n">
        <v>24</v>
      </c>
      <c r="F630" t="n">
        <v>15.42</v>
      </c>
      <c r="G630" s="3" t="n">
        <v>0</v>
      </c>
      <c r="I630" s="3">
        <f>E630+G630+H630</f>
        <v/>
      </c>
      <c r="J630" s="3">
        <f>IF(C630="Técnico III","35",IF(C630="Técnico II","28",IF(C630="Técnico I","23",IF(C630="JR","20",IF(C630="Estágio","10")))))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G631" s="3" t="n">
        <v>0</v>
      </c>
      <c r="I631" s="3">
        <f>E631+G631+H631</f>
        <v/>
      </c>
      <c r="J631" s="3">
        <f>IF(C631="Técnico III","35",IF(C631="Técnico II","28",IF(C631="Técnico I","23",IF(C631="JR","20",IF(C631="Estágio","10")))))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I632" s="3">
        <f>E632+G632+H632</f>
        <v/>
      </c>
      <c r="J632" s="3">
        <f>IF(C632="Técnico III","35",IF(C632="Técnico II","28",IF(C632="Técnico I","23",IF(C632="JR","20",IF(C632="Estágio","10")))))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G633" s="3" t="n">
        <v>0</v>
      </c>
      <c r="I633" s="3">
        <f>E633+G633+H633</f>
        <v/>
      </c>
      <c r="J633" s="3">
        <f>IF(C633="Técnico III","35",IF(C633="Técnico II","28",IF(C633="Técnico I","23",IF(C633="JR","20",IF(C633="Estágio","10")))))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I634" s="3">
        <f>E634+G634+H634</f>
        <v/>
      </c>
      <c r="J634" s="3">
        <f>IF(C634="Técnico III","35",IF(C634="Técnico II","28",IF(C634="Técnico I","23",IF(C634="JR","20",IF(C634="Estágio","10")))))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t="n">
        <v>17</v>
      </c>
      <c r="E635" t="n">
        <v>14</v>
      </c>
      <c r="F635" t="n">
        <v>13.23</v>
      </c>
      <c r="G635" s="3" t="n">
        <v>1</v>
      </c>
      <c r="I635" s="3">
        <f>E635+G635+H635</f>
        <v/>
      </c>
      <c r="J635" s="3">
        <f>IF(C635="Técnico III","35",IF(C635="Técnico II","28",IF(C635="Técnico I","23",IF(C635="JR","20",IF(C635="Estágio","10")))))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t="n">
        <v>12</v>
      </c>
      <c r="E636" t="n">
        <v>11</v>
      </c>
      <c r="F636" t="n">
        <v>12.15</v>
      </c>
      <c r="G636" s="3" t="n">
        <v>1</v>
      </c>
      <c r="I636" s="3">
        <f>E636+G636+H636</f>
        <v/>
      </c>
      <c r="J636" s="3">
        <f>IF(C636="Técnico III","35",IF(C636="Técnico II","28",IF(C636="Técnico I","23",IF(C636="JR","20",IF(C636="Estágio","10")))))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G637" s="3" t="n">
        <v>0</v>
      </c>
      <c r="I637" s="3">
        <f>E637+G637+H637</f>
        <v/>
      </c>
      <c r="J637" s="3">
        <f>IF(C637="Técnico III","35",IF(C637="Técnico II","28",IF(C637="Técnico I","23",IF(C637="JR","20",IF(C637="Estágio","10")))))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t="n">
        <v>8</v>
      </c>
      <c r="E638" t="n">
        <v>7</v>
      </c>
      <c r="F638" t="n">
        <v>18.34</v>
      </c>
      <c r="G638" s="3" t="n">
        <v>0</v>
      </c>
      <c r="I638" s="3">
        <f>E638+G638+H638</f>
        <v/>
      </c>
      <c r="J638" s="3">
        <f>IF(C638="Técnico III","35",IF(C638="Técnico II","28",IF(C638="Técnico I","23",IF(C638="JR","20",IF(C638="Estágio","10")))))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I639" s="3">
        <f>E639+G639+H639</f>
        <v/>
      </c>
      <c r="J639" s="3">
        <f>IF(C639="Técnico III","35",IF(C639="Técnico II","28",IF(C639="Técnico I","23",IF(C639="JR","20",IF(C639="Estágio","10")))))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I640" s="3">
        <f>E640+G640+H640</f>
        <v/>
      </c>
      <c r="J640" s="3">
        <f>IF(C640="Técnico III","35",IF(C640="Técnico II","28",IF(C640="Técnico I","23",IF(C640="JR","20",IF(C640="Estágio","10")))))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I641" s="3">
        <f>E641+G641+H641</f>
        <v/>
      </c>
      <c r="J641" s="3">
        <f>IF(C641="Técnico III","35",IF(C641="Técnico II","28",IF(C641="Técnico I","23",IF(C641="JR","20",IF(C641="Estágio","10")))))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I642" s="3">
        <f>E642+G642+H642</f>
        <v/>
      </c>
      <c r="J642" s="3">
        <f>IF(C642="Técnico III","35",IF(C642="Técnico II","28",IF(C642="Técnico I","23",IF(C642="JR","20",IF(C642="Estágio","10")))))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I643" s="3">
        <f>E643+G643+H643</f>
        <v/>
      </c>
      <c r="J643" s="3">
        <f>IF(C643="Técnico III","35",IF(C643="Técnico II","28",IF(C643="Técnico I","23",IF(C643="JR","20",IF(C643="Estágio","10")))))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t="n">
        <v>38</v>
      </c>
      <c r="E644" t="n">
        <v>36</v>
      </c>
      <c r="F644" t="n">
        <v>20.2</v>
      </c>
      <c r="G644" s="3" t="n">
        <v>0</v>
      </c>
      <c r="I644" s="3">
        <f>E644+G644+H644</f>
        <v/>
      </c>
      <c r="J644" s="3">
        <f>IF(C644="Técnico III","35",IF(C644="Técnico II","28",IF(C644="Técnico I","23",IF(C644="JR","20",IF(C644="Estágio","10")))))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I645" s="3">
        <f>E645+G645+H645</f>
        <v/>
      </c>
      <c r="J645" s="3">
        <f>IF(C645="Técnico III","35",IF(C645="Técnico II","28",IF(C645="Técnico I","23",IF(C645="JR","20",IF(C645="Estágio","10")))))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t="n">
        <v>19</v>
      </c>
      <c r="E646" t="n">
        <v>19</v>
      </c>
      <c r="F646" t="n">
        <v>16.57</v>
      </c>
      <c r="G646" s="3" t="n">
        <v>0</v>
      </c>
      <c r="I646" s="3">
        <f>E646+G646+H646</f>
        <v/>
      </c>
      <c r="J646" s="3">
        <f>IF(C646="Técnico III","35",IF(C646="Técnico II","28",IF(C646="Técnico I","23",IF(C646="JR","20",IF(C646="Estágio","10")))))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I647" s="3">
        <f>E647+G647+H647</f>
        <v/>
      </c>
      <c r="J647" s="3">
        <f>IF(C647="Técnico III","35",IF(C647="Técnico II","28",IF(C647="Técnico I","23",IF(C647="JR","20",IF(C647="Estágio","10")))))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I648" s="3">
        <f>E648+G648+H648</f>
        <v/>
      </c>
      <c r="J648" s="3">
        <f>IF(C648="Técnico III","35",IF(C648="Técnico II","28",IF(C648="Técnico I","23",IF(C648="JR","20",IF(C648="Estágio","10")))))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I649" s="3">
        <f>E649+G649+H649</f>
        <v/>
      </c>
      <c r="J649" s="3">
        <f>IF(C649="Técnico III","35",IF(C649="Técnico II","28",IF(C649="Técnico I","23",IF(C649="JR","20",IF(C649="Estágio","10")))))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G650" s="3" t="n">
        <v>0</v>
      </c>
      <c r="I650" s="3">
        <f>E650+G650+H650</f>
        <v/>
      </c>
      <c r="J650" s="3">
        <f>IF(C650="Técnico III","35",IF(C650="Técnico II","28",IF(C650="Técnico I","23",IF(C650="JR","20",IF(C650="Estágio","10")))))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I651" s="3">
        <f>E651+G651+H651</f>
        <v/>
      </c>
      <c r="J651" s="3">
        <f>IF(C651="Técnico III","35",IF(C651="Técnico II","28",IF(C651="Técnico I","23",IF(C651="JR","20",IF(C651="Estágio","10")))))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t="n">
        <v>8</v>
      </c>
      <c r="E652" t="n">
        <v>8</v>
      </c>
      <c r="F652" t="n">
        <v>32.37</v>
      </c>
      <c r="G652" s="3" t="n">
        <v>0</v>
      </c>
      <c r="I652" s="3">
        <f>E652+G652+H652</f>
        <v/>
      </c>
      <c r="J652" s="3">
        <f>IF(C652="Técnico III","35",IF(C652="Técnico II","28",IF(C652="Técnico I","23",IF(C652="JR","20",IF(C652="Estágio","10")))))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t="n">
        <v>8</v>
      </c>
      <c r="E653" t="n">
        <v>8</v>
      </c>
      <c r="F653" t="n">
        <v>20.01</v>
      </c>
      <c r="G653" s="3" t="n">
        <v>0</v>
      </c>
      <c r="I653" s="3">
        <f>E653+G653+H653</f>
        <v/>
      </c>
      <c r="J653" s="3">
        <f>IF(C653="Técnico III","35",IF(C653="Técnico II","28",IF(C653="Técnico I","23",IF(C653="JR","20",IF(C653="Estágio","10")))))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G654" s="3" t="n">
        <v>0</v>
      </c>
      <c r="I654" s="3">
        <f>E654+G654+H654</f>
        <v/>
      </c>
      <c r="J654" s="3">
        <f>IF(C654="Técnico III","35",IF(C654="Técnico II","28",IF(C654="Técnico I","23",IF(C654="JR","20",IF(C654="Estágio","10")))))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t="n">
        <v>23</v>
      </c>
      <c r="E655" t="n">
        <v>20</v>
      </c>
      <c r="F655" t="n">
        <v>13.5</v>
      </c>
      <c r="G655" s="3" t="n">
        <v>5</v>
      </c>
      <c r="I655" s="3">
        <f>E655+G655+H655</f>
        <v/>
      </c>
      <c r="J655" s="3">
        <f>IF(C655="Técnico III","35",IF(C655="Técnico II","28",IF(C655="Técnico I","23",IF(C655="JR","20",IF(C655="Estágio","10")))))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t="n">
        <v>15</v>
      </c>
      <c r="E656" t="n">
        <v>14</v>
      </c>
      <c r="F656" t="n">
        <v>31.4</v>
      </c>
      <c r="G656" s="3" t="n">
        <v>0</v>
      </c>
      <c r="I656" s="3">
        <f>E656+G656+H656</f>
        <v/>
      </c>
      <c r="J656" s="3">
        <f>IF(C656="Técnico III","35",IF(C656="Técnico II","28",IF(C656="Técnico I","23",IF(C656="JR","20",IF(C656="Estágio","10")))))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I657" s="3">
        <f>E657+G657+H657</f>
        <v/>
      </c>
      <c r="J657" s="3">
        <f>IF(C657="Técnico III","35",IF(C657="Técnico II","28",IF(C657="Técnico I","23",IF(C657="JR","20",IF(C657="Estágio","10")))))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t="n">
        <v>17</v>
      </c>
      <c r="E658" t="n">
        <v>17</v>
      </c>
      <c r="F658" t="n">
        <v>22.2</v>
      </c>
      <c r="G658" s="3" t="n">
        <v>0</v>
      </c>
      <c r="I658" s="3">
        <f>E658+G658+H658</f>
        <v/>
      </c>
      <c r="J658" s="3">
        <f>IF(C658="Técnico III","35",IF(C658="Técnico II","28",IF(C658="Técnico I","23",IF(C658="JR","20",IF(C658="Estágio","10")))))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I659" s="3">
        <f>E659+G659+H659</f>
        <v/>
      </c>
      <c r="J659" s="3">
        <f>IF(C659="Técnico III","35",IF(C659="Técnico II","28",IF(C659="Técnico I","23",IF(C659="JR","20",IF(C659="Estágio","10")))))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I660" s="3">
        <f>E660+G660+H660</f>
        <v/>
      </c>
      <c r="J660" s="3">
        <f>IF(C660="Técnico III","35",IF(C660="Técnico II","28",IF(C660="Técnico I","23",IF(C660="JR","20",IF(C660="Estágio","10")))))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t="n">
        <v>17</v>
      </c>
      <c r="E661" t="n">
        <v>15</v>
      </c>
      <c r="F661" t="n">
        <v>25.36</v>
      </c>
      <c r="G661" s="3" t="n">
        <v>0</v>
      </c>
      <c r="I661" s="3">
        <f>E661+G661+H661</f>
        <v/>
      </c>
      <c r="J661" s="3">
        <f>IF(C661="Técnico III","35",IF(C661="Técnico II","28",IF(C661="Técnico I","23",IF(C661="JR","20",IF(C661="Estágio","10")))))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I662" s="3">
        <f>E662+G662+H662</f>
        <v/>
      </c>
      <c r="J662" s="3">
        <f>IF(C662="Técnico III","35",IF(C662="Técnico II","28",IF(C662="Técnico I","23",IF(C662="JR","20",IF(C662="Estágio","10")))))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I663" s="3">
        <f>E663+G663+H663</f>
        <v/>
      </c>
      <c r="J663" s="3">
        <f>IF(C663="Técnico III","35",IF(C663="Técnico II","28",IF(C663="Técnico I","23",IF(C663="JR","20",IF(C663="Estágio","10")))))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t="n">
        <v>17</v>
      </c>
      <c r="E664" t="n">
        <v>16</v>
      </c>
      <c r="F664" t="n">
        <v>20.55</v>
      </c>
      <c r="G664" s="3" t="n">
        <v>1</v>
      </c>
      <c r="I664" s="3">
        <f>E664+G664+H664</f>
        <v/>
      </c>
      <c r="J664" s="3">
        <f>IF(C664="Técnico III","35",IF(C664="Técnico II","28",IF(C664="Técnico I","23",IF(C664="JR","20",IF(C664="Estágio","10")))))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t="n">
        <v>26</v>
      </c>
      <c r="E665" t="n">
        <v>22</v>
      </c>
      <c r="F665" t="n">
        <v>13.4</v>
      </c>
      <c r="G665" s="3" t="n">
        <v>0</v>
      </c>
      <c r="I665" s="3">
        <f>E665+G665+H665</f>
        <v/>
      </c>
      <c r="J665" s="3">
        <f>IF(C665="Técnico III","35",IF(C665="Técnico II","28",IF(C665="Técnico I","23",IF(C665="JR","20",IF(C665="Estágio","10")))))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</sheetData>
  <autoFilter ref="A1:O665">
    <filterColumn colId="0" hiddenButton="0" showButton="1">
      <filters>
        <dateGroupItem year="2026" month="5" day="21" dateTimeGrouping="day"/>
        <dateGroupItem year="2026" month="5" day="22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/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Andrade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/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2026-05-25T14:48:16Z</dcterms:modified>
  <cp:lastModifiedBy>Esther Queiroz Supervisora Folha</cp:lastModifiedBy>
</cp:coreProperties>
</file>